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30EBE399-C2A3-4D22-A794-A4C41BCF89D0}" xr6:coauthVersionLast="47" xr6:coauthVersionMax="47" xr10:uidLastSave="{00000000-0000-0000-0000-000000000000}"/>
  <bookViews>
    <workbookView xWindow="19095" yWindow="0" windowWidth="19410" windowHeight="20985" xr2:uid="{45B8ACDC-CB3B-40F4-A3D2-AA5D93D3C1D7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P6" i="2"/>
  <c r="P5" i="2"/>
  <c r="P19" i="2"/>
  <c r="O6" i="2"/>
  <c r="O5" i="2"/>
  <c r="O41" i="2"/>
  <c r="N41" i="2"/>
  <c r="P40" i="2"/>
  <c r="O40" i="2"/>
  <c r="N40" i="2"/>
  <c r="P39" i="2"/>
  <c r="O39" i="2"/>
  <c r="N39" i="2"/>
  <c r="P38" i="2"/>
  <c r="O38" i="2"/>
  <c r="N38" i="2"/>
  <c r="P37" i="2"/>
  <c r="O37" i="2"/>
  <c r="N37" i="2"/>
  <c r="P36" i="2"/>
  <c r="O36" i="2"/>
  <c r="N36" i="2"/>
  <c r="P35" i="2"/>
  <c r="O35" i="2"/>
  <c r="N35" i="2"/>
  <c r="P34" i="2"/>
  <c r="O34" i="2"/>
  <c r="N34" i="2"/>
  <c r="P33" i="2"/>
  <c r="O33" i="2"/>
  <c r="N33" i="2"/>
  <c r="P32" i="2"/>
  <c r="O32" i="2"/>
  <c r="N32" i="2"/>
  <c r="P31" i="2"/>
  <c r="O31" i="2"/>
  <c r="N31" i="2"/>
  <c r="P30" i="2"/>
  <c r="O30" i="2"/>
  <c r="N30" i="2"/>
  <c r="P29" i="2"/>
  <c r="O29" i="2"/>
  <c r="N29" i="2"/>
  <c r="O26" i="2"/>
  <c r="N26" i="2"/>
  <c r="O24" i="2"/>
  <c r="N24" i="2"/>
  <c r="P22" i="2"/>
  <c r="P24" i="2" s="1"/>
  <c r="P26" i="2" s="1"/>
  <c r="O22" i="2"/>
  <c r="N22" i="2"/>
  <c r="O19" i="2"/>
  <c r="N19" i="2"/>
  <c r="P17" i="2"/>
  <c r="O17" i="2"/>
  <c r="N17" i="2"/>
  <c r="Y103" i="2"/>
  <c r="Y104" i="2"/>
  <c r="Z103" i="2"/>
  <c r="Z104" i="2"/>
  <c r="AA104" i="2"/>
  <c r="AA102" i="2"/>
  <c r="Z102" i="2"/>
  <c r="Y102" i="2"/>
  <c r="X102" i="2"/>
  <c r="W102" i="2"/>
  <c r="V102" i="2"/>
  <c r="U102" i="2"/>
  <c r="T102" i="2"/>
  <c r="AA100" i="2"/>
  <c r="Z100" i="2"/>
  <c r="Y100" i="2"/>
  <c r="X100" i="2"/>
  <c r="W100" i="2"/>
  <c r="V100" i="2"/>
  <c r="U100" i="2"/>
  <c r="T100" i="2"/>
  <c r="J100" i="2"/>
  <c r="I100" i="2"/>
  <c r="H100" i="2"/>
  <c r="G100" i="2"/>
  <c r="F100" i="2"/>
  <c r="E100" i="2"/>
  <c r="D100" i="2"/>
  <c r="C100" i="2"/>
  <c r="AA93" i="2"/>
  <c r="Z93" i="2"/>
  <c r="Y93" i="2"/>
  <c r="X93" i="2"/>
  <c r="W93" i="2"/>
  <c r="V93" i="2"/>
  <c r="U93" i="2"/>
  <c r="T93" i="2"/>
  <c r="AA86" i="2"/>
  <c r="Z86" i="2"/>
  <c r="Y86" i="2"/>
  <c r="X86" i="2"/>
  <c r="W86" i="2"/>
  <c r="V86" i="2"/>
  <c r="U86" i="2"/>
  <c r="T86" i="2"/>
  <c r="AA69" i="2"/>
  <c r="AA63" i="2"/>
  <c r="AA58" i="2"/>
  <c r="AA52" i="2"/>
  <c r="AA48" i="2"/>
  <c r="AA53" i="2" s="1"/>
  <c r="AA5" i="2"/>
  <c r="AA6" i="2" s="1"/>
  <c r="AA37" i="2"/>
  <c r="AA36" i="2"/>
  <c r="AA35" i="2"/>
  <c r="AA34" i="2"/>
  <c r="AA33" i="2"/>
  <c r="AA32" i="2"/>
  <c r="AA31" i="2"/>
  <c r="AA30" i="2"/>
  <c r="AA29" i="2"/>
  <c r="AA17" i="2"/>
  <c r="AA38" i="2" s="1"/>
  <c r="M37" i="2"/>
  <c r="M36" i="2"/>
  <c r="M35" i="2"/>
  <c r="M34" i="2"/>
  <c r="M33" i="2"/>
  <c r="M32" i="2"/>
  <c r="M31" i="2"/>
  <c r="M30" i="2"/>
  <c r="M29" i="2"/>
  <c r="M17" i="2"/>
  <c r="M19" i="2" s="1"/>
  <c r="L37" i="2"/>
  <c r="L36" i="2"/>
  <c r="L35" i="2"/>
  <c r="L34" i="2"/>
  <c r="L33" i="2"/>
  <c r="L32" i="2"/>
  <c r="L31" i="2"/>
  <c r="L30" i="2"/>
  <c r="L29" i="2"/>
  <c r="L17" i="2"/>
  <c r="L19" i="2" s="1"/>
  <c r="K37" i="2"/>
  <c r="K34" i="2"/>
  <c r="K33" i="2"/>
  <c r="K32" i="2"/>
  <c r="K31" i="2"/>
  <c r="K30" i="2"/>
  <c r="K29" i="2"/>
  <c r="K13" i="2"/>
  <c r="K35" i="2" s="1"/>
  <c r="K14" i="2"/>
  <c r="K36" i="2" s="1"/>
  <c r="K17" i="2"/>
  <c r="K38" i="2" s="1"/>
  <c r="Y34" i="2"/>
  <c r="X34" i="2"/>
  <c r="W34" i="2"/>
  <c r="V34" i="2"/>
  <c r="U34" i="2"/>
  <c r="Y33" i="2"/>
  <c r="X33" i="2"/>
  <c r="W33" i="2"/>
  <c r="V33" i="2"/>
  <c r="U33" i="2"/>
  <c r="Y32" i="2"/>
  <c r="X32" i="2"/>
  <c r="W32" i="2"/>
  <c r="V32" i="2"/>
  <c r="U32" i="2"/>
  <c r="Y31" i="2"/>
  <c r="X31" i="2"/>
  <c r="W31" i="2"/>
  <c r="V31" i="2"/>
  <c r="U31" i="2"/>
  <c r="Z33" i="2"/>
  <c r="Z32" i="2"/>
  <c r="Z31" i="2"/>
  <c r="Z34" i="2"/>
  <c r="I30" i="2"/>
  <c r="H30" i="2"/>
  <c r="G30" i="2"/>
  <c r="I29" i="2"/>
  <c r="H29" i="2"/>
  <c r="G29" i="2"/>
  <c r="J29" i="2"/>
  <c r="J30" i="2"/>
  <c r="I34" i="2"/>
  <c r="H34" i="2"/>
  <c r="G34" i="2"/>
  <c r="I33" i="2"/>
  <c r="H33" i="2"/>
  <c r="G33" i="2"/>
  <c r="I32" i="2"/>
  <c r="H32" i="2"/>
  <c r="G32" i="2"/>
  <c r="I31" i="2"/>
  <c r="H31" i="2"/>
  <c r="G31" i="2"/>
  <c r="I36" i="2"/>
  <c r="H36" i="2"/>
  <c r="G36" i="2"/>
  <c r="I35" i="2"/>
  <c r="H35" i="2"/>
  <c r="G35" i="2"/>
  <c r="J12" i="2"/>
  <c r="J11" i="2"/>
  <c r="J10" i="2"/>
  <c r="J9" i="2"/>
  <c r="J8" i="2"/>
  <c r="F12" i="2"/>
  <c r="F11" i="2"/>
  <c r="F10" i="2"/>
  <c r="F9" i="2"/>
  <c r="F8" i="2"/>
  <c r="J4" i="1"/>
  <c r="J9" i="1" s="1"/>
  <c r="J23" i="2"/>
  <c r="J21" i="2"/>
  <c r="J20" i="2"/>
  <c r="J18" i="2"/>
  <c r="J16" i="2"/>
  <c r="J15" i="2"/>
  <c r="J14" i="2"/>
  <c r="J13" i="2"/>
  <c r="F23" i="2"/>
  <c r="F21" i="2"/>
  <c r="F20" i="2"/>
  <c r="F18" i="2"/>
  <c r="F16" i="2"/>
  <c r="F15" i="2"/>
  <c r="F14" i="2"/>
  <c r="F13" i="2"/>
  <c r="Z37" i="2"/>
  <c r="Z36" i="2"/>
  <c r="Z35" i="2"/>
  <c r="Z30" i="2"/>
  <c r="Z29" i="2"/>
  <c r="Z48" i="2"/>
  <c r="Z17" i="2"/>
  <c r="Z38" i="2" s="1"/>
  <c r="Z5" i="2"/>
  <c r="Z6" i="2" s="1"/>
  <c r="Y5" i="2"/>
  <c r="Y6" i="2" s="1"/>
  <c r="X5" i="2"/>
  <c r="X6" i="2" s="1"/>
  <c r="W5" i="2"/>
  <c r="W6" i="2" s="1"/>
  <c r="V5" i="2"/>
  <c r="V6" i="2" s="1"/>
  <c r="U5" i="2"/>
  <c r="U6" i="2" s="1"/>
  <c r="T5" i="2"/>
  <c r="T6" i="2" s="1"/>
  <c r="N5" i="2"/>
  <c r="N6" i="2" s="1"/>
  <c r="M5" i="2"/>
  <c r="M6" i="2" s="1"/>
  <c r="L5" i="2"/>
  <c r="L6" i="2" s="1"/>
  <c r="K5" i="2"/>
  <c r="J5" i="2"/>
  <c r="I5" i="2"/>
  <c r="I6" i="2" s="1"/>
  <c r="H5" i="2"/>
  <c r="H6" i="2" s="1"/>
  <c r="G5" i="2"/>
  <c r="G6" i="2" s="1"/>
  <c r="F5" i="2"/>
  <c r="E5" i="2"/>
  <c r="E6" i="2" s="1"/>
  <c r="D5" i="2"/>
  <c r="D6" i="2" s="1"/>
  <c r="C5" i="2"/>
  <c r="C6" i="2" s="1"/>
  <c r="V20" i="2"/>
  <c r="X30" i="2"/>
  <c r="W30" i="2"/>
  <c r="V30" i="2"/>
  <c r="U30" i="2"/>
  <c r="Y30" i="2"/>
  <c r="X29" i="2"/>
  <c r="W29" i="2"/>
  <c r="V29" i="2"/>
  <c r="U29" i="2"/>
  <c r="Y29" i="2"/>
  <c r="X35" i="2"/>
  <c r="W35" i="2"/>
  <c r="V35" i="2"/>
  <c r="U35" i="2"/>
  <c r="Y35" i="2"/>
  <c r="X36" i="2"/>
  <c r="W36" i="2"/>
  <c r="V36" i="2"/>
  <c r="U36" i="2"/>
  <c r="Y36" i="2"/>
  <c r="X37" i="2"/>
  <c r="W37" i="2"/>
  <c r="V37" i="2"/>
  <c r="U37" i="2"/>
  <c r="Y37" i="2"/>
  <c r="W20" i="2"/>
  <c r="Y17" i="2"/>
  <c r="Y19" i="2" s="1"/>
  <c r="Y22" i="2" s="1"/>
  <c r="Y24" i="2" s="1"/>
  <c r="Y26" i="2" s="1"/>
  <c r="X17" i="2"/>
  <c r="X19" i="2" s="1"/>
  <c r="X22" i="2" s="1"/>
  <c r="X24" i="2" s="1"/>
  <c r="X26" i="2" s="1"/>
  <c r="W17" i="2"/>
  <c r="W19" i="2" s="1"/>
  <c r="W39" i="2" s="1"/>
  <c r="V17" i="2"/>
  <c r="V38" i="2" s="1"/>
  <c r="U17" i="2"/>
  <c r="U38" i="2" s="1"/>
  <c r="T17" i="2"/>
  <c r="T19" i="2" s="1"/>
  <c r="T22" i="2" s="1"/>
  <c r="T24" i="2" s="1"/>
  <c r="Z69" i="2"/>
  <c r="Y69" i="2"/>
  <c r="X69" i="2"/>
  <c r="W69" i="2"/>
  <c r="V69" i="2"/>
  <c r="U69" i="2"/>
  <c r="T69" i="2"/>
  <c r="Z63" i="2"/>
  <c r="Y63" i="2"/>
  <c r="X63" i="2"/>
  <c r="W63" i="2"/>
  <c r="V63" i="2"/>
  <c r="U63" i="2"/>
  <c r="T63" i="2"/>
  <c r="Z58" i="2"/>
  <c r="Y58" i="2"/>
  <c r="X58" i="2"/>
  <c r="W58" i="2"/>
  <c r="V58" i="2"/>
  <c r="U58" i="2"/>
  <c r="T58" i="2"/>
  <c r="Z52" i="2"/>
  <c r="Y52" i="2"/>
  <c r="X52" i="2"/>
  <c r="W52" i="2"/>
  <c r="V52" i="2"/>
  <c r="U52" i="2"/>
  <c r="T52" i="2"/>
  <c r="Y48" i="2"/>
  <c r="X48" i="2"/>
  <c r="W48" i="2"/>
  <c r="V48" i="2"/>
  <c r="U48" i="2"/>
  <c r="T48" i="2"/>
  <c r="J93" i="2"/>
  <c r="I93" i="2"/>
  <c r="H93" i="2"/>
  <c r="G93" i="2"/>
  <c r="F93" i="2"/>
  <c r="E93" i="2"/>
  <c r="D93" i="2"/>
  <c r="C93" i="2"/>
  <c r="J86" i="2"/>
  <c r="I86" i="2"/>
  <c r="H86" i="2"/>
  <c r="G86" i="2"/>
  <c r="F86" i="2"/>
  <c r="E86" i="2"/>
  <c r="D86" i="2"/>
  <c r="C86" i="2"/>
  <c r="J69" i="2"/>
  <c r="I69" i="2"/>
  <c r="H69" i="2"/>
  <c r="G69" i="2"/>
  <c r="F69" i="2"/>
  <c r="E69" i="2"/>
  <c r="D69" i="2"/>
  <c r="C69" i="2"/>
  <c r="J63" i="2"/>
  <c r="I63" i="2"/>
  <c r="H63" i="2"/>
  <c r="G63" i="2"/>
  <c r="F63" i="2"/>
  <c r="E63" i="2"/>
  <c r="D63" i="2"/>
  <c r="C63" i="2"/>
  <c r="J58" i="2"/>
  <c r="I58" i="2"/>
  <c r="H58" i="2"/>
  <c r="G58" i="2"/>
  <c r="F58" i="2"/>
  <c r="E58" i="2"/>
  <c r="D58" i="2"/>
  <c r="C58" i="2"/>
  <c r="J52" i="2"/>
  <c r="I52" i="2"/>
  <c r="H52" i="2"/>
  <c r="G52" i="2"/>
  <c r="F52" i="2"/>
  <c r="E52" i="2"/>
  <c r="D52" i="2"/>
  <c r="C52" i="2"/>
  <c r="J48" i="2"/>
  <c r="I48" i="2"/>
  <c r="H48" i="2"/>
  <c r="G48" i="2"/>
  <c r="F48" i="2"/>
  <c r="E48" i="2"/>
  <c r="D48" i="2"/>
  <c r="C48" i="2"/>
  <c r="I37" i="2"/>
  <c r="H37" i="2"/>
  <c r="G37" i="2"/>
  <c r="I17" i="2"/>
  <c r="I19" i="2" s="1"/>
  <c r="I39" i="2" s="1"/>
  <c r="H17" i="2"/>
  <c r="H19" i="2" s="1"/>
  <c r="H39" i="2" s="1"/>
  <c r="G17" i="2"/>
  <c r="G38" i="2" s="1"/>
  <c r="E17" i="2"/>
  <c r="E19" i="2" s="1"/>
  <c r="D17" i="2"/>
  <c r="D38" i="2" s="1"/>
  <c r="C17" i="2"/>
  <c r="C38" i="2" s="1"/>
  <c r="P41" i="2" l="1"/>
  <c r="AA64" i="2"/>
  <c r="AA70" i="2"/>
  <c r="J17" i="2"/>
  <c r="J38" i="2" s="1"/>
  <c r="J31" i="2"/>
  <c r="J33" i="2"/>
  <c r="J35" i="2"/>
  <c r="K19" i="2"/>
  <c r="K22" i="2" s="1"/>
  <c r="J32" i="2"/>
  <c r="J34" i="2"/>
  <c r="J36" i="2"/>
  <c r="J37" i="2"/>
  <c r="L22" i="2"/>
  <c r="L39" i="2"/>
  <c r="M22" i="2"/>
  <c r="M40" i="2"/>
  <c r="M39" i="2"/>
  <c r="M38" i="2"/>
  <c r="L38" i="2"/>
  <c r="AA19" i="2"/>
  <c r="F17" i="2"/>
  <c r="F38" i="2" s="1"/>
  <c r="K6" i="2"/>
  <c r="J6" i="2"/>
  <c r="F6" i="2"/>
  <c r="Z19" i="2"/>
  <c r="Z64" i="2"/>
  <c r="Z70" i="2" s="1"/>
  <c r="Y40" i="2"/>
  <c r="X40" i="2"/>
  <c r="U53" i="2"/>
  <c r="Y53" i="2"/>
  <c r="H22" i="2"/>
  <c r="I40" i="2"/>
  <c r="V19" i="2"/>
  <c r="T53" i="2"/>
  <c r="Z53" i="2"/>
  <c r="V64" i="2"/>
  <c r="V70" i="2" s="1"/>
  <c r="X39" i="2"/>
  <c r="Y39" i="2"/>
  <c r="T64" i="2"/>
  <c r="T70" i="2" s="1"/>
  <c r="U64" i="2"/>
  <c r="U70" i="2" s="1"/>
  <c r="V53" i="2"/>
  <c r="W53" i="2"/>
  <c r="W64" i="2"/>
  <c r="W70" i="2" s="1"/>
  <c r="X53" i="2"/>
  <c r="X72" i="2"/>
  <c r="X87" i="2" s="1"/>
  <c r="Y72" i="2"/>
  <c r="Y87" i="2" s="1"/>
  <c r="U19" i="2"/>
  <c r="Y38" i="2"/>
  <c r="T26" i="2"/>
  <c r="T72" i="2"/>
  <c r="T87" i="2" s="1"/>
  <c r="W38" i="2"/>
  <c r="X41" i="2"/>
  <c r="D53" i="2"/>
  <c r="X38" i="2"/>
  <c r="Y41" i="2"/>
  <c r="W22" i="2"/>
  <c r="X64" i="2"/>
  <c r="X70" i="2" s="1"/>
  <c r="Y64" i="2"/>
  <c r="Y70" i="2" s="1"/>
  <c r="D64" i="2"/>
  <c r="D70" i="2" s="1"/>
  <c r="E64" i="2"/>
  <c r="E70" i="2" s="1"/>
  <c r="I53" i="2"/>
  <c r="F64" i="2"/>
  <c r="F70" i="2" s="1"/>
  <c r="H38" i="2"/>
  <c r="I38" i="2"/>
  <c r="J53" i="2"/>
  <c r="G19" i="2"/>
  <c r="H40" i="2" s="1"/>
  <c r="I64" i="2"/>
  <c r="I70" i="2" s="1"/>
  <c r="J64" i="2"/>
  <c r="J70" i="2" s="1"/>
  <c r="F53" i="2"/>
  <c r="H53" i="2"/>
  <c r="F19" i="2"/>
  <c r="E38" i="2"/>
  <c r="E53" i="2"/>
  <c r="H64" i="2"/>
  <c r="H70" i="2" s="1"/>
  <c r="E22" i="2"/>
  <c r="E39" i="2"/>
  <c r="G64" i="2"/>
  <c r="G70" i="2" s="1"/>
  <c r="G53" i="2"/>
  <c r="I22" i="2"/>
  <c r="J19" i="2"/>
  <c r="J40" i="2" s="1"/>
  <c r="C64" i="2"/>
  <c r="C70" i="2" s="1"/>
  <c r="C19" i="2"/>
  <c r="D19" i="2"/>
  <c r="C53" i="2"/>
  <c r="K41" i="2" l="1"/>
  <c r="K24" i="2"/>
  <c r="K26" i="2" s="1"/>
  <c r="K39" i="2"/>
  <c r="L40" i="2"/>
  <c r="K40" i="2"/>
  <c r="AA40" i="2"/>
  <c r="AA39" i="2"/>
  <c r="AA22" i="2"/>
  <c r="M24" i="2"/>
  <c r="M26" i="2" s="1"/>
  <c r="M41" i="2"/>
  <c r="L41" i="2"/>
  <c r="L24" i="2"/>
  <c r="L26" i="2" s="1"/>
  <c r="Z39" i="2"/>
  <c r="Z22" i="2"/>
  <c r="Z40" i="2"/>
  <c r="U22" i="2"/>
  <c r="U24" i="2" s="1"/>
  <c r="U40" i="2"/>
  <c r="W40" i="2"/>
  <c r="V40" i="2"/>
  <c r="F22" i="2"/>
  <c r="F41" i="2" s="1"/>
  <c r="F40" i="2"/>
  <c r="G39" i="2"/>
  <c r="G40" i="2"/>
  <c r="D40" i="2"/>
  <c r="E40" i="2"/>
  <c r="J7" i="1"/>
  <c r="V22" i="2"/>
  <c r="V41" i="2" s="1"/>
  <c r="V39" i="2"/>
  <c r="U39" i="2"/>
  <c r="W24" i="2"/>
  <c r="W41" i="2"/>
  <c r="F39" i="2"/>
  <c r="G22" i="2"/>
  <c r="G41" i="2" s="1"/>
  <c r="D22" i="2"/>
  <c r="D39" i="2"/>
  <c r="H24" i="2"/>
  <c r="H26" i="2" s="1"/>
  <c r="H41" i="2"/>
  <c r="C22" i="2"/>
  <c r="C39" i="2"/>
  <c r="J39" i="2"/>
  <c r="J22" i="2"/>
  <c r="I24" i="2"/>
  <c r="I26" i="2" s="1"/>
  <c r="I41" i="2"/>
  <c r="E41" i="2"/>
  <c r="E24" i="2"/>
  <c r="E26" i="2" s="1"/>
  <c r="AA41" i="2" l="1"/>
  <c r="AA24" i="2"/>
  <c r="Z41" i="2"/>
  <c r="Z24" i="2"/>
  <c r="V24" i="2"/>
  <c r="U72" i="2"/>
  <c r="U87" i="2" s="1"/>
  <c r="U26" i="2"/>
  <c r="U41" i="2"/>
  <c r="F24" i="2"/>
  <c r="W26" i="2"/>
  <c r="W72" i="2"/>
  <c r="W87" i="2" s="1"/>
  <c r="G24" i="2"/>
  <c r="E72" i="2"/>
  <c r="E87" i="2" s="1"/>
  <c r="E102" i="2" s="1"/>
  <c r="C41" i="2"/>
  <c r="C24" i="2"/>
  <c r="I72" i="2"/>
  <c r="I87" i="2" s="1"/>
  <c r="I102" i="2" s="1"/>
  <c r="J24" i="2"/>
  <c r="J26" i="2" s="1"/>
  <c r="J41" i="2"/>
  <c r="H72" i="2"/>
  <c r="H87" i="2" s="1"/>
  <c r="H102" i="2" s="1"/>
  <c r="D41" i="2"/>
  <c r="D24" i="2"/>
  <c r="D26" i="2" s="1"/>
  <c r="AA26" i="2" l="1"/>
  <c r="AA72" i="2"/>
  <c r="AA87" i="2" s="1"/>
  <c r="F72" i="2"/>
  <c r="F87" i="2" s="1"/>
  <c r="F102" i="2" s="1"/>
  <c r="F26" i="2"/>
  <c r="Z26" i="2"/>
  <c r="Z72" i="2"/>
  <c r="Z87" i="2" s="1"/>
  <c r="V26" i="2"/>
  <c r="V72" i="2"/>
  <c r="V87" i="2" s="1"/>
  <c r="G72" i="2"/>
  <c r="G87" i="2" s="1"/>
  <c r="G102" i="2" s="1"/>
  <c r="G104" i="2" s="1"/>
  <c r="G26" i="2"/>
  <c r="D72" i="2"/>
  <c r="D87" i="2" s="1"/>
  <c r="D102" i="2" s="1"/>
  <c r="C72" i="2"/>
  <c r="C87" i="2" s="1"/>
  <c r="C102" i="2" s="1"/>
  <c r="C104" i="2" s="1"/>
  <c r="C26" i="2"/>
  <c r="J72" i="2"/>
  <c r="J87" i="2" s="1"/>
  <c r="J102" i="2" s="1"/>
</calcChain>
</file>

<file path=xl/sharedStrings.xml><?xml version="1.0" encoding="utf-8"?>
<sst xmlns="http://schemas.openxmlformats.org/spreadsheetml/2006/main" count="172" uniqueCount="160">
  <si>
    <t>GAP</t>
  </si>
  <si>
    <t>SEC</t>
  </si>
  <si>
    <t>IR</t>
  </si>
  <si>
    <t>Price</t>
  </si>
  <si>
    <t>Shares</t>
  </si>
  <si>
    <t>Q124</t>
  </si>
  <si>
    <t>MC</t>
  </si>
  <si>
    <t>Cash</t>
  </si>
  <si>
    <t>Debt</t>
  </si>
  <si>
    <t>EV</t>
  </si>
  <si>
    <t>GAP Inc</t>
  </si>
  <si>
    <t>Main</t>
  </si>
  <si>
    <t>Revenue</t>
  </si>
  <si>
    <t>COGS</t>
  </si>
  <si>
    <t>Gross Profit</t>
  </si>
  <si>
    <t>Q224</t>
  </si>
  <si>
    <t>Q324</t>
  </si>
  <si>
    <t>Q424</t>
  </si>
  <si>
    <t>FY18</t>
  </si>
  <si>
    <t>FY19</t>
  </si>
  <si>
    <t>FY20</t>
  </si>
  <si>
    <t>FY21</t>
  </si>
  <si>
    <t>FY22</t>
  </si>
  <si>
    <t>FY23</t>
  </si>
  <si>
    <t>FY24</t>
  </si>
  <si>
    <t>Operating Expenses</t>
  </si>
  <si>
    <t>Operating Income</t>
  </si>
  <si>
    <t>Interest Expense</t>
  </si>
  <si>
    <t>Interest Income</t>
  </si>
  <si>
    <t>Pretax Income</t>
  </si>
  <si>
    <t>Net Income</t>
  </si>
  <si>
    <t>Income Tax Expense</t>
  </si>
  <si>
    <t>EPS</t>
  </si>
  <si>
    <t>Revenue Growth</t>
  </si>
  <si>
    <t>Gross Margin</t>
  </si>
  <si>
    <t>Operating Margin</t>
  </si>
  <si>
    <t>Tax Rate</t>
  </si>
  <si>
    <t>Cash and Cash Equivalents</t>
  </si>
  <si>
    <t>Short Term Investments</t>
  </si>
  <si>
    <t>Merchandise Invesntory</t>
  </si>
  <si>
    <t xml:space="preserve">Other Current Assets </t>
  </si>
  <si>
    <t>Total Current Assets</t>
  </si>
  <si>
    <t>Accrued Expenses</t>
  </si>
  <si>
    <t>PP&amp;E</t>
  </si>
  <si>
    <t>Lease Assets</t>
  </si>
  <si>
    <t>Other</t>
  </si>
  <si>
    <t>Total Non Current Assets</t>
  </si>
  <si>
    <t>Total Assets</t>
  </si>
  <si>
    <t>Accounts Payabales</t>
  </si>
  <si>
    <t>Current Portion of Lease Liabilities</t>
  </si>
  <si>
    <t>Income Tax Paybles</t>
  </si>
  <si>
    <t>Total Current Liabilties</t>
  </si>
  <si>
    <t>Revolver Credit</t>
  </si>
  <si>
    <t>Lease Debt</t>
  </si>
  <si>
    <t>Total Long-Term Liabilities</t>
  </si>
  <si>
    <t>Total Liabilities</t>
  </si>
  <si>
    <t>Common Stock</t>
  </si>
  <si>
    <t>Paid in Capital</t>
  </si>
  <si>
    <t>Retained Earnings</t>
  </si>
  <si>
    <t>Comprehensive Income</t>
  </si>
  <si>
    <t>Total Equity</t>
  </si>
  <si>
    <t>Total Liabilities and Equity</t>
  </si>
  <si>
    <t>D&amp;A</t>
  </si>
  <si>
    <t>Share-based Compensations</t>
  </si>
  <si>
    <t>Other Non-Cash Adjustments</t>
  </si>
  <si>
    <t>Gain on Sale of Building</t>
  </si>
  <si>
    <t>Deffered Income Tax</t>
  </si>
  <si>
    <t>Change in WC:</t>
  </si>
  <si>
    <t>Inventory</t>
  </si>
  <si>
    <t>Account Payables</t>
  </si>
  <si>
    <t>Income Tax Payables</t>
  </si>
  <si>
    <t>Other Current Liabilties</t>
  </si>
  <si>
    <t>Other Current Assets</t>
  </si>
  <si>
    <t>Total</t>
  </si>
  <si>
    <t>CFFO</t>
  </si>
  <si>
    <t>Operating Lease assets/liabilties</t>
  </si>
  <si>
    <t>CapEx</t>
  </si>
  <si>
    <t>Sales of Building</t>
  </si>
  <si>
    <t>Purchase of Short Term Investments</t>
  </si>
  <si>
    <t>Sale of Short Term Investments</t>
  </si>
  <si>
    <t>Devisititure Activity</t>
  </si>
  <si>
    <t>CFFI</t>
  </si>
  <si>
    <t>Issuance of Stock based Compensations</t>
  </si>
  <si>
    <t>Withhold Taxpayments for vest stocks</t>
  </si>
  <si>
    <t>Dividend paid</t>
  </si>
  <si>
    <t>CFFF</t>
  </si>
  <si>
    <t>Net Change in Cash</t>
  </si>
  <si>
    <t>Cash BOP</t>
  </si>
  <si>
    <t>Cash EOP</t>
  </si>
  <si>
    <t>Business Model</t>
  </si>
  <si>
    <t>Brand</t>
  </si>
  <si>
    <t>Old Navy</t>
  </si>
  <si>
    <t>Banana Republic</t>
  </si>
  <si>
    <t>Athleta Brands</t>
  </si>
  <si>
    <t>Notes</t>
  </si>
  <si>
    <t>% of Rev</t>
  </si>
  <si>
    <t>Products</t>
  </si>
  <si>
    <t>Competitors</t>
  </si>
  <si>
    <t>Appereal, Accessoires, Personal Care</t>
  </si>
  <si>
    <t>"Affordable" Lifestyle Brand -&gt; Appereal, Accessoires</t>
  </si>
  <si>
    <t>H&amp;M, Zara</t>
  </si>
  <si>
    <t>Premium Men/Womenwear, Home Products</t>
  </si>
  <si>
    <t>RL, Marco Polo, Lacoste</t>
  </si>
  <si>
    <t>Appereal &amp; Accessoires</t>
  </si>
  <si>
    <t>Abercrombie</t>
  </si>
  <si>
    <t>Premium Fitness Lifestyle Products</t>
  </si>
  <si>
    <t>Lululemon, Nike, etc.</t>
  </si>
  <si>
    <t>Number of Stores</t>
  </si>
  <si>
    <t>Franchise Stores</t>
  </si>
  <si>
    <t>Store Revenue</t>
  </si>
  <si>
    <t>Online Shop Revenue</t>
  </si>
  <si>
    <t>Store Growth</t>
  </si>
  <si>
    <t>Franchise Growth</t>
  </si>
  <si>
    <t>Store Revenue Growth</t>
  </si>
  <si>
    <t>Contribution Margin</t>
  </si>
  <si>
    <t>P/E</t>
  </si>
  <si>
    <t>Q225</t>
  </si>
  <si>
    <t>Q125</t>
  </si>
  <si>
    <t>Q325</t>
  </si>
  <si>
    <t>Q425</t>
  </si>
  <si>
    <t>FX effects</t>
  </si>
  <si>
    <t>numbers in mio USD</t>
  </si>
  <si>
    <t>Q123</t>
  </si>
  <si>
    <t>Q423</t>
  </si>
  <si>
    <t>FY25</t>
  </si>
  <si>
    <t>ARPS</t>
  </si>
  <si>
    <t>Total Stores</t>
  </si>
  <si>
    <t>Old Navy Global</t>
  </si>
  <si>
    <t>Gap Global</t>
  </si>
  <si>
    <t>Banana Republic Global</t>
  </si>
  <si>
    <t>Athleta Global</t>
  </si>
  <si>
    <t>Old Navy Growth</t>
  </si>
  <si>
    <t>GAP Growth</t>
  </si>
  <si>
    <t>Banana Republic Growth</t>
  </si>
  <si>
    <t>Athletea Growth</t>
  </si>
  <si>
    <t>Online Growth</t>
  </si>
  <si>
    <t>Founded 1969</t>
  </si>
  <si>
    <t>Managment</t>
  </si>
  <si>
    <t>CEO</t>
  </si>
  <si>
    <t>CFO</t>
  </si>
  <si>
    <t>Richard Dickson</t>
  </si>
  <si>
    <t>Katrina O'Connell</t>
  </si>
  <si>
    <t>Old Navy CEO</t>
  </si>
  <si>
    <t>Haip Barbeito</t>
  </si>
  <si>
    <t>GAP CEO</t>
  </si>
  <si>
    <t>Mark Breitbard</t>
  </si>
  <si>
    <t>Athleta CEO</t>
  </si>
  <si>
    <t>Chris Blakeslee</t>
  </si>
  <si>
    <t>CSO</t>
  </si>
  <si>
    <t>CPO</t>
  </si>
  <si>
    <t>Eric Chan</t>
  </si>
  <si>
    <t>Amy Thompson</t>
  </si>
  <si>
    <t>Creative Director</t>
  </si>
  <si>
    <t>Zac Posen</t>
  </si>
  <si>
    <t>Q126</t>
  </si>
  <si>
    <t>Q226</t>
  </si>
  <si>
    <t>Q326</t>
  </si>
  <si>
    <t>Q426</t>
  </si>
  <si>
    <t>Repayment of debt</t>
  </si>
  <si>
    <t>Repurchase of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</si>
</sst>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#,##0.00;\(\-#,##0.00\)"/>
    <numFmt numFmtId="166" formatCode="#,##0.00;\(#,##0.00\)"/>
    <numFmt numFmtId="167" formatCode="#,##0;\(#,##0\)"/>
    <numFmt numFmtId="168" formatCode="0.0%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35">
    <xf numFmtId="0" fontId="0" fillId="0" borderId="0" xfId="0"/>
    <xf numFmtId="0" fontId="6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7" fillId="0" borderId="0" xfId="1" applyFont="1"/>
    <xf numFmtId="167" fontId="3" fillId="0" borderId="0" xfId="0" applyNumberFormat="1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3" fillId="0" borderId="4" xfId="0" applyFont="1" applyBorder="1"/>
    <xf numFmtId="168" fontId="3" fillId="0" borderId="5" xfId="2" applyNumberFormat="1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8" fontId="3" fillId="0" borderId="0" xfId="0" applyNumberFormat="1" applyFont="1"/>
    <xf numFmtId="0" fontId="3" fillId="0" borderId="8" xfId="0" applyFont="1" applyBorder="1"/>
    <xf numFmtId="168" fontId="3" fillId="0" borderId="0" xfId="2" applyNumberFormat="1" applyFont="1"/>
    <xf numFmtId="2" fontId="3" fillId="0" borderId="0" xfId="0" applyNumberFormat="1" applyFont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8" fillId="0" borderId="0" xfId="0" applyFont="1"/>
    <xf numFmtId="10" fontId="3" fillId="0" borderId="0" xfId="0" applyNumberFormat="1" applyFont="1"/>
    <xf numFmtId="167" fontId="6" fillId="0" borderId="0" xfId="0" applyNumberFormat="1" applyFont="1"/>
    <xf numFmtId="166" fontId="3" fillId="0" borderId="0" xfId="0" applyNumberFormat="1" applyFont="1"/>
    <xf numFmtId="0" fontId="3" fillId="0" borderId="0" xfId="0" applyFont="1" applyAlignment="1">
      <alignment horizontal="center"/>
    </xf>
    <xf numFmtId="165" fontId="3" fillId="0" borderId="0" xfId="0" applyNumberFormat="1" applyFont="1"/>
    <xf numFmtId="9" fontId="3" fillId="0" borderId="0" xfId="2" applyFont="1"/>
    <xf numFmtId="165" fontId="6" fillId="0" borderId="0" xfId="0" applyNumberFormat="1" applyFont="1"/>
    <xf numFmtId="9" fontId="6" fillId="0" borderId="0" xfId="2" applyFont="1"/>
    <xf numFmtId="166" fontId="6" fillId="0" borderId="0" xfId="0" applyNumberFormat="1" applyFont="1"/>
    <xf numFmtId="0" fontId="2" fillId="0" borderId="0" xfId="0" applyFont="1" applyAlignment="1">
      <alignment horizontal="right"/>
    </xf>
    <xf numFmtId="167" fontId="2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right"/>
    </xf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apinc.com/en-us/investors" TargetMode="External"/><Relationship Id="rId1" Type="http://schemas.openxmlformats.org/officeDocument/2006/relationships/hyperlink" Target="https://www.sec.gov/edgar/browse/?CIK=39911&amp;owner=exclu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29C52-BB44-40A0-B598-95160E4D3AF4}">
  <dimension ref="A1:K21"/>
  <sheetViews>
    <sheetView tabSelected="1" topLeftCell="F1" zoomScale="200" zoomScaleNormal="200" workbookViewId="0">
      <selection activeCell="J7" sqref="J7"/>
    </sheetView>
  </sheetViews>
  <sheetFormatPr defaultRowHeight="12.75" x14ac:dyDescent="0.2"/>
  <cols>
    <col min="1" max="1" width="3.42578125" style="2" customWidth="1"/>
    <col min="2" max="2" width="14.42578125" style="2" bestFit="1" customWidth="1"/>
    <col min="3" max="3" width="9.140625" style="2"/>
    <col min="4" max="4" width="43.5703125" style="2" bestFit="1" customWidth="1"/>
    <col min="5" max="5" width="20.28515625" style="2" bestFit="1" customWidth="1"/>
    <col min="6" max="6" width="11.5703125" style="2" customWidth="1"/>
    <col min="7" max="7" width="15.5703125" style="2" bestFit="1" customWidth="1"/>
    <col min="8" max="16384" width="9.140625" style="2"/>
  </cols>
  <sheetData>
    <row r="1" spans="1:11" x14ac:dyDescent="0.2">
      <c r="A1" s="1" t="s">
        <v>10</v>
      </c>
    </row>
    <row r="2" spans="1:11" x14ac:dyDescent="0.2">
      <c r="A2" s="2" t="s">
        <v>121</v>
      </c>
      <c r="I2" s="2" t="s">
        <v>3</v>
      </c>
      <c r="J2" s="2">
        <v>23.84</v>
      </c>
    </row>
    <row r="3" spans="1:11" x14ac:dyDescent="0.2">
      <c r="I3" s="2" t="s">
        <v>4</v>
      </c>
      <c r="J3" s="5">
        <v>355</v>
      </c>
      <c r="K3" s="34" t="s">
        <v>155</v>
      </c>
    </row>
    <row r="4" spans="1:11" x14ac:dyDescent="0.2">
      <c r="B4" s="4" t="s">
        <v>2</v>
      </c>
      <c r="C4" s="4" t="s">
        <v>1</v>
      </c>
      <c r="I4" s="2" t="s">
        <v>6</v>
      </c>
      <c r="J4" s="5">
        <f>J3*J2</f>
        <v>8463.2000000000007</v>
      </c>
      <c r="K4" s="3"/>
    </row>
    <row r="5" spans="1:11" x14ac:dyDescent="0.2">
      <c r="B5" s="1" t="s">
        <v>89</v>
      </c>
      <c r="I5" s="2" t="s">
        <v>7</v>
      </c>
      <c r="J5" s="5">
        <f>2103+382</f>
        <v>2485</v>
      </c>
      <c r="K5" s="34" t="s">
        <v>155</v>
      </c>
    </row>
    <row r="6" spans="1:11" x14ac:dyDescent="0.2">
      <c r="B6" s="6" t="s">
        <v>90</v>
      </c>
      <c r="C6" s="7" t="s">
        <v>95</v>
      </c>
      <c r="D6" s="7" t="s">
        <v>96</v>
      </c>
      <c r="E6" s="7" t="s">
        <v>97</v>
      </c>
      <c r="F6" s="8"/>
      <c r="I6" s="2" t="s">
        <v>8</v>
      </c>
      <c r="J6" s="5">
        <v>1493</v>
      </c>
      <c r="K6" s="34" t="s">
        <v>155</v>
      </c>
    </row>
    <row r="7" spans="1:11" x14ac:dyDescent="0.2">
      <c r="B7" s="9" t="s">
        <v>0</v>
      </c>
      <c r="C7" s="10">
        <v>0.22099960228026</v>
      </c>
      <c r="D7" s="11" t="s">
        <v>103</v>
      </c>
      <c r="E7" s="11" t="s">
        <v>104</v>
      </c>
      <c r="F7" s="12"/>
      <c r="I7" s="2" t="s">
        <v>9</v>
      </c>
      <c r="J7" s="5">
        <f>J4+J6-J5</f>
        <v>7471.2000000000007</v>
      </c>
    </row>
    <row r="8" spans="1:11" x14ac:dyDescent="0.2">
      <c r="B8" s="13" t="s">
        <v>91</v>
      </c>
      <c r="C8" s="14">
        <v>0.55687392284237003</v>
      </c>
      <c r="D8" s="2" t="s">
        <v>99</v>
      </c>
      <c r="E8" s="2" t="s">
        <v>100</v>
      </c>
      <c r="F8" s="15"/>
    </row>
    <row r="9" spans="1:11" x14ac:dyDescent="0.2">
      <c r="B9" s="13" t="s">
        <v>92</v>
      </c>
      <c r="C9" s="16">
        <v>0.13210924035529631</v>
      </c>
      <c r="D9" s="2" t="s">
        <v>101</v>
      </c>
      <c r="E9" s="2" t="s">
        <v>102</v>
      </c>
      <c r="F9" s="15"/>
      <c r="I9" s="2" t="s">
        <v>115</v>
      </c>
      <c r="J9" s="17">
        <f>+J4/844</f>
        <v>10.027488151658769</v>
      </c>
    </row>
    <row r="10" spans="1:11" x14ac:dyDescent="0.2">
      <c r="B10" s="13" t="s">
        <v>93</v>
      </c>
      <c r="C10" s="16">
        <v>8.9685801405276419E-2</v>
      </c>
      <c r="D10" s="2" t="s">
        <v>105</v>
      </c>
      <c r="E10" s="2" t="s">
        <v>106</v>
      </c>
      <c r="F10" s="15"/>
    </row>
    <row r="11" spans="1:11" x14ac:dyDescent="0.2">
      <c r="B11" s="18"/>
      <c r="C11" s="19"/>
      <c r="D11" s="19"/>
      <c r="E11" s="19"/>
      <c r="F11" s="20"/>
    </row>
    <row r="13" spans="1:11" x14ac:dyDescent="0.2">
      <c r="B13" s="21" t="s">
        <v>94</v>
      </c>
      <c r="G13" s="21" t="s">
        <v>137</v>
      </c>
    </row>
    <row r="14" spans="1:11" x14ac:dyDescent="0.2">
      <c r="B14" s="2" t="s">
        <v>98</v>
      </c>
      <c r="G14" s="2" t="s">
        <v>138</v>
      </c>
      <c r="H14" s="2" t="s">
        <v>140</v>
      </c>
    </row>
    <row r="15" spans="1:11" x14ac:dyDescent="0.2">
      <c r="B15" s="2" t="s">
        <v>136</v>
      </c>
      <c r="G15" s="2" t="s">
        <v>139</v>
      </c>
      <c r="H15" s="2" t="s">
        <v>141</v>
      </c>
    </row>
    <row r="16" spans="1:11" x14ac:dyDescent="0.2">
      <c r="C16" s="22"/>
      <c r="G16" s="2" t="s">
        <v>142</v>
      </c>
      <c r="H16" s="2" t="s">
        <v>143</v>
      </c>
    </row>
    <row r="17" spans="7:8" x14ac:dyDescent="0.2">
      <c r="G17" s="2" t="s">
        <v>144</v>
      </c>
      <c r="H17" s="2" t="s">
        <v>145</v>
      </c>
    </row>
    <row r="18" spans="7:8" x14ac:dyDescent="0.2">
      <c r="G18" s="2" t="s">
        <v>146</v>
      </c>
      <c r="H18" s="2" t="s">
        <v>147</v>
      </c>
    </row>
    <row r="19" spans="7:8" x14ac:dyDescent="0.2">
      <c r="G19" s="2" t="s">
        <v>148</v>
      </c>
      <c r="H19" s="2" t="s">
        <v>150</v>
      </c>
    </row>
    <row r="20" spans="7:8" x14ac:dyDescent="0.2">
      <c r="G20" s="2" t="s">
        <v>149</v>
      </c>
      <c r="H20" s="2" t="s">
        <v>151</v>
      </c>
    </row>
    <row r="21" spans="7:8" x14ac:dyDescent="0.2">
      <c r="G21" s="2" t="s">
        <v>152</v>
      </c>
      <c r="H21" s="2" t="s">
        <v>153</v>
      </c>
    </row>
  </sheetData>
  <hyperlinks>
    <hyperlink ref="C4" r:id="rId1" xr:uid="{EB8B7E33-70DC-4300-ADDE-D9FA973757D7}"/>
    <hyperlink ref="B4" r:id="rId2" xr:uid="{D96CEBDF-83D5-4016-B4E8-9E391024B12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EEEBF-2CF3-46B3-9270-C39008852D3A}">
  <dimension ref="A1:AL215"/>
  <sheetViews>
    <sheetView zoomScale="200" zoomScaleNormal="200" workbookViewId="0">
      <pane xSplit="2" ySplit="2" topLeftCell="L3" activePane="bottomRight" state="frozen"/>
      <selection pane="topRight" activeCell="C1" sqref="C1"/>
      <selection pane="bottomLeft" activeCell="A3" sqref="A3"/>
      <selection pane="bottomRight" activeCell="P39" sqref="P39"/>
    </sheetView>
  </sheetViews>
  <sheetFormatPr defaultRowHeight="12.75" x14ac:dyDescent="0.2"/>
  <cols>
    <col min="1" max="1" width="4.7109375" style="25" bestFit="1" customWidth="1"/>
    <col min="2" max="2" width="33.85546875" style="2" bestFit="1" customWidth="1"/>
    <col min="3" max="10" width="8.85546875" style="2" bestFit="1" customWidth="1"/>
    <col min="11" max="13" width="8.85546875" style="2" customWidth="1"/>
    <col min="14" max="19" width="9.140625" style="2"/>
    <col min="20" max="21" width="8.85546875" style="2" bestFit="1" customWidth="1"/>
    <col min="22" max="22" width="9.140625" style="2" bestFit="1" customWidth="1"/>
    <col min="23" max="25" width="8.85546875" style="2" bestFit="1" customWidth="1"/>
    <col min="26" max="16384" width="9.140625" style="2"/>
  </cols>
  <sheetData>
    <row r="1" spans="1:38" x14ac:dyDescent="0.2">
      <c r="A1" s="4" t="s">
        <v>11</v>
      </c>
    </row>
    <row r="2" spans="1:38" x14ac:dyDescent="0.2">
      <c r="A2" s="2"/>
      <c r="C2" s="3" t="s">
        <v>122</v>
      </c>
      <c r="D2" s="3" t="s">
        <v>15</v>
      </c>
      <c r="E2" s="3" t="s">
        <v>16</v>
      </c>
      <c r="F2" s="3" t="s">
        <v>123</v>
      </c>
      <c r="G2" s="3" t="s">
        <v>5</v>
      </c>
      <c r="H2" s="3" t="s">
        <v>15</v>
      </c>
      <c r="I2" s="3" t="s">
        <v>16</v>
      </c>
      <c r="J2" s="3" t="s">
        <v>17</v>
      </c>
      <c r="K2" s="3" t="s">
        <v>117</v>
      </c>
      <c r="L2" s="3" t="s">
        <v>116</v>
      </c>
      <c r="M2" s="3" t="s">
        <v>118</v>
      </c>
      <c r="N2" s="3" t="s">
        <v>119</v>
      </c>
      <c r="O2" s="31" t="s">
        <v>154</v>
      </c>
      <c r="P2" s="31" t="s">
        <v>155</v>
      </c>
      <c r="Q2" s="31" t="s">
        <v>156</v>
      </c>
      <c r="R2" s="31" t="s">
        <v>157</v>
      </c>
      <c r="S2" s="3"/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124</v>
      </c>
    </row>
    <row r="3" spans="1:38" x14ac:dyDescent="0.2">
      <c r="A3" s="2"/>
      <c r="B3" s="2" t="s">
        <v>107</v>
      </c>
      <c r="C3" s="5">
        <v>2601</v>
      </c>
      <c r="D3" s="5">
        <v>2592</v>
      </c>
      <c r="E3" s="5">
        <v>2598</v>
      </c>
      <c r="F3" s="5">
        <v>2562</v>
      </c>
      <c r="G3" s="5">
        <v>2554</v>
      </c>
      <c r="H3" s="5">
        <v>2541</v>
      </c>
      <c r="I3" s="5">
        <v>2544</v>
      </c>
      <c r="J3" s="5">
        <v>2506</v>
      </c>
      <c r="K3" s="5">
        <v>2496</v>
      </c>
      <c r="L3" s="5">
        <v>2440</v>
      </c>
      <c r="M3" s="5">
        <v>2497</v>
      </c>
      <c r="N3" s="5"/>
      <c r="O3" s="5">
        <v>2477</v>
      </c>
      <c r="P3" s="5">
        <v>2471</v>
      </c>
      <c r="Q3" s="5"/>
      <c r="R3" s="5"/>
      <c r="S3" s="5"/>
      <c r="T3" s="5">
        <v>3194</v>
      </c>
      <c r="U3" s="5">
        <v>3345</v>
      </c>
      <c r="V3" s="5">
        <v>2835</v>
      </c>
      <c r="W3" s="5">
        <v>2685</v>
      </c>
      <c r="X3" s="5">
        <v>2685</v>
      </c>
      <c r="Y3" s="5">
        <v>2562</v>
      </c>
      <c r="Z3" s="5">
        <v>2506</v>
      </c>
      <c r="AA3" s="5">
        <v>2474</v>
      </c>
      <c r="AB3" s="5"/>
      <c r="AC3" s="5"/>
      <c r="AD3" s="5"/>
      <c r="AE3" s="5"/>
      <c r="AF3" s="5"/>
      <c r="AG3" s="5"/>
      <c r="AH3" s="5"/>
    </row>
    <row r="4" spans="1:38" x14ac:dyDescent="0.2">
      <c r="A4" s="2"/>
      <c r="B4" s="2" t="s">
        <v>108</v>
      </c>
      <c r="C4" s="5">
        <v>852</v>
      </c>
      <c r="D4" s="5">
        <v>864</v>
      </c>
      <c r="E4" s="5">
        <v>935</v>
      </c>
      <c r="F4" s="5">
        <v>998</v>
      </c>
      <c r="G4" s="5">
        <v>1017</v>
      </c>
      <c r="H4" s="5">
        <v>1027</v>
      </c>
      <c r="I4" s="5">
        <v>1059</v>
      </c>
      <c r="J4" s="5">
        <v>1063</v>
      </c>
      <c r="K4" s="5">
        <v>1000</v>
      </c>
      <c r="L4" s="5">
        <v>1285</v>
      </c>
      <c r="M4" s="5">
        <v>1000</v>
      </c>
      <c r="N4" s="5"/>
      <c r="O4" s="5">
        <v>1000</v>
      </c>
      <c r="P4" s="5">
        <v>1000</v>
      </c>
      <c r="Q4" s="5"/>
      <c r="R4" s="5"/>
      <c r="S4" s="5"/>
      <c r="T4" s="5">
        <v>472</v>
      </c>
      <c r="U4" s="5">
        <v>574</v>
      </c>
      <c r="V4" s="5">
        <v>564</v>
      </c>
      <c r="W4" s="5">
        <v>667</v>
      </c>
      <c r="X4" s="5">
        <v>667</v>
      </c>
      <c r="Y4" s="5">
        <v>998</v>
      </c>
      <c r="Z4" s="5">
        <v>1063</v>
      </c>
      <c r="AA4" s="5">
        <v>1000</v>
      </c>
      <c r="AB4" s="5"/>
      <c r="AC4" s="5"/>
      <c r="AD4" s="5"/>
      <c r="AE4" s="5"/>
      <c r="AF4" s="5"/>
      <c r="AG4" s="5"/>
      <c r="AH4" s="5"/>
    </row>
    <row r="5" spans="1:38" x14ac:dyDescent="0.2">
      <c r="A5" s="2"/>
      <c r="B5" s="1" t="s">
        <v>126</v>
      </c>
      <c r="C5" s="23">
        <f>+C3+C4</f>
        <v>3453</v>
      </c>
      <c r="D5" s="23">
        <f t="shared" ref="D5:P5" si="0">+D3+D4</f>
        <v>3456</v>
      </c>
      <c r="E5" s="23">
        <f t="shared" si="0"/>
        <v>3533</v>
      </c>
      <c r="F5" s="23">
        <f t="shared" si="0"/>
        <v>3560</v>
      </c>
      <c r="G5" s="23">
        <f t="shared" si="0"/>
        <v>3571</v>
      </c>
      <c r="H5" s="23">
        <f t="shared" si="0"/>
        <v>3568</v>
      </c>
      <c r="I5" s="23">
        <f t="shared" si="0"/>
        <v>3603</v>
      </c>
      <c r="J5" s="23">
        <f t="shared" si="0"/>
        <v>3569</v>
      </c>
      <c r="K5" s="23">
        <f t="shared" si="0"/>
        <v>3496</v>
      </c>
      <c r="L5" s="23">
        <f t="shared" si="0"/>
        <v>3725</v>
      </c>
      <c r="M5" s="23">
        <f t="shared" si="0"/>
        <v>3497</v>
      </c>
      <c r="N5" s="23">
        <f t="shared" si="0"/>
        <v>0</v>
      </c>
      <c r="O5" s="23">
        <f t="shared" si="0"/>
        <v>3477</v>
      </c>
      <c r="P5" s="23">
        <f t="shared" si="0"/>
        <v>3471</v>
      </c>
      <c r="Q5" s="23"/>
      <c r="R5" s="23"/>
      <c r="S5" s="23"/>
      <c r="T5" s="23">
        <f t="shared" ref="T5" si="1">+T3+T4</f>
        <v>3666</v>
      </c>
      <c r="U5" s="23">
        <f t="shared" ref="U5" si="2">+U3+U4</f>
        <v>3919</v>
      </c>
      <c r="V5" s="23">
        <f t="shared" ref="V5" si="3">+V3+V4</f>
        <v>3399</v>
      </c>
      <c r="W5" s="23">
        <f t="shared" ref="W5" si="4">+W3+W4</f>
        <v>3352</v>
      </c>
      <c r="X5" s="23">
        <f t="shared" ref="X5" si="5">+X3+X4</f>
        <v>3352</v>
      </c>
      <c r="Y5" s="23">
        <f t="shared" ref="Y5" si="6">+Y3+Y4</f>
        <v>3560</v>
      </c>
      <c r="Z5" s="23">
        <f t="shared" ref="Z5:AA5" si="7">+Z3+Z4</f>
        <v>3569</v>
      </c>
      <c r="AA5" s="23">
        <f t="shared" si="7"/>
        <v>3474</v>
      </c>
      <c r="AB5" s="23"/>
      <c r="AC5" s="23"/>
      <c r="AD5" s="5"/>
      <c r="AE5" s="5"/>
      <c r="AF5" s="5"/>
      <c r="AG5" s="5"/>
      <c r="AH5" s="5"/>
    </row>
    <row r="6" spans="1:38" x14ac:dyDescent="0.2">
      <c r="A6" s="2"/>
      <c r="B6" s="2" t="s">
        <v>125</v>
      </c>
      <c r="C6" s="24">
        <f t="shared" ref="C6:P6" si="8">+C13/C5</f>
        <v>0.59455545902114104</v>
      </c>
      <c r="D6" s="24">
        <f t="shared" si="8"/>
        <v>0.69068287037037035</v>
      </c>
      <c r="E6" s="24">
        <f t="shared" si="8"/>
        <v>0.65977922445513726</v>
      </c>
      <c r="F6" s="24">
        <f t="shared" si="8"/>
        <v>0.723314606741573</v>
      </c>
      <c r="G6" s="24">
        <f t="shared" si="8"/>
        <v>0.58975077009241106</v>
      </c>
      <c r="H6" s="24">
        <f t="shared" si="8"/>
        <v>0.69394618834080712</v>
      </c>
      <c r="I6" s="24">
        <f t="shared" si="8"/>
        <v>0.63530391340549541</v>
      </c>
      <c r="J6" s="24">
        <f t="shared" si="8"/>
        <v>0.6895488932474082</v>
      </c>
      <c r="K6" s="24">
        <f t="shared" si="8"/>
        <v>0.60424199084668184</v>
      </c>
      <c r="L6" s="24">
        <f t="shared" si="8"/>
        <v>0.65503355704697985</v>
      </c>
      <c r="M6" s="24">
        <f t="shared" si="8"/>
        <v>0.67715184443808984</v>
      </c>
      <c r="N6" s="24" t="e">
        <f t="shared" si="8"/>
        <v>#DIV/0!</v>
      </c>
      <c r="O6" s="24">
        <f t="shared" si="8"/>
        <v>0.62180040264595915</v>
      </c>
      <c r="P6" s="24">
        <f t="shared" si="8"/>
        <v>0.68187842120426378</v>
      </c>
      <c r="Q6" s="24"/>
      <c r="R6" s="24"/>
      <c r="S6" s="24"/>
      <c r="T6" s="24">
        <f t="shared" ref="T6:AA6" si="9">+T13/T5</f>
        <v>3.5081833060556464</v>
      </c>
      <c r="U6" s="24">
        <f t="shared" si="9"/>
        <v>3.1370247512120439</v>
      </c>
      <c r="V6" s="24">
        <f t="shared" si="9"/>
        <v>2.2130038246543102</v>
      </c>
      <c r="W6" s="24">
        <f t="shared" si="9"/>
        <v>3.0545942720763724</v>
      </c>
      <c r="X6" s="24">
        <f t="shared" si="9"/>
        <v>2.8791766109785204</v>
      </c>
      <c r="Y6" s="24">
        <f t="shared" si="9"/>
        <v>2.6252808988764045</v>
      </c>
      <c r="Z6" s="24">
        <f t="shared" si="9"/>
        <v>2.6147380218548615</v>
      </c>
      <c r="AA6" s="24">
        <f t="shared" si="9"/>
        <v>2.701496833621186</v>
      </c>
    </row>
    <row r="7" spans="1:38" x14ac:dyDescent="0.2">
      <c r="A7" s="2"/>
      <c r="C7" s="5"/>
      <c r="D7" s="5"/>
      <c r="E7" s="5"/>
      <c r="F7" s="5"/>
      <c r="G7" s="5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3"/>
    </row>
    <row r="8" spans="1:38" x14ac:dyDescent="0.2">
      <c r="A8" s="2"/>
      <c r="B8" s="2" t="s">
        <v>127</v>
      </c>
      <c r="C8" s="5">
        <v>1828</v>
      </c>
      <c r="D8" s="5">
        <v>1961</v>
      </c>
      <c r="E8" s="5">
        <v>2126</v>
      </c>
      <c r="F8" s="5">
        <f t="shared" ref="F8:F12" si="10">+Y8-SUM(C8:E8)</f>
        <v>2288</v>
      </c>
      <c r="G8" s="5">
        <v>1916</v>
      </c>
      <c r="H8" s="5">
        <v>2123</v>
      </c>
      <c r="I8" s="5">
        <v>2150</v>
      </c>
      <c r="J8" s="5">
        <f t="shared" ref="J8:J12" si="11">+Z8-SUM(G8:I8)</f>
        <v>2212</v>
      </c>
      <c r="K8" s="5">
        <v>1981</v>
      </c>
      <c r="L8" s="5">
        <v>2150</v>
      </c>
      <c r="M8" s="5">
        <v>2253</v>
      </c>
      <c r="N8" s="5"/>
      <c r="O8" s="5">
        <v>1996</v>
      </c>
      <c r="P8" s="5">
        <v>2061</v>
      </c>
      <c r="Q8" s="5"/>
      <c r="R8" s="5"/>
      <c r="S8" s="5"/>
      <c r="T8" s="5"/>
      <c r="U8" s="5"/>
      <c r="V8" s="5"/>
      <c r="W8" s="5"/>
      <c r="X8" s="5">
        <v>8234</v>
      </c>
      <c r="Y8" s="5">
        <v>8203</v>
      </c>
      <c r="Z8" s="5">
        <v>8401</v>
      </c>
      <c r="AA8" s="5">
        <v>8657</v>
      </c>
      <c r="AB8" s="5"/>
      <c r="AC8" s="5"/>
      <c r="AD8" s="5"/>
      <c r="AE8" s="5"/>
      <c r="AF8" s="5"/>
      <c r="AG8" s="5"/>
      <c r="AH8" s="5"/>
    </row>
    <row r="9" spans="1:38" x14ac:dyDescent="0.2">
      <c r="A9" s="2"/>
      <c r="B9" s="2" t="s">
        <v>128</v>
      </c>
      <c r="C9" s="5">
        <v>692</v>
      </c>
      <c r="D9" s="5">
        <v>755</v>
      </c>
      <c r="E9" s="5">
        <v>887</v>
      </c>
      <c r="F9" s="5">
        <f t="shared" si="10"/>
        <v>1007</v>
      </c>
      <c r="G9" s="5">
        <v>689</v>
      </c>
      <c r="H9" s="5">
        <v>766</v>
      </c>
      <c r="I9" s="5">
        <v>899</v>
      </c>
      <c r="J9" s="5">
        <f t="shared" si="11"/>
        <v>980</v>
      </c>
      <c r="K9" s="5">
        <v>724</v>
      </c>
      <c r="L9" s="5">
        <v>772</v>
      </c>
      <c r="M9" s="5">
        <v>951</v>
      </c>
      <c r="N9" s="5"/>
      <c r="O9" s="5">
        <v>796</v>
      </c>
      <c r="P9" s="5">
        <v>844</v>
      </c>
      <c r="Q9" s="5"/>
      <c r="R9" s="5"/>
      <c r="S9" s="5"/>
      <c r="T9" s="5"/>
      <c r="U9" s="5"/>
      <c r="V9" s="5"/>
      <c r="W9" s="5"/>
      <c r="X9" s="5">
        <v>3774</v>
      </c>
      <c r="Y9" s="5">
        <v>3341</v>
      </c>
      <c r="Z9" s="5">
        <v>3334</v>
      </c>
      <c r="AA9" s="5">
        <v>3501</v>
      </c>
      <c r="AB9" s="5"/>
      <c r="AC9" s="5"/>
      <c r="AD9" s="5"/>
      <c r="AE9" s="5"/>
      <c r="AF9" s="5"/>
      <c r="AG9" s="5"/>
      <c r="AH9" s="5"/>
    </row>
    <row r="10" spans="1:38" x14ac:dyDescent="0.2">
      <c r="A10" s="2"/>
      <c r="B10" s="2" t="s">
        <v>129</v>
      </c>
      <c r="C10" s="5">
        <v>432</v>
      </c>
      <c r="D10" s="5">
        <v>480</v>
      </c>
      <c r="E10" s="5">
        <v>460</v>
      </c>
      <c r="F10" s="5">
        <f t="shared" si="10"/>
        <v>567</v>
      </c>
      <c r="G10" s="5">
        <v>440</v>
      </c>
      <c r="H10" s="5">
        <v>479</v>
      </c>
      <c r="I10" s="5">
        <v>469</v>
      </c>
      <c r="J10" s="5">
        <f t="shared" si="11"/>
        <v>605</v>
      </c>
      <c r="K10" s="5">
        <v>428</v>
      </c>
      <c r="L10" s="5">
        <v>475</v>
      </c>
      <c r="M10" s="5">
        <v>464</v>
      </c>
      <c r="N10" s="5"/>
      <c r="O10" s="5">
        <v>431</v>
      </c>
      <c r="P10" s="5">
        <v>478</v>
      </c>
      <c r="Q10" s="5"/>
      <c r="R10" s="5"/>
      <c r="S10" s="5"/>
      <c r="T10" s="5"/>
      <c r="U10" s="5"/>
      <c r="V10" s="5"/>
      <c r="W10" s="5"/>
      <c r="X10" s="5">
        <v>2116</v>
      </c>
      <c r="Y10" s="5">
        <v>1939</v>
      </c>
      <c r="Z10" s="5">
        <v>1993</v>
      </c>
      <c r="AA10" s="5">
        <v>1916</v>
      </c>
      <c r="AB10" s="5"/>
      <c r="AC10" s="5"/>
      <c r="AD10" s="5"/>
      <c r="AE10" s="5"/>
      <c r="AF10" s="5"/>
      <c r="AG10" s="5"/>
      <c r="AH10" s="5"/>
    </row>
    <row r="11" spans="1:38" x14ac:dyDescent="0.2">
      <c r="A11" s="2"/>
      <c r="B11" s="2" t="s">
        <v>130</v>
      </c>
      <c r="C11" s="5">
        <v>321</v>
      </c>
      <c r="D11" s="5">
        <v>341</v>
      </c>
      <c r="E11" s="5">
        <v>279</v>
      </c>
      <c r="F11" s="5">
        <f t="shared" si="10"/>
        <v>419</v>
      </c>
      <c r="G11" s="5">
        <v>329</v>
      </c>
      <c r="H11" s="5">
        <v>338</v>
      </c>
      <c r="I11" s="5">
        <v>290</v>
      </c>
      <c r="J11" s="5">
        <f t="shared" si="11"/>
        <v>396</v>
      </c>
      <c r="K11" s="5">
        <v>308</v>
      </c>
      <c r="L11" s="5">
        <v>300</v>
      </c>
      <c r="M11" s="5">
        <v>257</v>
      </c>
      <c r="N11" s="5"/>
      <c r="O11" s="5">
        <v>270</v>
      </c>
      <c r="P11" s="5">
        <v>264</v>
      </c>
      <c r="Q11" s="5"/>
      <c r="R11" s="5"/>
      <c r="S11" s="5"/>
      <c r="T11" s="5"/>
      <c r="U11" s="5"/>
      <c r="V11" s="5"/>
      <c r="W11" s="5"/>
      <c r="X11" s="5">
        <v>1480</v>
      </c>
      <c r="Y11" s="5">
        <v>1360</v>
      </c>
      <c r="Z11" s="5">
        <v>1353</v>
      </c>
      <c r="AA11" s="5">
        <v>1219</v>
      </c>
      <c r="AB11" s="5"/>
      <c r="AC11" s="5"/>
      <c r="AD11" s="5"/>
      <c r="AE11" s="5"/>
      <c r="AF11" s="5"/>
      <c r="AG11" s="5"/>
      <c r="AH11" s="5"/>
    </row>
    <row r="12" spans="1:38" x14ac:dyDescent="0.2">
      <c r="A12" s="2"/>
      <c r="B12" s="2" t="s">
        <v>45</v>
      </c>
      <c r="C12" s="5">
        <v>3</v>
      </c>
      <c r="D12" s="5">
        <v>11</v>
      </c>
      <c r="E12" s="5">
        <v>15</v>
      </c>
      <c r="F12" s="5">
        <f t="shared" si="10"/>
        <v>17</v>
      </c>
      <c r="G12" s="5">
        <v>14</v>
      </c>
      <c r="H12" s="5">
        <v>14</v>
      </c>
      <c r="I12" s="5">
        <v>21</v>
      </c>
      <c r="J12" s="5">
        <f t="shared" si="11"/>
        <v>16</v>
      </c>
      <c r="K12" s="5">
        <v>22</v>
      </c>
      <c r="L12" s="5">
        <v>28</v>
      </c>
      <c r="M12" s="5">
        <v>17</v>
      </c>
      <c r="N12" s="5"/>
      <c r="O12" s="5">
        <v>4</v>
      </c>
      <c r="P12" s="5">
        <v>4</v>
      </c>
      <c r="Q12" s="5"/>
      <c r="R12" s="5"/>
      <c r="S12" s="5"/>
      <c r="T12" s="5"/>
      <c r="U12" s="5"/>
      <c r="V12" s="5"/>
      <c r="W12" s="5"/>
      <c r="X12" s="5">
        <v>12</v>
      </c>
      <c r="Y12" s="5">
        <v>46</v>
      </c>
      <c r="Z12" s="5">
        <v>65</v>
      </c>
      <c r="AA12" s="5">
        <v>73</v>
      </c>
      <c r="AB12" s="5"/>
      <c r="AC12" s="5"/>
      <c r="AD12" s="5"/>
      <c r="AE12" s="5"/>
      <c r="AF12" s="5"/>
      <c r="AG12" s="5"/>
      <c r="AH12" s="5"/>
    </row>
    <row r="13" spans="1:38" x14ac:dyDescent="0.2">
      <c r="B13" s="2" t="s">
        <v>109</v>
      </c>
      <c r="C13" s="5">
        <v>2053</v>
      </c>
      <c r="D13" s="5">
        <v>2387</v>
      </c>
      <c r="E13" s="5">
        <v>2331</v>
      </c>
      <c r="F13" s="5">
        <f>+Y13-SUM(C13:E13)</f>
        <v>2575</v>
      </c>
      <c r="G13" s="5">
        <v>2106</v>
      </c>
      <c r="H13" s="5">
        <v>2476</v>
      </c>
      <c r="I13" s="5">
        <v>2289</v>
      </c>
      <c r="J13" s="5">
        <f>+Z13-SUM(G13:I13)</f>
        <v>2461</v>
      </c>
      <c r="K13" s="5">
        <f>61%*K15</f>
        <v>2112.4299999999998</v>
      </c>
      <c r="L13" s="5">
        <v>2440</v>
      </c>
      <c r="M13" s="5">
        <v>2368</v>
      </c>
      <c r="N13" s="5"/>
      <c r="O13" s="5">
        <v>2162</v>
      </c>
      <c r="P13" s="5">
        <v>2366.7999999999997</v>
      </c>
      <c r="Q13" s="5"/>
      <c r="R13" s="5"/>
      <c r="S13" s="5"/>
      <c r="T13" s="5">
        <v>12861</v>
      </c>
      <c r="U13" s="5">
        <v>12294</v>
      </c>
      <c r="V13" s="5">
        <v>7522</v>
      </c>
      <c r="W13" s="5">
        <v>10239</v>
      </c>
      <c r="X13" s="5">
        <v>9651</v>
      </c>
      <c r="Y13" s="5">
        <v>9346</v>
      </c>
      <c r="Z13" s="5">
        <v>9332</v>
      </c>
      <c r="AA13" s="5">
        <v>9385</v>
      </c>
      <c r="AB13" s="5"/>
      <c r="AC13" s="5"/>
      <c r="AD13" s="5"/>
      <c r="AE13" s="5"/>
      <c r="AF13" s="5"/>
      <c r="AG13" s="5"/>
      <c r="AH13" s="24"/>
      <c r="AI13" s="24"/>
      <c r="AJ13" s="24"/>
      <c r="AK13" s="24"/>
    </row>
    <row r="14" spans="1:38" x14ac:dyDescent="0.2">
      <c r="B14" s="2" t="s">
        <v>110</v>
      </c>
      <c r="C14" s="5">
        <v>1223</v>
      </c>
      <c r="D14" s="5">
        <v>1161</v>
      </c>
      <c r="E14" s="5">
        <v>1436</v>
      </c>
      <c r="F14" s="5">
        <f>+Y14-SUM(C14:E14)</f>
        <v>1723</v>
      </c>
      <c r="G14" s="5">
        <v>1282</v>
      </c>
      <c r="H14" s="5">
        <v>1224</v>
      </c>
      <c r="I14" s="5">
        <v>1540</v>
      </c>
      <c r="J14" s="5">
        <f>+Z14-SUM(G14:I14)</f>
        <v>1708</v>
      </c>
      <c r="K14" s="5">
        <f>39%*K15</f>
        <v>1350.57</v>
      </c>
      <c r="L14" s="5">
        <v>1285</v>
      </c>
      <c r="M14" s="5">
        <v>1574</v>
      </c>
      <c r="N14" s="5"/>
      <c r="O14" s="5">
        <v>1335</v>
      </c>
      <c r="P14" s="5">
        <v>1284.2000000000003</v>
      </c>
      <c r="Q14" s="5"/>
      <c r="R14" s="5"/>
      <c r="S14" s="5"/>
      <c r="T14" s="5">
        <v>3719</v>
      </c>
      <c r="U14" s="5">
        <v>4089</v>
      </c>
      <c r="V14" s="5">
        <v>6278</v>
      </c>
      <c r="W14" s="5">
        <v>6431</v>
      </c>
      <c r="X14" s="5">
        <v>5965</v>
      </c>
      <c r="Y14" s="5">
        <v>5543</v>
      </c>
      <c r="Z14" s="5">
        <v>5754</v>
      </c>
      <c r="AA14" s="5">
        <v>5981</v>
      </c>
      <c r="AB14" s="5"/>
      <c r="AC14" s="5"/>
      <c r="AD14" s="5"/>
      <c r="AE14" s="5"/>
      <c r="AF14" s="5"/>
      <c r="AG14" s="5"/>
      <c r="AH14" s="24"/>
      <c r="AI14" s="24"/>
      <c r="AJ14" s="24"/>
      <c r="AK14" s="24"/>
      <c r="AL14" s="24"/>
    </row>
    <row r="15" spans="1:38" s="24" customFormat="1" x14ac:dyDescent="0.2">
      <c r="A15" s="25"/>
      <c r="B15" s="1" t="s">
        <v>12</v>
      </c>
      <c r="C15" s="23">
        <v>3276</v>
      </c>
      <c r="D15" s="23">
        <v>3548</v>
      </c>
      <c r="E15" s="23">
        <v>3767</v>
      </c>
      <c r="F15" s="23">
        <f>+Y15-SUM(C15:E15)</f>
        <v>4298</v>
      </c>
      <c r="G15" s="23">
        <v>3388</v>
      </c>
      <c r="H15" s="23">
        <v>3720</v>
      </c>
      <c r="I15" s="23">
        <v>3829</v>
      </c>
      <c r="J15" s="23">
        <f>+Z15-SUM(G15:I15)</f>
        <v>4149</v>
      </c>
      <c r="K15" s="23">
        <v>3463</v>
      </c>
      <c r="L15" s="23">
        <v>3725</v>
      </c>
      <c r="M15" s="23">
        <v>3942</v>
      </c>
      <c r="N15" s="23"/>
      <c r="O15" s="23">
        <v>3497</v>
      </c>
      <c r="P15" s="23">
        <v>3651</v>
      </c>
      <c r="Q15" s="23"/>
      <c r="R15" s="23"/>
      <c r="S15" s="23"/>
      <c r="T15" s="23">
        <v>16580</v>
      </c>
      <c r="U15" s="23">
        <v>16383</v>
      </c>
      <c r="V15" s="23">
        <v>13800</v>
      </c>
      <c r="W15" s="23">
        <v>16670</v>
      </c>
      <c r="X15" s="23">
        <v>15616</v>
      </c>
      <c r="Y15" s="23">
        <v>14889</v>
      </c>
      <c r="Z15" s="23">
        <v>15086</v>
      </c>
      <c r="AA15" s="23">
        <v>15366</v>
      </c>
      <c r="AB15" s="23"/>
      <c r="AC15" s="23"/>
      <c r="AD15" s="23"/>
      <c r="AE15" s="23"/>
      <c r="AF15" s="23"/>
      <c r="AG15" s="23"/>
    </row>
    <row r="16" spans="1:38" s="24" customFormat="1" x14ac:dyDescent="0.2">
      <c r="A16" s="25"/>
      <c r="B16" s="2" t="s">
        <v>13</v>
      </c>
      <c r="C16" s="5">
        <v>2062</v>
      </c>
      <c r="D16" s="5">
        <v>2215</v>
      </c>
      <c r="E16" s="5">
        <v>2211</v>
      </c>
      <c r="F16" s="5">
        <f>+Y16-SUM(C16:E16)</f>
        <v>2626</v>
      </c>
      <c r="G16" s="5">
        <v>1991</v>
      </c>
      <c r="H16" s="5">
        <v>2137</v>
      </c>
      <c r="I16" s="5">
        <v>2194</v>
      </c>
      <c r="J16" s="5">
        <f>+Z16-SUM(G16:I16)</f>
        <v>2537</v>
      </c>
      <c r="K16" s="5">
        <v>2015</v>
      </c>
      <c r="L16" s="5">
        <v>2189</v>
      </c>
      <c r="M16" s="5">
        <v>2272</v>
      </c>
      <c r="N16" s="5"/>
      <c r="O16" s="5">
        <v>2080</v>
      </c>
      <c r="P16" s="5">
        <v>1722</v>
      </c>
      <c r="Q16" s="5"/>
      <c r="R16" s="5"/>
      <c r="S16" s="5"/>
      <c r="T16" s="5">
        <v>10258</v>
      </c>
      <c r="U16" s="5">
        <v>10250</v>
      </c>
      <c r="V16" s="5">
        <v>9095</v>
      </c>
      <c r="W16" s="5">
        <v>10033</v>
      </c>
      <c r="X16" s="5">
        <v>10257</v>
      </c>
      <c r="Y16" s="5">
        <v>9114</v>
      </c>
      <c r="Z16" s="5">
        <v>8859</v>
      </c>
      <c r="AA16" s="5">
        <v>9098</v>
      </c>
      <c r="AB16" s="5"/>
      <c r="AC16" s="5"/>
      <c r="AD16" s="5"/>
      <c r="AE16" s="5"/>
      <c r="AF16" s="5"/>
      <c r="AG16" s="5"/>
    </row>
    <row r="17" spans="1:37" s="24" customFormat="1" x14ac:dyDescent="0.2">
      <c r="A17" s="25"/>
      <c r="B17" s="2" t="s">
        <v>14</v>
      </c>
      <c r="C17" s="5">
        <f>C15-C16</f>
        <v>1214</v>
      </c>
      <c r="D17" s="5">
        <f t="shared" ref="D17:P17" si="12">D15-D16</f>
        <v>1333</v>
      </c>
      <c r="E17" s="5">
        <f t="shared" si="12"/>
        <v>1556</v>
      </c>
      <c r="F17" s="5">
        <f t="shared" si="12"/>
        <v>1672</v>
      </c>
      <c r="G17" s="5">
        <f t="shared" si="12"/>
        <v>1397</v>
      </c>
      <c r="H17" s="5">
        <f t="shared" si="12"/>
        <v>1583</v>
      </c>
      <c r="I17" s="5">
        <f t="shared" si="12"/>
        <v>1635</v>
      </c>
      <c r="J17" s="5">
        <f t="shared" si="12"/>
        <v>1612</v>
      </c>
      <c r="K17" s="5">
        <f t="shared" si="12"/>
        <v>1448</v>
      </c>
      <c r="L17" s="5">
        <f t="shared" si="12"/>
        <v>1536</v>
      </c>
      <c r="M17" s="5">
        <f t="shared" si="12"/>
        <v>1670</v>
      </c>
      <c r="N17" s="5">
        <f t="shared" si="12"/>
        <v>0</v>
      </c>
      <c r="O17" s="5">
        <f t="shared" si="12"/>
        <v>1417</v>
      </c>
      <c r="P17" s="5">
        <f t="shared" si="12"/>
        <v>1929</v>
      </c>
      <c r="Q17" s="5"/>
      <c r="R17" s="5"/>
      <c r="S17" s="5"/>
      <c r="T17" s="5">
        <f t="shared" ref="T17" si="13">T15-T16</f>
        <v>6322</v>
      </c>
      <c r="U17" s="5">
        <f t="shared" ref="U17" si="14">U15-U16</f>
        <v>6133</v>
      </c>
      <c r="V17" s="5">
        <f t="shared" ref="V17" si="15">V15-V16</f>
        <v>4705</v>
      </c>
      <c r="W17" s="5">
        <f t="shared" ref="W17" si="16">W15-W16</f>
        <v>6637</v>
      </c>
      <c r="X17" s="5">
        <f t="shared" ref="X17" si="17">X15-X16</f>
        <v>5359</v>
      </c>
      <c r="Y17" s="5">
        <f t="shared" ref="Y17:AA17" si="18">Y15-Y16</f>
        <v>5775</v>
      </c>
      <c r="Z17" s="5">
        <f t="shared" si="18"/>
        <v>6227</v>
      </c>
      <c r="AA17" s="5">
        <f t="shared" si="18"/>
        <v>6268</v>
      </c>
      <c r="AB17" s="5"/>
      <c r="AC17" s="5"/>
      <c r="AD17" s="5"/>
      <c r="AE17" s="5"/>
      <c r="AF17" s="5"/>
      <c r="AG17" s="5"/>
    </row>
    <row r="18" spans="1:37" s="24" customFormat="1" x14ac:dyDescent="0.2">
      <c r="A18" s="25"/>
      <c r="B18" s="2" t="s">
        <v>25</v>
      </c>
      <c r="C18" s="5">
        <v>1224</v>
      </c>
      <c r="D18" s="5">
        <v>1227</v>
      </c>
      <c r="E18" s="5">
        <v>1306</v>
      </c>
      <c r="F18" s="5">
        <f>+Y18-SUM(C18:E18)</f>
        <v>1458</v>
      </c>
      <c r="G18" s="5">
        <v>1192</v>
      </c>
      <c r="H18" s="5">
        <v>1290</v>
      </c>
      <c r="I18" s="5">
        <v>1280</v>
      </c>
      <c r="J18" s="5">
        <f>+Z18-SUM(G18:I18)</f>
        <v>1353</v>
      </c>
      <c r="K18" s="5">
        <v>1188</v>
      </c>
      <c r="L18" s="5">
        <v>1244</v>
      </c>
      <c r="M18" s="5">
        <v>1336</v>
      </c>
      <c r="N18" s="5"/>
      <c r="O18" s="5">
        <v>972</v>
      </c>
      <c r="P18" s="5">
        <v>1253</v>
      </c>
      <c r="Q18" s="5"/>
      <c r="R18" s="5"/>
      <c r="S18" s="5"/>
      <c r="T18" s="5">
        <v>4960</v>
      </c>
      <c r="U18" s="5">
        <v>5559</v>
      </c>
      <c r="V18" s="5">
        <v>5567</v>
      </c>
      <c r="W18" s="5">
        <v>5827</v>
      </c>
      <c r="X18" s="5">
        <v>5428</v>
      </c>
      <c r="Y18" s="5">
        <v>5215</v>
      </c>
      <c r="Z18" s="5">
        <v>5115</v>
      </c>
      <c r="AA18" s="5">
        <v>5153</v>
      </c>
      <c r="AB18" s="5"/>
      <c r="AC18" s="5"/>
      <c r="AD18" s="5"/>
      <c r="AE18" s="5"/>
      <c r="AF18" s="5"/>
      <c r="AG18" s="5"/>
    </row>
    <row r="19" spans="1:37" s="24" customFormat="1" x14ac:dyDescent="0.2">
      <c r="A19" s="25"/>
      <c r="B19" s="26" t="s">
        <v>26</v>
      </c>
      <c r="C19" s="5">
        <f t="shared" ref="C19:F19" si="19">C17-C18</f>
        <v>-10</v>
      </c>
      <c r="D19" s="5">
        <f t="shared" si="19"/>
        <v>106</v>
      </c>
      <c r="E19" s="5">
        <f t="shared" si="19"/>
        <v>250</v>
      </c>
      <c r="F19" s="5">
        <f t="shared" si="19"/>
        <v>214</v>
      </c>
      <c r="G19" s="5">
        <f>G17-G18</f>
        <v>205</v>
      </c>
      <c r="H19" s="5">
        <f t="shared" ref="H19:P19" si="20">H17-H18</f>
        <v>293</v>
      </c>
      <c r="I19" s="5">
        <f t="shared" si="20"/>
        <v>355</v>
      </c>
      <c r="J19" s="5">
        <f t="shared" si="20"/>
        <v>259</v>
      </c>
      <c r="K19" s="5">
        <f t="shared" si="20"/>
        <v>260</v>
      </c>
      <c r="L19" s="5">
        <f t="shared" si="20"/>
        <v>292</v>
      </c>
      <c r="M19" s="5">
        <f t="shared" si="20"/>
        <v>334</v>
      </c>
      <c r="N19" s="5">
        <f t="shared" si="20"/>
        <v>0</v>
      </c>
      <c r="O19" s="5">
        <f t="shared" si="20"/>
        <v>445</v>
      </c>
      <c r="P19" s="5">
        <f t="shared" si="20"/>
        <v>676</v>
      </c>
      <c r="Q19" s="5"/>
      <c r="R19" s="5"/>
      <c r="S19" s="5"/>
      <c r="T19" s="5">
        <f t="shared" ref="T19" si="21">T17-T18</f>
        <v>1362</v>
      </c>
      <c r="U19" s="5">
        <f t="shared" ref="U19" si="22">U17-U18</f>
        <v>574</v>
      </c>
      <c r="V19" s="5">
        <f t="shared" ref="V19" si="23">V17-V18</f>
        <v>-862</v>
      </c>
      <c r="W19" s="5">
        <f t="shared" ref="W19" si="24">W17-W18</f>
        <v>810</v>
      </c>
      <c r="X19" s="5">
        <f t="shared" ref="X19" si="25">X17-X18</f>
        <v>-69</v>
      </c>
      <c r="Y19" s="5">
        <f t="shared" ref="Y19:AA19" si="26">Y17-Y18</f>
        <v>560</v>
      </c>
      <c r="Z19" s="5">
        <f t="shared" si="26"/>
        <v>1112</v>
      </c>
      <c r="AA19" s="5">
        <f t="shared" si="26"/>
        <v>1115</v>
      </c>
      <c r="AB19" s="5"/>
      <c r="AC19" s="5"/>
      <c r="AD19" s="5"/>
      <c r="AE19" s="5"/>
      <c r="AF19" s="5"/>
      <c r="AG19" s="5"/>
    </row>
    <row r="20" spans="1:37" s="24" customFormat="1" x14ac:dyDescent="0.2">
      <c r="A20" s="25"/>
      <c r="B20" s="2" t="s">
        <v>27</v>
      </c>
      <c r="C20" s="5">
        <v>23</v>
      </c>
      <c r="D20" s="5">
        <v>15</v>
      </c>
      <c r="E20" s="5">
        <v>28</v>
      </c>
      <c r="F20" s="5">
        <f>+Y20-SUM(C20:E20)</f>
        <v>24</v>
      </c>
      <c r="G20" s="5">
        <v>21</v>
      </c>
      <c r="H20" s="5">
        <v>24</v>
      </c>
      <c r="I20" s="5">
        <v>23</v>
      </c>
      <c r="J20" s="5">
        <f>+Z20-SUM(G20:I20)</f>
        <v>19</v>
      </c>
      <c r="K20" s="5">
        <v>0</v>
      </c>
      <c r="L20" s="5">
        <v>23</v>
      </c>
      <c r="M20" s="5">
        <v>23</v>
      </c>
      <c r="N20" s="5"/>
      <c r="O20" s="5">
        <v>0</v>
      </c>
      <c r="P20" s="5">
        <v>0</v>
      </c>
      <c r="Q20" s="5"/>
      <c r="R20" s="5"/>
      <c r="S20" s="5"/>
      <c r="T20" s="5">
        <v>73</v>
      </c>
      <c r="U20" s="5">
        <v>76</v>
      </c>
      <c r="V20" s="5">
        <f>58+192</f>
        <v>250</v>
      </c>
      <c r="W20" s="5">
        <f>325+167</f>
        <v>492</v>
      </c>
      <c r="X20" s="5">
        <v>88</v>
      </c>
      <c r="Y20" s="5">
        <v>90</v>
      </c>
      <c r="Z20" s="5">
        <v>87</v>
      </c>
      <c r="AA20" s="5">
        <v>93</v>
      </c>
      <c r="AB20" s="5"/>
      <c r="AC20" s="5"/>
      <c r="AD20" s="5"/>
      <c r="AE20" s="5"/>
      <c r="AF20" s="5"/>
      <c r="AG20" s="5"/>
    </row>
    <row r="21" spans="1:37" s="24" customFormat="1" x14ac:dyDescent="0.2">
      <c r="A21" s="25"/>
      <c r="B21" s="2" t="s">
        <v>28</v>
      </c>
      <c r="C21" s="5">
        <v>13</v>
      </c>
      <c r="D21" s="5">
        <v>17</v>
      </c>
      <c r="E21" s="5">
        <v>28</v>
      </c>
      <c r="F21" s="5">
        <f>+Y21-SUM(C21:E21)</f>
        <v>28</v>
      </c>
      <c r="G21" s="5">
        <v>24</v>
      </c>
      <c r="H21" s="5">
        <v>27</v>
      </c>
      <c r="I21" s="5">
        <v>29</v>
      </c>
      <c r="J21" s="5">
        <f>+Z21-SUM(G21:I21)</f>
        <v>32</v>
      </c>
      <c r="K21" s="5">
        <v>3</v>
      </c>
      <c r="L21" s="5">
        <v>27</v>
      </c>
      <c r="M21" s="5">
        <v>26</v>
      </c>
      <c r="N21" s="5"/>
      <c r="O21" s="5">
        <v>5</v>
      </c>
      <c r="P21" s="5">
        <v>4</v>
      </c>
      <c r="Q21" s="5"/>
      <c r="R21" s="5"/>
      <c r="S21" s="5"/>
      <c r="T21" s="5">
        <v>33</v>
      </c>
      <c r="U21" s="5">
        <v>30</v>
      </c>
      <c r="V21" s="5">
        <v>10</v>
      </c>
      <c r="W21" s="5">
        <v>5</v>
      </c>
      <c r="X21" s="5">
        <v>18</v>
      </c>
      <c r="Y21" s="5">
        <v>86</v>
      </c>
      <c r="Z21" s="5">
        <v>112</v>
      </c>
      <c r="AA21" s="5">
        <v>110</v>
      </c>
      <c r="AB21" s="5"/>
      <c r="AC21" s="5"/>
      <c r="AD21" s="5"/>
      <c r="AE21" s="5"/>
      <c r="AF21" s="5"/>
      <c r="AG21" s="5"/>
    </row>
    <row r="22" spans="1:37" s="24" customFormat="1" x14ac:dyDescent="0.2">
      <c r="A22" s="25"/>
      <c r="B22" s="2" t="s">
        <v>29</v>
      </c>
      <c r="C22" s="5">
        <f>C19-C20+C21</f>
        <v>-20</v>
      </c>
      <c r="D22" s="5">
        <f t="shared" ref="D22" si="27">D19-D20+D21</f>
        <v>108</v>
      </c>
      <c r="E22" s="5">
        <f t="shared" ref="E22" si="28">E19-E20+E21</f>
        <v>250</v>
      </c>
      <c r="F22" s="5">
        <f t="shared" ref="F22" si="29">F19-F20+F21</f>
        <v>218</v>
      </c>
      <c r="G22" s="5">
        <f>G19-G20+G21</f>
        <v>208</v>
      </c>
      <c r="H22" s="5">
        <f t="shared" ref="H22:P22" si="30">H19-H20+H21</f>
        <v>296</v>
      </c>
      <c r="I22" s="5">
        <f t="shared" si="30"/>
        <v>361</v>
      </c>
      <c r="J22" s="5">
        <f t="shared" si="30"/>
        <v>272</v>
      </c>
      <c r="K22" s="5">
        <f t="shared" si="30"/>
        <v>263</v>
      </c>
      <c r="L22" s="5">
        <f t="shared" si="30"/>
        <v>296</v>
      </c>
      <c r="M22" s="5">
        <f t="shared" si="30"/>
        <v>337</v>
      </c>
      <c r="N22" s="5">
        <f t="shared" si="30"/>
        <v>0</v>
      </c>
      <c r="O22" s="5">
        <f t="shared" si="30"/>
        <v>450</v>
      </c>
      <c r="P22" s="5">
        <f t="shared" si="30"/>
        <v>680</v>
      </c>
      <c r="Q22" s="5"/>
      <c r="R22" s="5"/>
      <c r="S22" s="5"/>
      <c r="T22" s="5">
        <f t="shared" ref="T22" si="31">T19-T20+T21</f>
        <v>1322</v>
      </c>
      <c r="U22" s="5">
        <f t="shared" ref="U22" si="32">U19-U20+U21</f>
        <v>528</v>
      </c>
      <c r="V22" s="5">
        <f>V19-V20+V21</f>
        <v>-1102</v>
      </c>
      <c r="W22" s="5">
        <f t="shared" ref="W22" si="33">W19-W20+W21</f>
        <v>323</v>
      </c>
      <c r="X22" s="5">
        <f t="shared" ref="X22" si="34">X19-X20+X21</f>
        <v>-139</v>
      </c>
      <c r="Y22" s="5">
        <f t="shared" ref="Y22:AA22" si="35">Y19-Y20+Y21</f>
        <v>556</v>
      </c>
      <c r="Z22" s="5">
        <f t="shared" si="35"/>
        <v>1137</v>
      </c>
      <c r="AA22" s="5">
        <f t="shared" si="35"/>
        <v>1132</v>
      </c>
      <c r="AB22" s="5"/>
      <c r="AC22" s="5"/>
      <c r="AD22" s="5"/>
      <c r="AE22" s="5"/>
      <c r="AF22" s="5"/>
      <c r="AG22" s="5"/>
    </row>
    <row r="23" spans="1:37" s="24" customFormat="1" x14ac:dyDescent="0.2">
      <c r="A23" s="25"/>
      <c r="B23" s="2" t="s">
        <v>31</v>
      </c>
      <c r="C23" s="5">
        <v>-2</v>
      </c>
      <c r="D23" s="5">
        <v>-9</v>
      </c>
      <c r="E23" s="5">
        <v>32</v>
      </c>
      <c r="F23" s="5">
        <f>+Y23-SUM(C23:E23)</f>
        <v>33</v>
      </c>
      <c r="G23" s="5">
        <v>50</v>
      </c>
      <c r="H23" s="5">
        <v>90</v>
      </c>
      <c r="I23" s="5">
        <v>87</v>
      </c>
      <c r="J23" s="5">
        <f>+Z23-SUM(G23:I23)</f>
        <v>66</v>
      </c>
      <c r="K23" s="5">
        <v>70</v>
      </c>
      <c r="L23" s="5">
        <v>80</v>
      </c>
      <c r="M23" s="5">
        <v>101</v>
      </c>
      <c r="N23" s="5"/>
      <c r="O23" s="5">
        <v>111</v>
      </c>
      <c r="P23" s="5">
        <v>179</v>
      </c>
      <c r="Q23" s="5"/>
      <c r="R23" s="5"/>
      <c r="S23" s="5"/>
      <c r="T23" s="5">
        <v>319</v>
      </c>
      <c r="U23" s="5">
        <v>177</v>
      </c>
      <c r="V23" s="5">
        <v>-437</v>
      </c>
      <c r="W23" s="5">
        <v>67</v>
      </c>
      <c r="X23" s="5">
        <v>63</v>
      </c>
      <c r="Y23" s="5">
        <v>54</v>
      </c>
      <c r="Z23" s="5">
        <v>293</v>
      </c>
      <c r="AA23" s="5">
        <v>316</v>
      </c>
      <c r="AB23" s="5"/>
      <c r="AC23" s="5"/>
      <c r="AD23" s="5"/>
      <c r="AE23" s="5"/>
      <c r="AF23" s="5"/>
      <c r="AG23" s="5"/>
    </row>
    <row r="24" spans="1:37" s="24" customFormat="1" x14ac:dyDescent="0.2">
      <c r="A24" s="25"/>
      <c r="B24" s="2" t="s">
        <v>30</v>
      </c>
      <c r="C24" s="5">
        <f>C22-C23</f>
        <v>-18</v>
      </c>
      <c r="D24" s="5">
        <f t="shared" ref="D24:P24" si="36">D22-D23</f>
        <v>117</v>
      </c>
      <c r="E24" s="5">
        <f t="shared" si="36"/>
        <v>218</v>
      </c>
      <c r="F24" s="5">
        <f t="shared" si="36"/>
        <v>185</v>
      </c>
      <c r="G24" s="5">
        <f t="shared" si="36"/>
        <v>158</v>
      </c>
      <c r="H24" s="5">
        <f t="shared" si="36"/>
        <v>206</v>
      </c>
      <c r="I24" s="5">
        <f t="shared" si="36"/>
        <v>274</v>
      </c>
      <c r="J24" s="5">
        <f t="shared" si="36"/>
        <v>206</v>
      </c>
      <c r="K24" s="5">
        <f t="shared" si="36"/>
        <v>193</v>
      </c>
      <c r="L24" s="5">
        <f t="shared" si="36"/>
        <v>216</v>
      </c>
      <c r="M24" s="5">
        <f t="shared" si="36"/>
        <v>236</v>
      </c>
      <c r="N24" s="5">
        <f t="shared" si="36"/>
        <v>0</v>
      </c>
      <c r="O24" s="5">
        <f t="shared" si="36"/>
        <v>339</v>
      </c>
      <c r="P24" s="5">
        <f t="shared" si="36"/>
        <v>501</v>
      </c>
      <c r="Q24" s="5"/>
      <c r="R24" s="5"/>
      <c r="S24" s="5"/>
      <c r="T24" s="5">
        <f t="shared" ref="T24" si="37">T22-T23</f>
        <v>1003</v>
      </c>
      <c r="U24" s="5">
        <f t="shared" ref="U24" si="38">U22-U23</f>
        <v>351</v>
      </c>
      <c r="V24" s="5">
        <f t="shared" ref="V24" si="39">V22-V23</f>
        <v>-665</v>
      </c>
      <c r="W24" s="5">
        <f t="shared" ref="W24" si="40">W22-W23</f>
        <v>256</v>
      </c>
      <c r="X24" s="5">
        <f t="shared" ref="X24" si="41">X22-X23</f>
        <v>-202</v>
      </c>
      <c r="Y24" s="5">
        <f t="shared" ref="Y24:AA24" si="42">Y22-Y23</f>
        <v>502</v>
      </c>
      <c r="Z24" s="5">
        <f t="shared" si="42"/>
        <v>844</v>
      </c>
      <c r="AA24" s="5">
        <f t="shared" si="42"/>
        <v>816</v>
      </c>
      <c r="AB24" s="5"/>
      <c r="AC24" s="5"/>
      <c r="AD24" s="5"/>
      <c r="AE24" s="5"/>
      <c r="AF24" s="5"/>
      <c r="AG24" s="5"/>
    </row>
    <row r="25" spans="1:37" s="24" customFormat="1" x14ac:dyDescent="0.2">
      <c r="A25" s="25"/>
      <c r="B25" s="2"/>
      <c r="C25" s="5"/>
      <c r="D25" s="5"/>
      <c r="E25" s="5"/>
      <c r="F25" s="5"/>
    </row>
    <row r="26" spans="1:37" s="24" customFormat="1" x14ac:dyDescent="0.2">
      <c r="A26" s="25"/>
      <c r="B26" s="2" t="s">
        <v>32</v>
      </c>
      <c r="C26" s="24">
        <f>C24/C27</f>
        <v>-4.9046321525885561E-2</v>
      </c>
      <c r="D26" s="24">
        <f>D24/D27</f>
        <v>0.31707317073170732</v>
      </c>
      <c r="E26" s="24">
        <f>E24/E27</f>
        <v>0.58760107816711593</v>
      </c>
      <c r="F26" s="24">
        <f>F24/F27</f>
        <v>0.49865229110512127</v>
      </c>
      <c r="G26" s="24">
        <f>G24/G27</f>
        <v>0.42245989304812837</v>
      </c>
      <c r="H26" s="24">
        <f t="shared" ref="H26:P26" si="43">+H24/H27</f>
        <v>0.5478723404255319</v>
      </c>
      <c r="I26" s="24">
        <f t="shared" si="43"/>
        <v>0.72679045092838201</v>
      </c>
      <c r="J26" s="24">
        <f t="shared" si="43"/>
        <v>0.54641909814323608</v>
      </c>
      <c r="K26" s="24">
        <f t="shared" si="43"/>
        <v>0.51604278074866305</v>
      </c>
      <c r="L26" s="24">
        <f t="shared" si="43"/>
        <v>0.579088471849866</v>
      </c>
      <c r="M26" s="24">
        <f t="shared" si="43"/>
        <v>0.63440860215053763</v>
      </c>
      <c r="N26" s="24" t="e">
        <f t="shared" si="43"/>
        <v>#DIV/0!</v>
      </c>
      <c r="O26" s="24">
        <f t="shared" si="43"/>
        <v>0.92370572207084467</v>
      </c>
      <c r="P26" s="24">
        <f t="shared" si="43"/>
        <v>1.4112676056338027</v>
      </c>
      <c r="T26" s="24">
        <f t="shared" ref="T26:AA26" si="44">T24/T27</f>
        <v>2.5850515463917527</v>
      </c>
      <c r="U26" s="24">
        <f t="shared" si="44"/>
        <v>0.9285714285714286</v>
      </c>
      <c r="V26" s="24">
        <f t="shared" si="44"/>
        <v>-1.7780748663101604</v>
      </c>
      <c r="W26" s="24">
        <f t="shared" si="44"/>
        <v>0.68085106382978722</v>
      </c>
      <c r="X26" s="24">
        <f t="shared" si="44"/>
        <v>-0.55040871934604907</v>
      </c>
      <c r="Y26" s="24">
        <f t="shared" si="44"/>
        <v>1.3567567567567567</v>
      </c>
      <c r="Z26" s="24">
        <f t="shared" si="44"/>
        <v>2.2446808510638299</v>
      </c>
      <c r="AA26" s="24">
        <f t="shared" si="44"/>
        <v>2.1876675603217159</v>
      </c>
    </row>
    <row r="27" spans="1:37" s="24" customFormat="1" x14ac:dyDescent="0.2">
      <c r="A27" s="25"/>
      <c r="B27" s="2" t="s">
        <v>4</v>
      </c>
      <c r="C27" s="5">
        <v>367</v>
      </c>
      <c r="D27" s="5">
        <v>369</v>
      </c>
      <c r="E27" s="5">
        <v>371</v>
      </c>
      <c r="F27" s="5">
        <v>371</v>
      </c>
      <c r="G27" s="5">
        <v>374</v>
      </c>
      <c r="H27" s="5">
        <v>376</v>
      </c>
      <c r="I27" s="5">
        <v>377</v>
      </c>
      <c r="J27" s="5">
        <v>377</v>
      </c>
      <c r="K27" s="5">
        <v>374</v>
      </c>
      <c r="L27" s="5">
        <v>373</v>
      </c>
      <c r="M27" s="5">
        <v>372</v>
      </c>
      <c r="N27" s="5"/>
      <c r="O27" s="5">
        <v>367</v>
      </c>
      <c r="P27" s="5">
        <v>355</v>
      </c>
      <c r="Q27" s="5"/>
      <c r="R27" s="5"/>
      <c r="S27" s="5"/>
      <c r="T27" s="5">
        <v>388</v>
      </c>
      <c r="U27" s="5">
        <v>378</v>
      </c>
      <c r="V27" s="5">
        <v>374</v>
      </c>
      <c r="W27" s="5">
        <v>376</v>
      </c>
      <c r="X27" s="5">
        <v>367</v>
      </c>
      <c r="Y27" s="5">
        <v>370</v>
      </c>
      <c r="Z27" s="5">
        <v>376</v>
      </c>
      <c r="AA27" s="5">
        <v>373</v>
      </c>
      <c r="AB27" s="5"/>
      <c r="AC27" s="5"/>
      <c r="AD27" s="5"/>
      <c r="AE27" s="5"/>
      <c r="AF27" s="5"/>
      <c r="AG27" s="5"/>
    </row>
    <row r="28" spans="1:37" s="24" customFormat="1" x14ac:dyDescent="0.2">
      <c r="A28" s="25"/>
      <c r="B28" s="2"/>
      <c r="C28" s="5"/>
      <c r="D28" s="5"/>
      <c r="E28" s="5"/>
      <c r="F28" s="5"/>
      <c r="G28" s="5"/>
      <c r="H28" s="5"/>
    </row>
    <row r="29" spans="1:37" x14ac:dyDescent="0.2">
      <c r="B29" s="2" t="s">
        <v>111</v>
      </c>
      <c r="C29" s="26"/>
      <c r="D29" s="5"/>
      <c r="E29" s="5"/>
      <c r="F29" s="5"/>
      <c r="G29" s="27">
        <f t="shared" ref="G29:I29" si="45">+G3/C3-1</f>
        <v>-1.8069973087274094E-2</v>
      </c>
      <c r="H29" s="27">
        <f t="shared" si="45"/>
        <v>-1.967592592592593E-2</v>
      </c>
      <c r="I29" s="27">
        <f t="shared" si="45"/>
        <v>-2.0785219399538146E-2</v>
      </c>
      <c r="J29" s="27">
        <f t="shared" ref="J29:M30" si="46">+J3/F3-1</f>
        <v>-2.1857923497267784E-2</v>
      </c>
      <c r="K29" s="27">
        <f t="shared" si="46"/>
        <v>-2.2709475332811313E-2</v>
      </c>
      <c r="L29" s="27">
        <f t="shared" si="46"/>
        <v>-3.9748130657221603E-2</v>
      </c>
      <c r="M29" s="27">
        <f t="shared" si="46"/>
        <v>-1.8474842767295607E-2</v>
      </c>
      <c r="N29" s="27">
        <f t="shared" ref="N29:N30" si="47">+N3/J3-1</f>
        <v>-1</v>
      </c>
      <c r="O29" s="27">
        <f t="shared" ref="O29:O30" si="48">+O3/K3-1</f>
        <v>-7.6121794871795156E-3</v>
      </c>
      <c r="P29" s="27">
        <f t="shared" ref="P29:P30" si="49">+P3/L3-1</f>
        <v>1.2704918032786949E-2</v>
      </c>
      <c r="Q29" s="26"/>
      <c r="R29" s="26"/>
      <c r="S29" s="26"/>
      <c r="T29" s="26"/>
      <c r="U29" s="27">
        <f t="shared" ref="U29:AA30" si="50">U3/T3-1</f>
        <v>4.7276142767689322E-2</v>
      </c>
      <c r="V29" s="27">
        <f t="shared" si="50"/>
        <v>-0.15246636771300448</v>
      </c>
      <c r="W29" s="27">
        <f t="shared" si="50"/>
        <v>-5.2910052910052907E-2</v>
      </c>
      <c r="X29" s="27">
        <f t="shared" si="50"/>
        <v>0</v>
      </c>
      <c r="Y29" s="27">
        <f t="shared" si="50"/>
        <v>-4.5810055865921795E-2</v>
      </c>
      <c r="Z29" s="27">
        <f t="shared" si="50"/>
        <v>-2.1857923497267784E-2</v>
      </c>
      <c r="AA29" s="27">
        <f t="shared" si="50"/>
        <v>-1.2769353551476459E-2</v>
      </c>
      <c r="AB29" s="26"/>
      <c r="AC29" s="26"/>
      <c r="AD29" s="26"/>
      <c r="AE29" s="26"/>
      <c r="AF29" s="26"/>
      <c r="AG29" s="26"/>
      <c r="AH29" s="26"/>
      <c r="AI29" s="26"/>
      <c r="AJ29" s="26"/>
      <c r="AK29" s="26"/>
    </row>
    <row r="30" spans="1:37" x14ac:dyDescent="0.2">
      <c r="B30" s="2" t="s">
        <v>112</v>
      </c>
      <c r="C30" s="26"/>
      <c r="D30" s="5"/>
      <c r="E30" s="5"/>
      <c r="F30" s="5"/>
      <c r="G30" s="27">
        <f t="shared" ref="G30:I30" si="51">+G4/C4-1</f>
        <v>0.19366197183098599</v>
      </c>
      <c r="H30" s="27">
        <f t="shared" si="51"/>
        <v>0.18865740740740744</v>
      </c>
      <c r="I30" s="27">
        <f t="shared" si="51"/>
        <v>0.13262032085561493</v>
      </c>
      <c r="J30" s="27">
        <f t="shared" si="46"/>
        <v>6.5130260521041983E-2</v>
      </c>
      <c r="K30" s="27">
        <f t="shared" si="46"/>
        <v>-1.6715830875122961E-2</v>
      </c>
      <c r="L30" s="27">
        <f t="shared" si="46"/>
        <v>0.2512171372930867</v>
      </c>
      <c r="M30" s="27">
        <f t="shared" si="46"/>
        <v>-5.5712936732766782E-2</v>
      </c>
      <c r="N30" s="27">
        <f t="shared" si="47"/>
        <v>-1</v>
      </c>
      <c r="O30" s="27">
        <f t="shared" si="48"/>
        <v>0</v>
      </c>
      <c r="P30" s="27">
        <f t="shared" si="49"/>
        <v>-0.22178988326848248</v>
      </c>
      <c r="Q30" s="26"/>
      <c r="R30" s="26"/>
      <c r="S30" s="26"/>
      <c r="T30" s="26"/>
      <c r="U30" s="27">
        <f t="shared" si="50"/>
        <v>0.21610169491525433</v>
      </c>
      <c r="V30" s="27">
        <f t="shared" si="50"/>
        <v>-1.7421602787456414E-2</v>
      </c>
      <c r="W30" s="27">
        <f t="shared" si="50"/>
        <v>0.18262411347517737</v>
      </c>
      <c r="X30" s="27">
        <f t="shared" si="50"/>
        <v>0</v>
      </c>
      <c r="Y30" s="27">
        <f t="shared" si="50"/>
        <v>0.49625187406296845</v>
      </c>
      <c r="Z30" s="27">
        <f t="shared" si="50"/>
        <v>6.5130260521041983E-2</v>
      </c>
      <c r="AA30" s="27">
        <f t="shared" si="50"/>
        <v>-5.9266227657572945E-2</v>
      </c>
      <c r="AB30" s="26"/>
      <c r="AC30" s="26"/>
      <c r="AD30" s="26"/>
      <c r="AE30" s="26"/>
      <c r="AF30" s="26"/>
      <c r="AG30" s="26"/>
      <c r="AH30" s="26"/>
      <c r="AI30" s="26"/>
      <c r="AJ30" s="26"/>
      <c r="AK30" s="26"/>
    </row>
    <row r="31" spans="1:37" x14ac:dyDescent="0.2">
      <c r="B31" s="2" t="s">
        <v>131</v>
      </c>
      <c r="C31" s="26"/>
      <c r="D31" s="5"/>
      <c r="E31" s="5"/>
      <c r="F31" s="5"/>
      <c r="G31" s="27">
        <f t="shared" ref="G31:G34" si="52">+G8/C8-1</f>
        <v>4.8140043763676088E-2</v>
      </c>
      <c r="H31" s="27">
        <f t="shared" ref="H31:H34" si="53">+H8/D8-1</f>
        <v>8.2610912799591985E-2</v>
      </c>
      <c r="I31" s="27">
        <f t="shared" ref="I31:I34" si="54">+I8/E8-1</f>
        <v>1.1288805268109048E-2</v>
      </c>
      <c r="J31" s="27">
        <f t="shared" ref="J31:M33" si="55">+J8/F8-1</f>
        <v>-3.321678321678323E-2</v>
      </c>
      <c r="K31" s="27">
        <f t="shared" si="55"/>
        <v>3.3924843423799533E-2</v>
      </c>
      <c r="L31" s="27">
        <f t="shared" si="55"/>
        <v>1.2717852096090443E-2</v>
      </c>
      <c r="M31" s="27">
        <f t="shared" si="55"/>
        <v>4.7906976744185981E-2</v>
      </c>
      <c r="N31" s="27">
        <f t="shared" ref="N31:N34" si="56">+N8/J8-1</f>
        <v>-1</v>
      </c>
      <c r="O31" s="27">
        <f t="shared" ref="O31:O34" si="57">+O8/K8-1</f>
        <v>7.5719333669863609E-3</v>
      </c>
      <c r="P31" s="27">
        <f t="shared" ref="P31:P34" si="58">+P8/L8-1</f>
        <v>-4.13953488372093E-2</v>
      </c>
      <c r="Q31" s="26"/>
      <c r="R31" s="26"/>
      <c r="S31" s="26"/>
      <c r="T31" s="26"/>
      <c r="U31" s="27" t="e">
        <f t="shared" ref="U31:Y33" si="59">+U8/T8-1</f>
        <v>#DIV/0!</v>
      </c>
      <c r="V31" s="27" t="e">
        <f t="shared" si="59"/>
        <v>#DIV/0!</v>
      </c>
      <c r="W31" s="27" t="e">
        <f t="shared" si="59"/>
        <v>#DIV/0!</v>
      </c>
      <c r="X31" s="27" t="e">
        <f t="shared" si="59"/>
        <v>#DIV/0!</v>
      </c>
      <c r="Y31" s="27">
        <f t="shared" si="59"/>
        <v>-3.764877337867345E-3</v>
      </c>
      <c r="Z31" s="27">
        <f t="shared" ref="Z31:AA33" si="60">+Z8/Y8-1</f>
        <v>2.4137510666829121E-2</v>
      </c>
      <c r="AA31" s="27">
        <f t="shared" si="60"/>
        <v>3.0472562790144098E-2</v>
      </c>
      <c r="AB31" s="26"/>
      <c r="AC31" s="26"/>
      <c r="AD31" s="26"/>
      <c r="AE31" s="26"/>
      <c r="AF31" s="26"/>
      <c r="AG31" s="26"/>
      <c r="AH31" s="26"/>
      <c r="AI31" s="26"/>
      <c r="AJ31" s="26"/>
      <c r="AK31" s="26"/>
    </row>
    <row r="32" spans="1:37" x14ac:dyDescent="0.2">
      <c r="B32" s="2" t="s">
        <v>132</v>
      </c>
      <c r="C32" s="26"/>
      <c r="D32" s="5"/>
      <c r="E32" s="5"/>
      <c r="F32" s="5"/>
      <c r="G32" s="27">
        <f t="shared" si="52"/>
        <v>-4.3352601156069204E-3</v>
      </c>
      <c r="H32" s="27">
        <f t="shared" si="53"/>
        <v>1.4569536423840956E-2</v>
      </c>
      <c r="I32" s="27">
        <f t="shared" si="54"/>
        <v>1.3528748590755368E-2</v>
      </c>
      <c r="J32" s="27">
        <f t="shared" si="55"/>
        <v>-2.6812313803376342E-2</v>
      </c>
      <c r="K32" s="27">
        <f t="shared" si="55"/>
        <v>5.079825834542806E-2</v>
      </c>
      <c r="L32" s="27">
        <f t="shared" si="55"/>
        <v>7.8328981723236879E-3</v>
      </c>
      <c r="M32" s="27">
        <f t="shared" si="55"/>
        <v>5.784204671857629E-2</v>
      </c>
      <c r="N32" s="27">
        <f t="shared" si="56"/>
        <v>-1</v>
      </c>
      <c r="O32" s="27">
        <f t="shared" si="57"/>
        <v>9.9447513812154664E-2</v>
      </c>
      <c r="P32" s="27">
        <f t="shared" si="58"/>
        <v>9.3264248704663322E-2</v>
      </c>
      <c r="Q32" s="26"/>
      <c r="R32" s="26"/>
      <c r="S32" s="26"/>
      <c r="T32" s="26"/>
      <c r="U32" s="27" t="e">
        <f t="shared" si="59"/>
        <v>#DIV/0!</v>
      </c>
      <c r="V32" s="27" t="e">
        <f t="shared" si="59"/>
        <v>#DIV/0!</v>
      </c>
      <c r="W32" s="27" t="e">
        <f t="shared" si="59"/>
        <v>#DIV/0!</v>
      </c>
      <c r="X32" s="27" t="e">
        <f t="shared" si="59"/>
        <v>#DIV/0!</v>
      </c>
      <c r="Y32" s="27">
        <f t="shared" si="59"/>
        <v>-0.11473237943826176</v>
      </c>
      <c r="Z32" s="27">
        <f t="shared" si="60"/>
        <v>-2.0951810835079243E-3</v>
      </c>
      <c r="AA32" s="27">
        <f t="shared" si="60"/>
        <v>5.0089982003599376E-2</v>
      </c>
      <c r="AB32" s="26"/>
      <c r="AC32" s="26"/>
      <c r="AD32" s="26"/>
      <c r="AE32" s="26"/>
      <c r="AF32" s="26"/>
      <c r="AG32" s="26"/>
      <c r="AH32" s="26"/>
      <c r="AI32" s="26"/>
      <c r="AJ32" s="26"/>
      <c r="AK32" s="26"/>
    </row>
    <row r="33" spans="2:37" x14ac:dyDescent="0.2">
      <c r="B33" s="2" t="s">
        <v>133</v>
      </c>
      <c r="C33" s="26"/>
      <c r="D33" s="5"/>
      <c r="E33" s="5"/>
      <c r="F33" s="5"/>
      <c r="G33" s="27">
        <f t="shared" si="52"/>
        <v>1.8518518518518601E-2</v>
      </c>
      <c r="H33" s="27">
        <f t="shared" si="53"/>
        <v>-2.0833333333333259E-3</v>
      </c>
      <c r="I33" s="27">
        <f t="shared" si="54"/>
        <v>1.9565217391304346E-2</v>
      </c>
      <c r="J33" s="27">
        <f t="shared" si="55"/>
        <v>6.7019400352733793E-2</v>
      </c>
      <c r="K33" s="27">
        <f t="shared" si="55"/>
        <v>-2.7272727272727226E-2</v>
      </c>
      <c r="L33" s="27">
        <f t="shared" si="55"/>
        <v>-8.3507306889353261E-3</v>
      </c>
      <c r="M33" s="27">
        <f t="shared" si="55"/>
        <v>-1.0660980810234588E-2</v>
      </c>
      <c r="N33" s="27">
        <f t="shared" si="56"/>
        <v>-1</v>
      </c>
      <c r="O33" s="27">
        <f t="shared" si="57"/>
        <v>7.0093457943924964E-3</v>
      </c>
      <c r="P33" s="27">
        <f t="shared" si="58"/>
        <v>6.3157894736842746E-3</v>
      </c>
      <c r="Q33" s="26"/>
      <c r="R33" s="26"/>
      <c r="S33" s="26"/>
      <c r="T33" s="26"/>
      <c r="U33" s="27" t="e">
        <f t="shared" si="59"/>
        <v>#DIV/0!</v>
      </c>
      <c r="V33" s="27" t="e">
        <f t="shared" si="59"/>
        <v>#DIV/0!</v>
      </c>
      <c r="W33" s="27" t="e">
        <f t="shared" si="59"/>
        <v>#DIV/0!</v>
      </c>
      <c r="X33" s="27" t="e">
        <f t="shared" si="59"/>
        <v>#DIV/0!</v>
      </c>
      <c r="Y33" s="27">
        <f t="shared" si="59"/>
        <v>-8.364839319470696E-2</v>
      </c>
      <c r="Z33" s="27">
        <f t="shared" si="60"/>
        <v>2.7849406910778862E-2</v>
      </c>
      <c r="AA33" s="27">
        <f t="shared" si="60"/>
        <v>-3.8635223281485165E-2</v>
      </c>
      <c r="AB33" s="26"/>
      <c r="AC33" s="26"/>
      <c r="AD33" s="26"/>
      <c r="AE33" s="26"/>
      <c r="AF33" s="26"/>
      <c r="AG33" s="26"/>
      <c r="AH33" s="26"/>
      <c r="AI33" s="26"/>
      <c r="AJ33" s="26"/>
      <c r="AK33" s="26"/>
    </row>
    <row r="34" spans="2:37" x14ac:dyDescent="0.2">
      <c r="B34" s="2" t="s">
        <v>134</v>
      </c>
      <c r="C34" s="26"/>
      <c r="D34" s="5"/>
      <c r="E34" s="5"/>
      <c r="F34" s="5"/>
      <c r="G34" s="27">
        <f t="shared" si="52"/>
        <v>2.4922118380062308E-2</v>
      </c>
      <c r="H34" s="27">
        <f t="shared" si="53"/>
        <v>-8.7976539589442737E-3</v>
      </c>
      <c r="I34" s="27">
        <f t="shared" si="54"/>
        <v>3.9426523297491078E-2</v>
      </c>
      <c r="J34" s="27">
        <f>+J11/F11-1</f>
        <v>-5.4892601431980936E-2</v>
      </c>
      <c r="K34" s="27">
        <f>+K11/G11-1</f>
        <v>-6.3829787234042534E-2</v>
      </c>
      <c r="L34" s="27">
        <f>+L11/H11-1</f>
        <v>-0.1124260355029586</v>
      </c>
      <c r="M34" s="27">
        <f>+M11/I11-1</f>
        <v>-0.11379310344827587</v>
      </c>
      <c r="N34" s="27">
        <f t="shared" si="56"/>
        <v>-1</v>
      </c>
      <c r="O34" s="27">
        <f t="shared" si="57"/>
        <v>-0.12337662337662336</v>
      </c>
      <c r="P34" s="27">
        <f t="shared" si="58"/>
        <v>-0.12</v>
      </c>
      <c r="Q34" s="26"/>
      <c r="R34" s="26"/>
      <c r="S34" s="26"/>
      <c r="T34" s="26"/>
      <c r="U34" s="27" t="e">
        <f t="shared" ref="U34:Y34" si="61">+U11/T11-1</f>
        <v>#DIV/0!</v>
      </c>
      <c r="V34" s="27" t="e">
        <f t="shared" si="61"/>
        <v>#DIV/0!</v>
      </c>
      <c r="W34" s="27" t="e">
        <f t="shared" si="61"/>
        <v>#DIV/0!</v>
      </c>
      <c r="X34" s="27" t="e">
        <f t="shared" si="61"/>
        <v>#DIV/0!</v>
      </c>
      <c r="Y34" s="27">
        <f t="shared" si="61"/>
        <v>-8.108108108108103E-2</v>
      </c>
      <c r="Z34" s="27">
        <f>+Z11/Y11-1</f>
        <v>-5.1470588235293935E-3</v>
      </c>
      <c r="AA34" s="27">
        <f>+AA11/Z11-1</f>
        <v>-9.9039172209903881E-2</v>
      </c>
      <c r="AB34" s="26"/>
      <c r="AC34" s="26"/>
      <c r="AD34" s="26"/>
      <c r="AE34" s="26"/>
      <c r="AF34" s="26"/>
      <c r="AG34" s="26"/>
      <c r="AH34" s="26"/>
      <c r="AI34" s="26"/>
      <c r="AJ34" s="26"/>
      <c r="AK34" s="26"/>
    </row>
    <row r="35" spans="2:37" x14ac:dyDescent="0.2">
      <c r="B35" s="2" t="s">
        <v>113</v>
      </c>
      <c r="C35" s="26"/>
      <c r="D35" s="5"/>
      <c r="E35" s="26"/>
      <c r="F35" s="26"/>
      <c r="G35" s="27">
        <f t="shared" ref="G35:G36" si="62">+G13/C13-1</f>
        <v>2.5815879201169123E-2</v>
      </c>
      <c r="H35" s="27">
        <f t="shared" ref="H35:H36" si="63">+H13/D13-1</f>
        <v>3.7285295349811509E-2</v>
      </c>
      <c r="I35" s="27">
        <f t="shared" ref="I35:I36" si="64">+I13/E13-1</f>
        <v>-1.8018018018018056E-2</v>
      </c>
      <c r="J35" s="27">
        <f t="shared" ref="J35:M35" si="65">+J13/F13-1</f>
        <v>-4.4271844660194182E-2</v>
      </c>
      <c r="K35" s="27">
        <f t="shared" si="65"/>
        <v>3.0531813865146695E-3</v>
      </c>
      <c r="L35" s="27">
        <f t="shared" si="65"/>
        <v>-1.4539579967689842E-2</v>
      </c>
      <c r="M35" s="27">
        <f t="shared" si="65"/>
        <v>3.4512887723896934E-2</v>
      </c>
      <c r="N35" s="27">
        <f t="shared" ref="N35:N36" si="66">+N13/J13-1</f>
        <v>-1</v>
      </c>
      <c r="O35" s="27">
        <f t="shared" ref="O35:O36" si="67">+O13/K13-1</f>
        <v>2.3465866324564599E-2</v>
      </c>
      <c r="P35" s="27">
        <f t="shared" ref="P35:P36" si="68">+P13/L13-1</f>
        <v>-3.0000000000000138E-2</v>
      </c>
      <c r="Q35" s="26"/>
      <c r="R35" s="26"/>
      <c r="S35" s="26"/>
      <c r="T35" s="26"/>
      <c r="U35" s="27">
        <f t="shared" ref="U35:AA37" si="69">U13/T13-1</f>
        <v>-4.4086773967809689E-2</v>
      </c>
      <c r="V35" s="27">
        <f t="shared" si="69"/>
        <v>-0.38815682446721977</v>
      </c>
      <c r="W35" s="27">
        <f t="shared" si="69"/>
        <v>0.36120712576442426</v>
      </c>
      <c r="X35" s="27">
        <f t="shared" si="69"/>
        <v>-5.742748315265167E-2</v>
      </c>
      <c r="Y35" s="27">
        <f t="shared" si="69"/>
        <v>-3.1602942700238335E-2</v>
      </c>
      <c r="Z35" s="27">
        <f t="shared" si="69"/>
        <v>-1.4979670447250459E-3</v>
      </c>
      <c r="AA35" s="27">
        <f t="shared" si="69"/>
        <v>5.6793827689669563E-3</v>
      </c>
      <c r="AB35" s="26"/>
      <c r="AC35" s="26"/>
      <c r="AD35" s="26"/>
      <c r="AE35" s="26"/>
      <c r="AF35" s="26"/>
      <c r="AG35" s="26"/>
      <c r="AH35" s="26"/>
      <c r="AI35" s="26"/>
      <c r="AJ35" s="26"/>
      <c r="AK35" s="26"/>
    </row>
    <row r="36" spans="2:37" x14ac:dyDescent="0.2">
      <c r="B36" s="2" t="s">
        <v>135</v>
      </c>
      <c r="C36" s="26"/>
      <c r="D36" s="5"/>
      <c r="E36" s="26"/>
      <c r="F36" s="26"/>
      <c r="G36" s="27">
        <f t="shared" si="62"/>
        <v>4.8242027800490694E-2</v>
      </c>
      <c r="H36" s="27">
        <f t="shared" si="63"/>
        <v>5.4263565891472965E-2</v>
      </c>
      <c r="I36" s="27">
        <f t="shared" si="64"/>
        <v>7.2423398328690824E-2</v>
      </c>
      <c r="J36" s="27">
        <f>+J14/F14-1</f>
        <v>-8.7057457922228298E-3</v>
      </c>
      <c r="K36" s="27">
        <f>+K14/G14-1</f>
        <v>5.3486739469578826E-2</v>
      </c>
      <c r="L36" s="27">
        <f>+L14/H14-1</f>
        <v>4.9836601307189587E-2</v>
      </c>
      <c r="M36" s="27">
        <f>+M14/I14-1</f>
        <v>2.2077922077922141E-2</v>
      </c>
      <c r="N36" s="27">
        <f t="shared" si="66"/>
        <v>-1</v>
      </c>
      <c r="O36" s="27">
        <f t="shared" si="67"/>
        <v>-1.1528465758901763E-2</v>
      </c>
      <c r="P36" s="27">
        <f t="shared" si="68"/>
        <v>-6.2256809338501196E-4</v>
      </c>
      <c r="Q36" s="26"/>
      <c r="R36" s="26"/>
      <c r="S36" s="26"/>
      <c r="T36" s="26"/>
      <c r="U36" s="27">
        <f t="shared" si="69"/>
        <v>9.9489109975799961E-2</v>
      </c>
      <c r="V36" s="27">
        <f t="shared" si="69"/>
        <v>0.53533871362191254</v>
      </c>
      <c r="W36" s="27">
        <f t="shared" si="69"/>
        <v>2.4370818732080357E-2</v>
      </c>
      <c r="X36" s="27">
        <f t="shared" si="69"/>
        <v>-7.2461514538951999E-2</v>
      </c>
      <c r="Y36" s="27">
        <f t="shared" si="69"/>
        <v>-7.0746018440905334E-2</v>
      </c>
      <c r="Z36" s="27">
        <f t="shared" si="69"/>
        <v>3.8066029226050846E-2</v>
      </c>
      <c r="AA36" s="27">
        <f t="shared" si="69"/>
        <v>3.9450816823079604E-2</v>
      </c>
      <c r="AB36" s="26"/>
      <c r="AC36" s="26"/>
      <c r="AD36" s="26"/>
      <c r="AE36" s="26"/>
      <c r="AF36" s="26"/>
      <c r="AG36" s="26"/>
      <c r="AH36" s="26"/>
      <c r="AI36" s="26"/>
      <c r="AJ36" s="26"/>
      <c r="AK36" s="26"/>
    </row>
    <row r="37" spans="2:37" x14ac:dyDescent="0.2">
      <c r="B37" s="1" t="s">
        <v>33</v>
      </c>
      <c r="C37" s="28"/>
      <c r="D37" s="23"/>
      <c r="E37" s="28"/>
      <c r="F37" s="28"/>
      <c r="G37" s="29">
        <f t="shared" ref="G37:M37" si="70">G15/C15-1</f>
        <v>3.4188034188034289E-2</v>
      </c>
      <c r="H37" s="29">
        <f t="shared" si="70"/>
        <v>4.8478015783540052E-2</v>
      </c>
      <c r="I37" s="29">
        <f t="shared" si="70"/>
        <v>1.6458720467215304E-2</v>
      </c>
      <c r="J37" s="29">
        <f t="shared" si="70"/>
        <v>-3.4667287110283884E-2</v>
      </c>
      <c r="K37" s="29">
        <f t="shared" si="70"/>
        <v>2.2136953955135708E-2</v>
      </c>
      <c r="L37" s="29">
        <f t="shared" si="70"/>
        <v>1.3440860215054862E-3</v>
      </c>
      <c r="M37" s="29">
        <f t="shared" si="70"/>
        <v>2.9511621833376855E-2</v>
      </c>
      <c r="N37" s="29">
        <f t="shared" ref="N37" si="71">N15/J15-1</f>
        <v>-1</v>
      </c>
      <c r="O37" s="29">
        <f t="shared" ref="O37" si="72">O15/K15-1</f>
        <v>9.8180768120126327E-3</v>
      </c>
      <c r="P37" s="29">
        <f t="shared" ref="P37" si="73">P15/L15-1</f>
        <v>-1.986577181208049E-2</v>
      </c>
      <c r="Q37" s="28"/>
      <c r="R37" s="28"/>
      <c r="S37" s="28"/>
      <c r="T37" s="28"/>
      <c r="U37" s="29">
        <f t="shared" si="69"/>
        <v>-1.1881785283474056E-2</v>
      </c>
      <c r="V37" s="29">
        <f t="shared" si="69"/>
        <v>-0.15766343160593299</v>
      </c>
      <c r="W37" s="29">
        <f t="shared" si="69"/>
        <v>0.20797101449275357</v>
      </c>
      <c r="X37" s="29">
        <f t="shared" si="69"/>
        <v>-6.3227354529094226E-2</v>
      </c>
      <c r="Y37" s="29">
        <f t="shared" si="69"/>
        <v>-4.6554815573770503E-2</v>
      </c>
      <c r="Z37" s="29">
        <f t="shared" si="69"/>
        <v>1.3231244542951215E-2</v>
      </c>
      <c r="AA37" s="29">
        <f t="shared" si="69"/>
        <v>1.8560254540633592E-2</v>
      </c>
      <c r="AB37" s="26"/>
      <c r="AC37" s="26"/>
      <c r="AD37" s="26"/>
      <c r="AE37" s="26"/>
      <c r="AF37" s="26"/>
      <c r="AG37" s="26"/>
      <c r="AH37" s="26"/>
      <c r="AI37" s="26"/>
      <c r="AJ37" s="26"/>
      <c r="AK37" s="26"/>
    </row>
    <row r="38" spans="2:37" x14ac:dyDescent="0.2">
      <c r="B38" s="2" t="s">
        <v>34</v>
      </c>
      <c r="C38" s="27">
        <f t="shared" ref="C38:J38" si="74">C17/C15</f>
        <v>0.37057387057387059</v>
      </c>
      <c r="D38" s="27">
        <f t="shared" si="74"/>
        <v>0.37570462232243518</v>
      </c>
      <c r="E38" s="27">
        <f t="shared" si="74"/>
        <v>0.41306079108043536</v>
      </c>
      <c r="F38" s="27">
        <f t="shared" si="74"/>
        <v>0.3890181479758027</v>
      </c>
      <c r="G38" s="27">
        <f t="shared" si="74"/>
        <v>0.41233766233766234</v>
      </c>
      <c r="H38" s="27">
        <f t="shared" si="74"/>
        <v>0.42553763440860215</v>
      </c>
      <c r="I38" s="27">
        <f t="shared" si="74"/>
        <v>0.42700443980151476</v>
      </c>
      <c r="J38" s="27">
        <f t="shared" si="74"/>
        <v>0.38852735598939503</v>
      </c>
      <c r="K38" s="27">
        <f t="shared" ref="K38:L38" si="75">K17/K15</f>
        <v>0.41813456540571758</v>
      </c>
      <c r="L38" s="27">
        <f t="shared" si="75"/>
        <v>0.41234899328859059</v>
      </c>
      <c r="M38" s="27">
        <f t="shared" ref="M38:P38" si="76">M17/M15</f>
        <v>0.42364282090309485</v>
      </c>
      <c r="N38" s="27" t="e">
        <f t="shared" si="76"/>
        <v>#DIV/0!</v>
      </c>
      <c r="O38" s="27">
        <f t="shared" si="76"/>
        <v>0.40520446096654272</v>
      </c>
      <c r="P38" s="27">
        <f t="shared" si="76"/>
        <v>0.52834839769926045</v>
      </c>
      <c r="Q38" s="26"/>
      <c r="R38" s="26"/>
      <c r="S38" s="26"/>
      <c r="T38" s="26"/>
      <c r="U38" s="27">
        <f t="shared" ref="U38:Z38" si="77">U17/U15</f>
        <v>0.37435146188121832</v>
      </c>
      <c r="V38" s="27">
        <f t="shared" si="77"/>
        <v>0.34094202898550724</v>
      </c>
      <c r="W38" s="27">
        <f t="shared" si="77"/>
        <v>0.39814037192561486</v>
      </c>
      <c r="X38" s="27">
        <f t="shared" si="77"/>
        <v>0.34317366803278687</v>
      </c>
      <c r="Y38" s="27">
        <f t="shared" si="77"/>
        <v>0.38787023977433005</v>
      </c>
      <c r="Z38" s="27">
        <f t="shared" si="77"/>
        <v>0.41276680365902163</v>
      </c>
      <c r="AA38" s="27">
        <f t="shared" ref="AA38" si="78">AA17/AA15</f>
        <v>0.40791357542626577</v>
      </c>
      <c r="AB38" s="26"/>
      <c r="AC38" s="26"/>
      <c r="AD38" s="26"/>
      <c r="AE38" s="26"/>
      <c r="AF38" s="26"/>
      <c r="AG38" s="26"/>
      <c r="AH38" s="26"/>
      <c r="AI38" s="26"/>
      <c r="AJ38" s="26"/>
      <c r="AK38" s="26"/>
    </row>
    <row r="39" spans="2:37" x14ac:dyDescent="0.2">
      <c r="B39" s="2" t="s">
        <v>35</v>
      </c>
      <c r="C39" s="27">
        <f t="shared" ref="C39:J39" si="79">C19/C15</f>
        <v>-3.0525030525030525E-3</v>
      </c>
      <c r="D39" s="27">
        <f t="shared" si="79"/>
        <v>2.987598647125141E-2</v>
      </c>
      <c r="E39" s="27">
        <f t="shared" si="79"/>
        <v>6.636580833554552E-2</v>
      </c>
      <c r="F39" s="27">
        <f t="shared" si="79"/>
        <v>4.9790600279199626E-2</v>
      </c>
      <c r="G39" s="27">
        <f t="shared" si="79"/>
        <v>6.0507674144037779E-2</v>
      </c>
      <c r="H39" s="27">
        <f t="shared" si="79"/>
        <v>7.8763440860215056E-2</v>
      </c>
      <c r="I39" s="27">
        <f t="shared" si="79"/>
        <v>9.2713502219900754E-2</v>
      </c>
      <c r="J39" s="27">
        <f t="shared" si="79"/>
        <v>6.2424680645938778E-2</v>
      </c>
      <c r="K39" s="27">
        <f t="shared" ref="K39:L39" si="80">K19/K15</f>
        <v>7.5079410915391276E-2</v>
      </c>
      <c r="L39" s="27">
        <f t="shared" si="80"/>
        <v>7.8389261744966438E-2</v>
      </c>
      <c r="M39" s="27">
        <f t="shared" ref="M39:P39" si="81">M19/M15</f>
        <v>8.472856418061897E-2</v>
      </c>
      <c r="N39" s="27" t="e">
        <f t="shared" si="81"/>
        <v>#DIV/0!</v>
      </c>
      <c r="O39" s="27">
        <f t="shared" si="81"/>
        <v>0.12725193022590792</v>
      </c>
      <c r="P39" s="27">
        <f t="shared" si="81"/>
        <v>0.1851547521227061</v>
      </c>
      <c r="Q39" s="26"/>
      <c r="R39" s="26"/>
      <c r="S39" s="26"/>
      <c r="T39" s="26"/>
      <c r="U39" s="27">
        <f t="shared" ref="U39:Z39" si="82">U19/U15</f>
        <v>3.5036318134651773E-2</v>
      </c>
      <c r="V39" s="27">
        <f t="shared" si="82"/>
        <v>-6.246376811594203E-2</v>
      </c>
      <c r="W39" s="27">
        <f t="shared" si="82"/>
        <v>4.8590281943611278E-2</v>
      </c>
      <c r="X39" s="27">
        <f t="shared" si="82"/>
        <v>-4.4185450819672128E-3</v>
      </c>
      <c r="Y39" s="27">
        <f t="shared" si="82"/>
        <v>3.7611659614480486E-2</v>
      </c>
      <c r="Z39" s="27">
        <f t="shared" si="82"/>
        <v>7.3710725175659547E-2</v>
      </c>
      <c r="AA39" s="27">
        <f t="shared" ref="AA39" si="83">AA19/AA15</f>
        <v>7.2562800989196929E-2</v>
      </c>
      <c r="AB39" s="26"/>
      <c r="AC39" s="26"/>
      <c r="AD39" s="26"/>
      <c r="AE39" s="26"/>
      <c r="AF39" s="26"/>
      <c r="AG39" s="26"/>
      <c r="AH39" s="26"/>
      <c r="AI39" s="26"/>
      <c r="AJ39" s="26"/>
      <c r="AK39" s="26"/>
    </row>
    <row r="40" spans="2:37" x14ac:dyDescent="0.2">
      <c r="B40" s="2" t="s">
        <v>114</v>
      </c>
      <c r="C40" s="27"/>
      <c r="D40" s="27">
        <f t="shared" ref="D40:J40" si="84">(D19-C19)/(D17-C17)</f>
        <v>0.97478991596638653</v>
      </c>
      <c r="E40" s="27">
        <f t="shared" si="84"/>
        <v>0.64573991031390132</v>
      </c>
      <c r="F40" s="27">
        <f t="shared" si="84"/>
        <v>-0.31034482758620691</v>
      </c>
      <c r="G40" s="27">
        <f t="shared" si="84"/>
        <v>3.272727272727273E-2</v>
      </c>
      <c r="H40" s="27">
        <f t="shared" si="84"/>
        <v>0.4731182795698925</v>
      </c>
      <c r="I40" s="27">
        <f t="shared" si="84"/>
        <v>1.1923076923076923</v>
      </c>
      <c r="J40" s="27">
        <f t="shared" si="84"/>
        <v>4.1739130434782608</v>
      </c>
      <c r="K40" s="27">
        <f t="shared" ref="K40:M40" si="85">(K19-J19)/(K17-J17)</f>
        <v>-6.0975609756097563E-3</v>
      </c>
      <c r="L40" s="27">
        <f t="shared" si="85"/>
        <v>0.36363636363636365</v>
      </c>
      <c r="M40" s="27">
        <f t="shared" si="85"/>
        <v>0.31343283582089554</v>
      </c>
      <c r="N40" s="27">
        <f t="shared" ref="N40" si="86">(N19-M19)/(N17-M17)</f>
        <v>0.2</v>
      </c>
      <c r="O40" s="27">
        <f t="shared" ref="O40" si="87">(O19-N19)/(O17-N17)</f>
        <v>0.31404375441072691</v>
      </c>
      <c r="P40" s="27">
        <f t="shared" ref="P40" si="88">(P19-O19)/(P17-O17)</f>
        <v>0.451171875</v>
      </c>
      <c r="Q40" s="26"/>
      <c r="R40" s="26"/>
      <c r="S40" s="26"/>
      <c r="T40" s="26"/>
      <c r="U40" s="27">
        <f t="shared" ref="U40:AA40" si="89">(U19-T19)/(U15-T15)</f>
        <v>4</v>
      </c>
      <c r="V40" s="27">
        <f t="shared" si="89"/>
        <v>0.55594270228416565</v>
      </c>
      <c r="W40" s="27">
        <f t="shared" si="89"/>
        <v>0.58257839721254356</v>
      </c>
      <c r="X40" s="27">
        <f t="shared" si="89"/>
        <v>0.83396584440227706</v>
      </c>
      <c r="Y40" s="27">
        <f t="shared" si="89"/>
        <v>-0.86519944979367258</v>
      </c>
      <c r="Z40" s="27">
        <f t="shared" si="89"/>
        <v>2.8020304568527918</v>
      </c>
      <c r="AA40" s="27">
        <f t="shared" si="89"/>
        <v>1.0714285714285714E-2</v>
      </c>
      <c r="AB40" s="26"/>
      <c r="AC40" s="26"/>
      <c r="AD40" s="26"/>
      <c r="AE40" s="26"/>
      <c r="AF40" s="26"/>
      <c r="AG40" s="26"/>
      <c r="AH40" s="26"/>
      <c r="AI40" s="26"/>
      <c r="AJ40" s="26"/>
      <c r="AK40" s="26"/>
    </row>
    <row r="41" spans="2:37" x14ac:dyDescent="0.2">
      <c r="B41" s="2" t="s">
        <v>36</v>
      </c>
      <c r="C41" s="27">
        <f t="shared" ref="C41:J41" si="90">C23/C22</f>
        <v>0.1</v>
      </c>
      <c r="D41" s="27">
        <f t="shared" si="90"/>
        <v>-8.3333333333333329E-2</v>
      </c>
      <c r="E41" s="27">
        <f t="shared" si="90"/>
        <v>0.128</v>
      </c>
      <c r="F41" s="27">
        <f t="shared" si="90"/>
        <v>0.15137614678899083</v>
      </c>
      <c r="G41" s="27">
        <f t="shared" si="90"/>
        <v>0.24038461538461539</v>
      </c>
      <c r="H41" s="27">
        <f t="shared" si="90"/>
        <v>0.30405405405405406</v>
      </c>
      <c r="I41" s="27">
        <f t="shared" si="90"/>
        <v>0.24099722991689751</v>
      </c>
      <c r="J41" s="27">
        <f t="shared" si="90"/>
        <v>0.24264705882352941</v>
      </c>
      <c r="K41" s="27">
        <f t="shared" ref="K41:L41" si="91">K23/K22</f>
        <v>0.26615969581749049</v>
      </c>
      <c r="L41" s="27">
        <f t="shared" si="91"/>
        <v>0.27027027027027029</v>
      </c>
      <c r="M41" s="27">
        <f t="shared" ref="M41:P41" si="92">M23/M22</f>
        <v>0.29970326409495551</v>
      </c>
      <c r="N41" s="27" t="e">
        <f t="shared" si="92"/>
        <v>#DIV/0!</v>
      </c>
      <c r="O41" s="27">
        <f t="shared" si="92"/>
        <v>0.24666666666666667</v>
      </c>
      <c r="P41" s="27">
        <f t="shared" si="92"/>
        <v>0.26323529411764707</v>
      </c>
      <c r="Q41" s="26"/>
      <c r="R41" s="26"/>
      <c r="S41" s="26"/>
      <c r="T41" s="26"/>
      <c r="U41" s="27">
        <f t="shared" ref="U41:Z41" si="93">U23/U22</f>
        <v>0.33522727272727271</v>
      </c>
      <c r="V41" s="27">
        <f t="shared" si="93"/>
        <v>0.39655172413793105</v>
      </c>
      <c r="W41" s="27">
        <f t="shared" si="93"/>
        <v>0.20743034055727555</v>
      </c>
      <c r="X41" s="27">
        <f t="shared" si="93"/>
        <v>-0.45323741007194246</v>
      </c>
      <c r="Y41" s="27">
        <f t="shared" si="93"/>
        <v>9.7122302158273388E-2</v>
      </c>
      <c r="Z41" s="27">
        <f t="shared" si="93"/>
        <v>0.25769569041336854</v>
      </c>
      <c r="AA41" s="27">
        <f t="shared" ref="AA41" si="94">AA23/AA22</f>
        <v>0.27915194346289751</v>
      </c>
      <c r="AB41" s="26"/>
      <c r="AC41" s="26"/>
      <c r="AD41" s="26"/>
      <c r="AE41" s="26"/>
      <c r="AF41" s="26"/>
      <c r="AG41" s="26"/>
      <c r="AH41" s="26"/>
      <c r="AI41" s="26"/>
      <c r="AJ41" s="26"/>
      <c r="AK41" s="26"/>
    </row>
    <row r="42" spans="2:37" x14ac:dyDescent="0.2"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7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</row>
    <row r="43" spans="2:37" x14ac:dyDescent="0.2"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30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</row>
    <row r="44" spans="2:37" x14ac:dyDescent="0.2">
      <c r="B44" s="2" t="s">
        <v>37</v>
      </c>
      <c r="C44" s="5">
        <v>1170</v>
      </c>
      <c r="D44" s="5"/>
      <c r="E44" s="5"/>
      <c r="F44" s="5">
        <v>1902</v>
      </c>
      <c r="G44" s="5">
        <v>1532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1215</v>
      </c>
      <c r="Y44" s="5">
        <v>1873</v>
      </c>
      <c r="Z44" s="5">
        <v>2335</v>
      </c>
      <c r="AA44" s="26">
        <v>2616</v>
      </c>
      <c r="AB44" s="26"/>
      <c r="AC44" s="26"/>
      <c r="AD44" s="26"/>
      <c r="AE44" s="26"/>
      <c r="AF44" s="26"/>
      <c r="AG44" s="26"/>
      <c r="AH44" s="26"/>
      <c r="AI44" s="26"/>
      <c r="AJ44" s="26"/>
      <c r="AK44" s="26"/>
    </row>
    <row r="45" spans="2:37" x14ac:dyDescent="0.2">
      <c r="B45" s="2" t="s">
        <v>38</v>
      </c>
      <c r="C45" s="5">
        <v>0</v>
      </c>
      <c r="D45" s="5"/>
      <c r="E45" s="5"/>
      <c r="F45" s="5"/>
      <c r="G45" s="5">
        <v>199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>
        <v>0</v>
      </c>
      <c r="Y45" s="5">
        <v>0</v>
      </c>
      <c r="Z45" s="5">
        <v>253</v>
      </c>
      <c r="AA45" s="26">
        <v>386</v>
      </c>
      <c r="AB45" s="26"/>
      <c r="AC45" s="26"/>
      <c r="AD45" s="26"/>
      <c r="AE45" s="26"/>
      <c r="AF45" s="26"/>
      <c r="AG45" s="26"/>
      <c r="AH45" s="26"/>
      <c r="AI45" s="26"/>
      <c r="AJ45" s="26"/>
      <c r="AK45" s="26"/>
    </row>
    <row r="46" spans="2:37" x14ac:dyDescent="0.2">
      <c r="B46" s="2" t="s">
        <v>39</v>
      </c>
      <c r="C46" s="5">
        <v>2299</v>
      </c>
      <c r="D46" s="5"/>
      <c r="E46" s="5"/>
      <c r="F46" s="5"/>
      <c r="G46" s="5">
        <v>1952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>
        <v>2389</v>
      </c>
      <c r="Y46" s="5">
        <v>1995</v>
      </c>
      <c r="Z46" s="5">
        <v>2067</v>
      </c>
      <c r="AA46" s="26">
        <v>2207</v>
      </c>
      <c r="AB46" s="26"/>
      <c r="AC46" s="26"/>
      <c r="AD46" s="26"/>
      <c r="AE46" s="26"/>
      <c r="AF46" s="26"/>
      <c r="AG46" s="26"/>
      <c r="AH46" s="26"/>
      <c r="AI46" s="26"/>
      <c r="AJ46" s="26"/>
      <c r="AK46" s="26"/>
    </row>
    <row r="47" spans="2:37" x14ac:dyDescent="0.2">
      <c r="B47" s="2" t="s">
        <v>40</v>
      </c>
      <c r="C47" s="5">
        <v>814</v>
      </c>
      <c r="D47" s="5"/>
      <c r="E47" s="5"/>
      <c r="F47" s="5"/>
      <c r="G47" s="5">
        <v>514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>
        <v>1013</v>
      </c>
      <c r="Y47" s="5">
        <v>527</v>
      </c>
      <c r="Z47" s="5">
        <v>548</v>
      </c>
      <c r="AA47" s="26">
        <v>568</v>
      </c>
      <c r="AB47" s="26"/>
      <c r="AC47" s="26"/>
      <c r="AD47" s="26"/>
      <c r="AE47" s="26"/>
      <c r="AF47" s="26"/>
      <c r="AG47" s="26"/>
      <c r="AH47" s="26"/>
      <c r="AI47" s="26"/>
      <c r="AJ47" s="26"/>
      <c r="AK47" s="26"/>
    </row>
    <row r="48" spans="2:37" x14ac:dyDescent="0.2">
      <c r="B48" s="2" t="s">
        <v>41</v>
      </c>
      <c r="C48" s="5">
        <f>SUM(C44:C47)</f>
        <v>4283</v>
      </c>
      <c r="D48" s="5">
        <f t="shared" ref="D48:J48" si="95">SUM(D44:D47)</f>
        <v>0</v>
      </c>
      <c r="E48" s="5">
        <f t="shared" si="95"/>
        <v>0</v>
      </c>
      <c r="F48" s="5">
        <f t="shared" si="95"/>
        <v>1902</v>
      </c>
      <c r="G48" s="5">
        <f t="shared" si="95"/>
        <v>4197</v>
      </c>
      <c r="H48" s="5">
        <f t="shared" si="95"/>
        <v>0</v>
      </c>
      <c r="I48" s="5">
        <f t="shared" si="95"/>
        <v>0</v>
      </c>
      <c r="J48" s="5">
        <f t="shared" si="95"/>
        <v>0</v>
      </c>
      <c r="K48" s="5"/>
      <c r="L48" s="5"/>
      <c r="M48" s="5"/>
      <c r="N48" s="5"/>
      <c r="O48" s="5"/>
      <c r="P48" s="5"/>
      <c r="Q48" s="5"/>
      <c r="R48" s="5"/>
      <c r="S48" s="5"/>
      <c r="T48" s="5">
        <f t="shared" ref="T48" si="96">SUM(T44:T47)</f>
        <v>0</v>
      </c>
      <c r="U48" s="5">
        <f t="shared" ref="U48" si="97">SUM(U44:U47)</f>
        <v>0</v>
      </c>
      <c r="V48" s="5">
        <f t="shared" ref="V48" si="98">SUM(V44:V47)</f>
        <v>0</v>
      </c>
      <c r="W48" s="5">
        <f t="shared" ref="W48" si="99">SUM(W44:W47)</f>
        <v>0</v>
      </c>
      <c r="X48" s="5">
        <f t="shared" ref="X48" si="100">SUM(X44:X47)</f>
        <v>4617</v>
      </c>
      <c r="Y48" s="5">
        <f t="shared" ref="Y48:AA48" si="101">SUM(Y44:Y47)</f>
        <v>4395</v>
      </c>
      <c r="Z48" s="5">
        <f t="shared" si="101"/>
        <v>5203</v>
      </c>
      <c r="AA48" s="5">
        <f t="shared" si="101"/>
        <v>5777</v>
      </c>
      <c r="AB48" s="26"/>
      <c r="AC48" s="26"/>
      <c r="AD48" s="26"/>
      <c r="AE48" s="26"/>
      <c r="AF48" s="26"/>
      <c r="AG48" s="26"/>
      <c r="AH48" s="26"/>
      <c r="AI48" s="26"/>
      <c r="AJ48" s="26"/>
      <c r="AK48" s="26"/>
    </row>
    <row r="49" spans="2:37" x14ac:dyDescent="0.2">
      <c r="B49" s="2" t="s">
        <v>43</v>
      </c>
      <c r="C49" s="5">
        <v>2646</v>
      </c>
      <c r="D49" s="5"/>
      <c r="E49" s="5"/>
      <c r="F49" s="5"/>
      <c r="G49" s="5">
        <v>2528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>
        <v>2688</v>
      </c>
      <c r="Y49" s="5">
        <v>2566</v>
      </c>
      <c r="Z49" s="5">
        <v>2496</v>
      </c>
      <c r="AA49" s="26">
        <v>2507</v>
      </c>
      <c r="AB49" s="26"/>
      <c r="AC49" s="26"/>
      <c r="AD49" s="26"/>
      <c r="AE49" s="26"/>
      <c r="AF49" s="26"/>
      <c r="AG49" s="26"/>
      <c r="AH49" s="26"/>
      <c r="AI49" s="26"/>
      <c r="AJ49" s="26"/>
      <c r="AK49" s="26"/>
    </row>
    <row r="50" spans="2:37" x14ac:dyDescent="0.2">
      <c r="B50" s="2" t="s">
        <v>44</v>
      </c>
      <c r="C50" s="5">
        <v>3123</v>
      </c>
      <c r="D50" s="5"/>
      <c r="E50" s="5"/>
      <c r="F50" s="5"/>
      <c r="G50" s="5">
        <v>3207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>
        <v>3173</v>
      </c>
      <c r="Y50" s="5">
        <v>3115</v>
      </c>
      <c r="Z50" s="5">
        <v>3240</v>
      </c>
      <c r="AA50" s="26">
        <v>3443</v>
      </c>
      <c r="AB50" s="26"/>
      <c r="AC50" s="26"/>
      <c r="AD50" s="26"/>
      <c r="AE50" s="26"/>
      <c r="AF50" s="26"/>
      <c r="AG50" s="26"/>
      <c r="AH50" s="26"/>
      <c r="AI50" s="26"/>
      <c r="AJ50" s="26"/>
      <c r="AK50" s="26"/>
    </row>
    <row r="51" spans="2:37" x14ac:dyDescent="0.2">
      <c r="B51" s="2" t="s">
        <v>45</v>
      </c>
      <c r="C51" s="5">
        <v>880</v>
      </c>
      <c r="D51" s="5"/>
      <c r="E51" s="5"/>
      <c r="F51" s="5"/>
      <c r="G51" s="5">
        <v>976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>
        <v>908</v>
      </c>
      <c r="Y51" s="5">
        <v>968</v>
      </c>
      <c r="Z51" s="5">
        <v>946</v>
      </c>
      <c r="AA51" s="26">
        <v>905</v>
      </c>
      <c r="AB51" s="26"/>
      <c r="AC51" s="26"/>
      <c r="AD51" s="26"/>
      <c r="AE51" s="26"/>
      <c r="AF51" s="26"/>
      <c r="AG51" s="26"/>
      <c r="AH51" s="26"/>
      <c r="AI51" s="26"/>
      <c r="AJ51" s="26"/>
      <c r="AK51" s="26"/>
    </row>
    <row r="52" spans="2:37" x14ac:dyDescent="0.2">
      <c r="B52" s="2" t="s">
        <v>46</v>
      </c>
      <c r="C52" s="5">
        <f>SUM(C49:C51)</f>
        <v>6649</v>
      </c>
      <c r="D52" s="5">
        <f t="shared" ref="D52:J52" si="102">SUM(D49:D51)</f>
        <v>0</v>
      </c>
      <c r="E52" s="5">
        <f t="shared" si="102"/>
        <v>0</v>
      </c>
      <c r="F52" s="5">
        <f t="shared" si="102"/>
        <v>0</v>
      </c>
      <c r="G52" s="5">
        <f t="shared" si="102"/>
        <v>6711</v>
      </c>
      <c r="H52" s="5">
        <f t="shared" si="102"/>
        <v>0</v>
      </c>
      <c r="I52" s="5">
        <f t="shared" si="102"/>
        <v>0</v>
      </c>
      <c r="J52" s="5">
        <f t="shared" si="102"/>
        <v>0</v>
      </c>
      <c r="K52" s="5"/>
      <c r="L52" s="5"/>
      <c r="M52" s="5"/>
      <c r="N52" s="5"/>
      <c r="O52" s="5"/>
      <c r="P52" s="5"/>
      <c r="Q52" s="5"/>
      <c r="R52" s="5"/>
      <c r="S52" s="5"/>
      <c r="T52" s="5">
        <f t="shared" ref="T52" si="103">SUM(T49:T51)</f>
        <v>0</v>
      </c>
      <c r="U52" s="5">
        <f t="shared" ref="U52" si="104">SUM(U49:U51)</f>
        <v>0</v>
      </c>
      <c r="V52" s="5">
        <f t="shared" ref="V52" si="105">SUM(V49:V51)</f>
        <v>0</v>
      </c>
      <c r="W52" s="5">
        <f t="shared" ref="W52" si="106">SUM(W49:W51)</f>
        <v>0</v>
      </c>
      <c r="X52" s="5">
        <f t="shared" ref="X52" si="107">SUM(X49:X51)</f>
        <v>6769</v>
      </c>
      <c r="Y52" s="5">
        <f t="shared" ref="Y52" si="108">SUM(Y49:Y51)</f>
        <v>6649</v>
      </c>
      <c r="Z52" s="5">
        <f t="shared" ref="Z52:AA52" si="109">SUM(Z49:Z51)</f>
        <v>6682</v>
      </c>
      <c r="AA52" s="5">
        <f t="shared" si="109"/>
        <v>6855</v>
      </c>
      <c r="AB52" s="26"/>
      <c r="AC52" s="26"/>
      <c r="AD52" s="26"/>
      <c r="AE52" s="26"/>
      <c r="AF52" s="26"/>
      <c r="AG52" s="26"/>
      <c r="AH52" s="26"/>
      <c r="AI52" s="26"/>
      <c r="AJ52" s="26"/>
      <c r="AK52" s="26"/>
    </row>
    <row r="53" spans="2:37" x14ac:dyDescent="0.2">
      <c r="B53" s="1" t="s">
        <v>47</v>
      </c>
      <c r="C53" s="23">
        <f t="shared" ref="C53:J53" si="110">C52+C48</f>
        <v>10932</v>
      </c>
      <c r="D53" s="23">
        <f t="shared" si="110"/>
        <v>0</v>
      </c>
      <c r="E53" s="23">
        <f t="shared" si="110"/>
        <v>0</v>
      </c>
      <c r="F53" s="23">
        <f t="shared" si="110"/>
        <v>1902</v>
      </c>
      <c r="G53" s="23">
        <f t="shared" si="110"/>
        <v>10908</v>
      </c>
      <c r="H53" s="23">
        <f t="shared" si="110"/>
        <v>0</v>
      </c>
      <c r="I53" s="23">
        <f t="shared" si="110"/>
        <v>0</v>
      </c>
      <c r="J53" s="23">
        <f t="shared" si="110"/>
        <v>0</v>
      </c>
      <c r="K53" s="23"/>
      <c r="L53" s="23"/>
      <c r="M53" s="23"/>
      <c r="N53" s="5"/>
      <c r="O53" s="5"/>
      <c r="P53" s="5"/>
      <c r="Q53" s="5"/>
      <c r="R53" s="5"/>
      <c r="S53" s="5"/>
      <c r="T53" s="23">
        <f t="shared" ref="T53:AA53" si="111">T52+T48</f>
        <v>0</v>
      </c>
      <c r="U53" s="23">
        <f t="shared" si="111"/>
        <v>0</v>
      </c>
      <c r="V53" s="23">
        <f t="shared" si="111"/>
        <v>0</v>
      </c>
      <c r="W53" s="23">
        <f t="shared" si="111"/>
        <v>0</v>
      </c>
      <c r="X53" s="23">
        <f t="shared" si="111"/>
        <v>11386</v>
      </c>
      <c r="Y53" s="23">
        <f t="shared" si="111"/>
        <v>11044</v>
      </c>
      <c r="Z53" s="23">
        <f t="shared" si="111"/>
        <v>11885</v>
      </c>
      <c r="AA53" s="23">
        <f t="shared" si="111"/>
        <v>12632</v>
      </c>
      <c r="AB53" s="26"/>
      <c r="AC53" s="26"/>
      <c r="AD53" s="26"/>
      <c r="AE53" s="26"/>
      <c r="AF53" s="26"/>
      <c r="AG53" s="26"/>
      <c r="AH53" s="26"/>
      <c r="AI53" s="26"/>
      <c r="AJ53" s="26"/>
      <c r="AK53" s="26"/>
    </row>
    <row r="54" spans="2:37" x14ac:dyDescent="0.2">
      <c r="B54" s="2" t="s">
        <v>48</v>
      </c>
      <c r="C54" s="5">
        <v>1199</v>
      </c>
      <c r="D54" s="5"/>
      <c r="E54" s="5"/>
      <c r="F54" s="5"/>
      <c r="G54" s="5">
        <v>1196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>
        <v>1320</v>
      </c>
      <c r="Y54" s="5">
        <v>1349</v>
      </c>
      <c r="Z54" s="5">
        <v>1488</v>
      </c>
      <c r="AA54" s="26">
        <v>1567</v>
      </c>
      <c r="AB54" s="26"/>
      <c r="AC54" s="26"/>
      <c r="AD54" s="26"/>
      <c r="AE54" s="26"/>
      <c r="AF54" s="26"/>
      <c r="AG54" s="26"/>
      <c r="AH54" s="26"/>
      <c r="AI54" s="26"/>
      <c r="AJ54" s="26"/>
      <c r="AK54" s="26"/>
    </row>
    <row r="55" spans="2:37" x14ac:dyDescent="0.2">
      <c r="B55" s="2" t="s">
        <v>42</v>
      </c>
      <c r="C55" s="5">
        <v>1051</v>
      </c>
      <c r="D55" s="5"/>
      <c r="E55" s="5"/>
      <c r="F55" s="5"/>
      <c r="G55" s="5">
        <v>942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>
        <v>1219</v>
      </c>
      <c r="Y55" s="5">
        <v>1108</v>
      </c>
      <c r="Z55" s="5">
        <v>1083</v>
      </c>
      <c r="AA55" s="26">
        <v>1044</v>
      </c>
      <c r="AB55" s="26"/>
      <c r="AC55" s="26"/>
      <c r="AD55" s="26"/>
      <c r="AE55" s="26"/>
      <c r="AF55" s="26"/>
      <c r="AG55" s="26"/>
      <c r="AH55" s="26"/>
      <c r="AI55" s="26"/>
      <c r="AJ55" s="26"/>
      <c r="AK55" s="26"/>
    </row>
    <row r="56" spans="2:37" x14ac:dyDescent="0.2">
      <c r="B56" s="2" t="s">
        <v>49</v>
      </c>
      <c r="C56" s="5">
        <v>658</v>
      </c>
      <c r="D56" s="5"/>
      <c r="E56" s="5"/>
      <c r="F56" s="5"/>
      <c r="G56" s="5">
        <v>624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>
        <v>667</v>
      </c>
      <c r="Y56" s="5">
        <v>600</v>
      </c>
      <c r="Z56" s="5">
        <v>632</v>
      </c>
      <c r="AA56" s="26">
        <v>634</v>
      </c>
      <c r="AB56" s="26"/>
      <c r="AC56" s="26"/>
      <c r="AD56" s="26"/>
      <c r="AE56" s="26"/>
      <c r="AF56" s="26"/>
      <c r="AG56" s="26"/>
      <c r="AH56" s="26"/>
      <c r="AI56" s="26"/>
      <c r="AJ56" s="26"/>
      <c r="AK56" s="26"/>
    </row>
    <row r="57" spans="2:37" x14ac:dyDescent="0.2">
      <c r="B57" s="2" t="s">
        <v>50</v>
      </c>
      <c r="C57" s="5">
        <v>10</v>
      </c>
      <c r="D57" s="5"/>
      <c r="E57" s="5"/>
      <c r="F57" s="5"/>
      <c r="G57" s="5">
        <v>44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>
        <v>50</v>
      </c>
      <c r="Y57" s="5">
        <v>39</v>
      </c>
      <c r="Z57" s="5">
        <v>53</v>
      </c>
      <c r="AA57" s="26">
        <v>55</v>
      </c>
      <c r="AB57" s="26"/>
      <c r="AC57" s="26"/>
      <c r="AD57" s="26"/>
      <c r="AE57" s="26"/>
      <c r="AF57" s="26"/>
      <c r="AG57" s="26"/>
      <c r="AH57" s="26"/>
      <c r="AI57" s="26"/>
      <c r="AJ57" s="26"/>
      <c r="AK57" s="26"/>
    </row>
    <row r="58" spans="2:37" x14ac:dyDescent="0.2">
      <c r="B58" s="2" t="s">
        <v>51</v>
      </c>
      <c r="C58" s="5">
        <f>SUM(C54:C57)</f>
        <v>2918</v>
      </c>
      <c r="D58" s="5">
        <f t="shared" ref="D58:J58" si="112">SUM(D54:D57)</f>
        <v>0</v>
      </c>
      <c r="E58" s="5">
        <f t="shared" si="112"/>
        <v>0</v>
      </c>
      <c r="F58" s="5">
        <f t="shared" si="112"/>
        <v>0</v>
      </c>
      <c r="G58" s="5">
        <f t="shared" si="112"/>
        <v>2806</v>
      </c>
      <c r="H58" s="5">
        <f t="shared" si="112"/>
        <v>0</v>
      </c>
      <c r="I58" s="5">
        <f t="shared" si="112"/>
        <v>0</v>
      </c>
      <c r="J58" s="5">
        <f t="shared" si="112"/>
        <v>0</v>
      </c>
      <c r="K58" s="5"/>
      <c r="L58" s="5"/>
      <c r="M58" s="5"/>
      <c r="N58" s="5"/>
      <c r="O58" s="5"/>
      <c r="P58" s="5"/>
      <c r="Q58" s="5"/>
      <c r="R58" s="5"/>
      <c r="S58" s="5"/>
      <c r="T58" s="5">
        <f t="shared" ref="T58" si="113">SUM(T54:T57)</f>
        <v>0</v>
      </c>
      <c r="U58" s="5">
        <f t="shared" ref="U58" si="114">SUM(U54:U57)</f>
        <v>0</v>
      </c>
      <c r="V58" s="5">
        <f t="shared" ref="V58" si="115">SUM(V54:V57)</f>
        <v>0</v>
      </c>
      <c r="W58" s="5">
        <f t="shared" ref="W58" si="116">SUM(W54:W57)</f>
        <v>0</v>
      </c>
      <c r="X58" s="5">
        <f t="shared" ref="X58" si="117">SUM(X54:X57)</f>
        <v>3256</v>
      </c>
      <c r="Y58" s="5">
        <f t="shared" ref="Y58" si="118">SUM(Y54:Y57)</f>
        <v>3096</v>
      </c>
      <c r="Z58" s="5">
        <f t="shared" ref="Z58:AA58" si="119">SUM(Z54:Z57)</f>
        <v>3256</v>
      </c>
      <c r="AA58" s="5">
        <f t="shared" si="119"/>
        <v>3300</v>
      </c>
      <c r="AB58" s="26"/>
      <c r="AC58" s="26"/>
      <c r="AD58" s="26"/>
      <c r="AE58" s="26"/>
      <c r="AF58" s="26"/>
      <c r="AG58" s="26"/>
      <c r="AH58" s="26"/>
      <c r="AI58" s="26"/>
      <c r="AJ58" s="26"/>
      <c r="AK58" s="26"/>
    </row>
    <row r="59" spans="2:37" x14ac:dyDescent="0.2">
      <c r="B59" s="2" t="s">
        <v>52</v>
      </c>
      <c r="C59" s="5">
        <v>350</v>
      </c>
      <c r="D59" s="5"/>
      <c r="E59" s="5"/>
      <c r="F59" s="5"/>
      <c r="G59" s="5"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>
        <v>350</v>
      </c>
      <c r="Y59" s="5">
        <v>0</v>
      </c>
      <c r="Z59" s="5">
        <v>0</v>
      </c>
      <c r="AA59" s="26">
        <v>0</v>
      </c>
      <c r="AB59" s="26"/>
      <c r="AC59" s="26"/>
      <c r="AD59" s="26"/>
      <c r="AE59" s="26"/>
      <c r="AF59" s="26"/>
      <c r="AG59" s="26"/>
      <c r="AH59" s="26"/>
      <c r="AI59" s="26"/>
      <c r="AJ59" s="26"/>
      <c r="AK59" s="26"/>
    </row>
    <row r="60" spans="2:37" x14ac:dyDescent="0.2">
      <c r="B60" s="2" t="s">
        <v>8</v>
      </c>
      <c r="C60" s="5">
        <v>1487</v>
      </c>
      <c r="D60" s="5"/>
      <c r="E60" s="5"/>
      <c r="F60" s="5"/>
      <c r="G60" s="5">
        <v>1489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>
        <v>1486</v>
      </c>
      <c r="Y60" s="5">
        <v>1488</v>
      </c>
      <c r="Z60" s="5">
        <v>1490</v>
      </c>
      <c r="AA60" s="26">
        <v>1492</v>
      </c>
      <c r="AB60" s="26"/>
      <c r="AC60" s="26"/>
      <c r="AD60" s="26"/>
      <c r="AE60" s="26"/>
      <c r="AF60" s="26"/>
      <c r="AG60" s="26"/>
      <c r="AH60" s="26"/>
      <c r="AI60" s="26"/>
      <c r="AJ60" s="26"/>
      <c r="AK60" s="26"/>
    </row>
    <row r="61" spans="2:37" x14ac:dyDescent="0.2">
      <c r="B61" s="2" t="s">
        <v>53</v>
      </c>
      <c r="C61" s="5">
        <v>3453</v>
      </c>
      <c r="D61" s="5"/>
      <c r="E61" s="5"/>
      <c r="F61" s="5"/>
      <c r="G61" s="5">
        <v>3387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>
        <v>3517</v>
      </c>
      <c r="Y61" s="5">
        <v>3353</v>
      </c>
      <c r="Z61" s="5">
        <v>3353</v>
      </c>
      <c r="AA61" s="26">
        <v>3485</v>
      </c>
      <c r="AB61" s="26"/>
      <c r="AC61" s="26"/>
      <c r="AD61" s="26"/>
      <c r="AE61" s="26"/>
      <c r="AF61" s="26"/>
      <c r="AG61" s="26"/>
      <c r="AH61" s="26"/>
      <c r="AI61" s="26"/>
      <c r="AJ61" s="26"/>
      <c r="AK61" s="26"/>
    </row>
    <row r="62" spans="2:37" x14ac:dyDescent="0.2">
      <c r="B62" s="2" t="s">
        <v>45</v>
      </c>
      <c r="C62" s="5">
        <v>539</v>
      </c>
      <c r="D62" s="5"/>
      <c r="E62" s="5"/>
      <c r="F62" s="5"/>
      <c r="G62" s="5">
        <v>519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544</v>
      </c>
      <c r="Y62" s="5">
        <v>512</v>
      </c>
      <c r="Z62" s="5">
        <v>522</v>
      </c>
      <c r="AA62" s="26">
        <v>554</v>
      </c>
      <c r="AB62" s="26"/>
      <c r="AC62" s="26"/>
      <c r="AD62" s="26"/>
      <c r="AE62" s="26"/>
      <c r="AF62" s="26"/>
      <c r="AG62" s="26"/>
      <c r="AH62" s="26"/>
      <c r="AI62" s="26"/>
      <c r="AJ62" s="26"/>
      <c r="AK62" s="26"/>
    </row>
    <row r="63" spans="2:37" x14ac:dyDescent="0.2">
      <c r="B63" s="2" t="s">
        <v>54</v>
      </c>
      <c r="C63" s="5">
        <f>SUM(C59:C62)</f>
        <v>5829</v>
      </c>
      <c r="D63" s="5">
        <f t="shared" ref="D63:J63" si="120">SUM(D59:D62)</f>
        <v>0</v>
      </c>
      <c r="E63" s="5">
        <f t="shared" si="120"/>
        <v>0</v>
      </c>
      <c r="F63" s="5">
        <f t="shared" si="120"/>
        <v>0</v>
      </c>
      <c r="G63" s="5">
        <f t="shared" si="120"/>
        <v>5395</v>
      </c>
      <c r="H63" s="5">
        <f t="shared" si="120"/>
        <v>0</v>
      </c>
      <c r="I63" s="5">
        <f t="shared" si="120"/>
        <v>0</v>
      </c>
      <c r="J63" s="5">
        <f t="shared" si="120"/>
        <v>0</v>
      </c>
      <c r="K63" s="5"/>
      <c r="L63" s="5"/>
      <c r="M63" s="5"/>
      <c r="N63" s="5"/>
      <c r="O63" s="5"/>
      <c r="P63" s="5"/>
      <c r="Q63" s="5"/>
      <c r="R63" s="5"/>
      <c r="S63" s="5"/>
      <c r="T63" s="5">
        <f t="shared" ref="T63" si="121">SUM(T59:T62)</f>
        <v>0</v>
      </c>
      <c r="U63" s="5">
        <f t="shared" ref="U63" si="122">SUM(U59:U62)</f>
        <v>0</v>
      </c>
      <c r="V63" s="5">
        <f t="shared" ref="V63" si="123">SUM(V59:V62)</f>
        <v>0</v>
      </c>
      <c r="W63" s="5">
        <f t="shared" ref="W63" si="124">SUM(W59:W62)</f>
        <v>0</v>
      </c>
      <c r="X63" s="5">
        <f t="shared" ref="X63" si="125">SUM(X59:X62)</f>
        <v>5897</v>
      </c>
      <c r="Y63" s="5">
        <f t="shared" ref="Y63" si="126">SUM(Y59:Y62)</f>
        <v>5353</v>
      </c>
      <c r="Z63" s="5">
        <f t="shared" ref="Z63:AA63" si="127">SUM(Z59:Z62)</f>
        <v>5365</v>
      </c>
      <c r="AA63" s="5">
        <f t="shared" si="127"/>
        <v>5531</v>
      </c>
      <c r="AB63" s="26"/>
      <c r="AC63" s="26"/>
      <c r="AD63" s="26"/>
      <c r="AE63" s="26"/>
      <c r="AF63" s="26"/>
      <c r="AG63" s="26"/>
      <c r="AH63" s="26"/>
      <c r="AI63" s="26"/>
      <c r="AJ63" s="26"/>
      <c r="AK63" s="26"/>
    </row>
    <row r="64" spans="2:37" x14ac:dyDescent="0.2">
      <c r="B64" s="1" t="s">
        <v>55</v>
      </c>
      <c r="C64" s="23">
        <f t="shared" ref="C64:J64" si="128">C63+C58</f>
        <v>8747</v>
      </c>
      <c r="D64" s="23">
        <f t="shared" si="128"/>
        <v>0</v>
      </c>
      <c r="E64" s="23">
        <f t="shared" si="128"/>
        <v>0</v>
      </c>
      <c r="F64" s="23">
        <f t="shared" si="128"/>
        <v>0</v>
      </c>
      <c r="G64" s="23">
        <f t="shared" si="128"/>
        <v>8201</v>
      </c>
      <c r="H64" s="23">
        <f t="shared" si="128"/>
        <v>0</v>
      </c>
      <c r="I64" s="23">
        <f t="shared" si="128"/>
        <v>0</v>
      </c>
      <c r="J64" s="23">
        <f t="shared" si="128"/>
        <v>0</v>
      </c>
      <c r="K64" s="23"/>
      <c r="L64" s="23"/>
      <c r="M64" s="23"/>
      <c r="N64" s="5"/>
      <c r="O64" s="5"/>
      <c r="P64" s="5"/>
      <c r="Q64" s="5"/>
      <c r="R64" s="5"/>
      <c r="S64" s="5"/>
      <c r="T64" s="23">
        <f t="shared" ref="T64:AA64" si="129">T63+T58</f>
        <v>0</v>
      </c>
      <c r="U64" s="23">
        <f t="shared" si="129"/>
        <v>0</v>
      </c>
      <c r="V64" s="23">
        <f t="shared" si="129"/>
        <v>0</v>
      </c>
      <c r="W64" s="23">
        <f t="shared" si="129"/>
        <v>0</v>
      </c>
      <c r="X64" s="23">
        <f t="shared" si="129"/>
        <v>9153</v>
      </c>
      <c r="Y64" s="23">
        <f t="shared" si="129"/>
        <v>8449</v>
      </c>
      <c r="Z64" s="23">
        <f t="shared" si="129"/>
        <v>8621</v>
      </c>
      <c r="AA64" s="23">
        <f t="shared" si="129"/>
        <v>8831</v>
      </c>
      <c r="AB64" s="26"/>
      <c r="AC64" s="26"/>
      <c r="AD64" s="26"/>
      <c r="AE64" s="26"/>
      <c r="AF64" s="26"/>
      <c r="AG64" s="26"/>
      <c r="AH64" s="26"/>
      <c r="AI64" s="26"/>
      <c r="AJ64" s="26"/>
      <c r="AK64" s="26"/>
    </row>
    <row r="65" spans="2:37" x14ac:dyDescent="0.2">
      <c r="B65" s="2" t="s">
        <v>56</v>
      </c>
      <c r="C65" s="5">
        <v>18</v>
      </c>
      <c r="D65" s="5"/>
      <c r="E65" s="5"/>
      <c r="F65" s="5"/>
      <c r="G65" s="5">
        <v>19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>
        <v>18</v>
      </c>
      <c r="Y65" s="5">
        <v>19</v>
      </c>
      <c r="Z65" s="5">
        <v>19</v>
      </c>
      <c r="AA65" s="26">
        <v>19</v>
      </c>
      <c r="AB65" s="26"/>
      <c r="AC65" s="26"/>
      <c r="AD65" s="26"/>
      <c r="AE65" s="26"/>
      <c r="AF65" s="26"/>
      <c r="AG65" s="26"/>
      <c r="AH65" s="26"/>
      <c r="AI65" s="26"/>
      <c r="AJ65" s="26"/>
      <c r="AK65" s="26"/>
    </row>
    <row r="66" spans="2:37" x14ac:dyDescent="0.2">
      <c r="B66" s="2" t="s">
        <v>57</v>
      </c>
      <c r="C66" s="5">
        <v>47</v>
      </c>
      <c r="D66" s="5"/>
      <c r="E66" s="5"/>
      <c r="F66" s="5"/>
      <c r="G66" s="5">
        <v>119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27</v>
      </c>
      <c r="Y66" s="5">
        <v>113</v>
      </c>
      <c r="Z66" s="5">
        <v>146</v>
      </c>
      <c r="AA66" s="26">
        <v>136</v>
      </c>
      <c r="AB66" s="26"/>
      <c r="AC66" s="26"/>
      <c r="AD66" s="26"/>
      <c r="AE66" s="26"/>
      <c r="AF66" s="26"/>
      <c r="AG66" s="26"/>
      <c r="AH66" s="26"/>
      <c r="AI66" s="26"/>
      <c r="AJ66" s="26"/>
      <c r="AK66" s="26"/>
    </row>
    <row r="67" spans="2:37" x14ac:dyDescent="0.2">
      <c r="B67" s="2" t="s">
        <v>58</v>
      </c>
      <c r="C67" s="5">
        <v>2067</v>
      </c>
      <c r="D67" s="5"/>
      <c r="E67" s="5"/>
      <c r="F67" s="5"/>
      <c r="G67" s="5">
        <v>2522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2140</v>
      </c>
      <c r="Y67" s="5">
        <v>2420</v>
      </c>
      <c r="Z67" s="5">
        <v>3039</v>
      </c>
      <c r="AA67" s="26">
        <v>3608</v>
      </c>
      <c r="AB67" s="26"/>
      <c r="AC67" s="26"/>
      <c r="AD67" s="26"/>
      <c r="AE67" s="26"/>
      <c r="AF67" s="26"/>
      <c r="AG67" s="26"/>
      <c r="AH67" s="26"/>
      <c r="AI67" s="26"/>
      <c r="AJ67" s="26"/>
      <c r="AK67" s="26"/>
    </row>
    <row r="68" spans="2:37" x14ac:dyDescent="0.2">
      <c r="B68" s="2" t="s">
        <v>59</v>
      </c>
      <c r="C68" s="5">
        <v>53</v>
      </c>
      <c r="D68" s="5"/>
      <c r="E68" s="5"/>
      <c r="F68" s="5"/>
      <c r="G68" s="5">
        <v>47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48</v>
      </c>
      <c r="Y68" s="5">
        <v>43</v>
      </c>
      <c r="Z68" s="5">
        <v>60</v>
      </c>
      <c r="AA68" s="26">
        <v>38</v>
      </c>
      <c r="AB68" s="26"/>
      <c r="AC68" s="26"/>
      <c r="AD68" s="26"/>
      <c r="AE68" s="26"/>
      <c r="AF68" s="26"/>
      <c r="AG68" s="26"/>
      <c r="AH68" s="26"/>
      <c r="AI68" s="26"/>
      <c r="AJ68" s="26"/>
      <c r="AK68" s="26"/>
    </row>
    <row r="69" spans="2:37" x14ac:dyDescent="0.2">
      <c r="B69" s="2" t="s">
        <v>60</v>
      </c>
      <c r="C69" s="5">
        <f>SUM(C65:C68)</f>
        <v>2185</v>
      </c>
      <c r="D69" s="5">
        <f t="shared" ref="D69:J69" si="130">SUM(D65:D68)</f>
        <v>0</v>
      </c>
      <c r="E69" s="5">
        <f t="shared" si="130"/>
        <v>0</v>
      </c>
      <c r="F69" s="5">
        <f t="shared" si="130"/>
        <v>0</v>
      </c>
      <c r="G69" s="5">
        <f t="shared" si="130"/>
        <v>2707</v>
      </c>
      <c r="H69" s="5">
        <f t="shared" si="130"/>
        <v>0</v>
      </c>
      <c r="I69" s="5">
        <f t="shared" si="130"/>
        <v>0</v>
      </c>
      <c r="J69" s="5">
        <f t="shared" si="130"/>
        <v>0</v>
      </c>
      <c r="K69" s="5"/>
      <c r="L69" s="5"/>
      <c r="M69" s="5"/>
      <c r="N69" s="5"/>
      <c r="O69" s="5"/>
      <c r="P69" s="5"/>
      <c r="Q69" s="5"/>
      <c r="R69" s="5"/>
      <c r="S69" s="5"/>
      <c r="T69" s="5">
        <f t="shared" ref="T69" si="131">SUM(T65:T68)</f>
        <v>0</v>
      </c>
      <c r="U69" s="5">
        <f t="shared" ref="U69" si="132">SUM(U65:U68)</f>
        <v>0</v>
      </c>
      <c r="V69" s="5">
        <f t="shared" ref="V69" si="133">SUM(V65:V68)</f>
        <v>0</v>
      </c>
      <c r="W69" s="5">
        <f t="shared" ref="W69" si="134">SUM(W65:W68)</f>
        <v>0</v>
      </c>
      <c r="X69" s="5">
        <f t="shared" ref="X69" si="135">SUM(X65:X68)</f>
        <v>2233</v>
      </c>
      <c r="Y69" s="5">
        <f t="shared" ref="Y69" si="136">SUM(Y65:Y68)</f>
        <v>2595</v>
      </c>
      <c r="Z69" s="5">
        <f t="shared" ref="Z69:AA69" si="137">SUM(Z65:Z68)</f>
        <v>3264</v>
      </c>
      <c r="AA69" s="5">
        <f t="shared" si="137"/>
        <v>3801</v>
      </c>
      <c r="AB69" s="26"/>
      <c r="AC69" s="26"/>
      <c r="AD69" s="26"/>
      <c r="AE69" s="26"/>
      <c r="AF69" s="26"/>
      <c r="AG69" s="26"/>
      <c r="AH69" s="26"/>
      <c r="AI69" s="26"/>
      <c r="AJ69" s="26"/>
      <c r="AK69" s="26"/>
    </row>
    <row r="70" spans="2:37" x14ac:dyDescent="0.2">
      <c r="B70" s="1" t="s">
        <v>61</v>
      </c>
      <c r="C70" s="23">
        <f t="shared" ref="C70:J70" si="138">C69+C64</f>
        <v>10932</v>
      </c>
      <c r="D70" s="23">
        <f t="shared" si="138"/>
        <v>0</v>
      </c>
      <c r="E70" s="23">
        <f t="shared" si="138"/>
        <v>0</v>
      </c>
      <c r="F70" s="23">
        <f t="shared" si="138"/>
        <v>0</v>
      </c>
      <c r="G70" s="23">
        <f t="shared" si="138"/>
        <v>10908</v>
      </c>
      <c r="H70" s="23">
        <f t="shared" si="138"/>
        <v>0</v>
      </c>
      <c r="I70" s="23">
        <f t="shared" si="138"/>
        <v>0</v>
      </c>
      <c r="J70" s="23">
        <f t="shared" si="138"/>
        <v>0</v>
      </c>
      <c r="K70" s="23"/>
      <c r="L70" s="23"/>
      <c r="M70" s="23"/>
      <c r="N70" s="5"/>
      <c r="O70" s="5"/>
      <c r="P70" s="5"/>
      <c r="Q70" s="5"/>
      <c r="R70" s="5"/>
      <c r="S70" s="5"/>
      <c r="T70" s="23">
        <f t="shared" ref="T70:AA70" si="139">T69+T64</f>
        <v>0</v>
      </c>
      <c r="U70" s="23">
        <f t="shared" si="139"/>
        <v>0</v>
      </c>
      <c r="V70" s="23">
        <f t="shared" si="139"/>
        <v>0</v>
      </c>
      <c r="W70" s="23">
        <f t="shared" si="139"/>
        <v>0</v>
      </c>
      <c r="X70" s="23">
        <f t="shared" si="139"/>
        <v>11386</v>
      </c>
      <c r="Y70" s="23">
        <f t="shared" si="139"/>
        <v>11044</v>
      </c>
      <c r="Z70" s="23">
        <f t="shared" si="139"/>
        <v>11885</v>
      </c>
      <c r="AA70" s="23">
        <f t="shared" si="139"/>
        <v>12632</v>
      </c>
      <c r="AB70" s="26"/>
      <c r="AC70" s="26"/>
      <c r="AD70" s="26"/>
      <c r="AE70" s="26"/>
      <c r="AF70" s="26"/>
      <c r="AG70" s="26"/>
      <c r="AH70" s="26"/>
      <c r="AI70" s="26"/>
      <c r="AJ70" s="26"/>
      <c r="AK70" s="26"/>
    </row>
    <row r="71" spans="2:37" x14ac:dyDescent="0.2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</row>
    <row r="72" spans="2:37" x14ac:dyDescent="0.2">
      <c r="B72" s="2" t="s">
        <v>30</v>
      </c>
      <c r="C72" s="5">
        <f t="shared" ref="C72:J72" si="140">C24</f>
        <v>-18</v>
      </c>
      <c r="D72" s="5">
        <f t="shared" si="140"/>
        <v>117</v>
      </c>
      <c r="E72" s="5">
        <f t="shared" si="140"/>
        <v>218</v>
      </c>
      <c r="F72" s="5">
        <f t="shared" si="140"/>
        <v>185</v>
      </c>
      <c r="G72" s="5">
        <f t="shared" si="140"/>
        <v>158</v>
      </c>
      <c r="H72" s="5">
        <f t="shared" si="140"/>
        <v>206</v>
      </c>
      <c r="I72" s="5">
        <f t="shared" si="140"/>
        <v>274</v>
      </c>
      <c r="J72" s="5">
        <f t="shared" si="140"/>
        <v>206</v>
      </c>
      <c r="K72" s="5"/>
      <c r="L72" s="5"/>
      <c r="M72" s="5"/>
      <c r="N72" s="5"/>
      <c r="O72" s="5"/>
      <c r="P72" s="5"/>
      <c r="Q72" s="5"/>
      <c r="R72" s="5"/>
      <c r="S72" s="5"/>
      <c r="T72" s="5">
        <f t="shared" ref="T72:AA72" si="141">T24</f>
        <v>1003</v>
      </c>
      <c r="U72" s="5">
        <f t="shared" si="141"/>
        <v>351</v>
      </c>
      <c r="V72" s="5">
        <f t="shared" si="141"/>
        <v>-665</v>
      </c>
      <c r="W72" s="5">
        <f t="shared" si="141"/>
        <v>256</v>
      </c>
      <c r="X72" s="5">
        <f t="shared" si="141"/>
        <v>-202</v>
      </c>
      <c r="Y72" s="5">
        <f t="shared" si="141"/>
        <v>502</v>
      </c>
      <c r="Z72" s="5">
        <f t="shared" si="141"/>
        <v>844</v>
      </c>
      <c r="AA72" s="5">
        <f t="shared" si="141"/>
        <v>816</v>
      </c>
      <c r="AB72" s="26"/>
      <c r="AC72" s="26"/>
      <c r="AD72" s="26"/>
      <c r="AE72" s="26"/>
      <c r="AF72" s="26"/>
      <c r="AG72" s="26"/>
      <c r="AH72" s="26"/>
      <c r="AI72" s="26"/>
      <c r="AJ72" s="26"/>
      <c r="AK72" s="26"/>
    </row>
    <row r="73" spans="2:37" x14ac:dyDescent="0.2">
      <c r="B73" s="2" t="s">
        <v>62</v>
      </c>
      <c r="C73" s="5">
        <v>137</v>
      </c>
      <c r="D73" s="5"/>
      <c r="E73" s="5"/>
      <c r="F73" s="5"/>
      <c r="G73" s="5">
        <v>124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522</v>
      </c>
      <c r="Z73" s="5">
        <v>500</v>
      </c>
      <c r="AA73" s="5">
        <v>496</v>
      </c>
      <c r="AB73" s="26"/>
      <c r="AC73" s="26"/>
      <c r="AD73" s="26"/>
      <c r="AE73" s="26"/>
      <c r="AF73" s="26"/>
      <c r="AG73" s="26"/>
      <c r="AH73" s="26"/>
      <c r="AI73" s="26"/>
      <c r="AJ73" s="26"/>
      <c r="AK73" s="26"/>
    </row>
    <row r="74" spans="2:37" x14ac:dyDescent="0.2">
      <c r="B74" s="2" t="s">
        <v>63</v>
      </c>
      <c r="C74" s="5">
        <v>23</v>
      </c>
      <c r="D74" s="5"/>
      <c r="E74" s="5"/>
      <c r="F74" s="5"/>
      <c r="G74" s="5">
        <v>27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80</v>
      </c>
      <c r="Z74" s="5">
        <v>126</v>
      </c>
      <c r="AA74" s="5">
        <v>162</v>
      </c>
      <c r="AB74" s="26"/>
      <c r="AC74" s="26"/>
      <c r="AD74" s="26"/>
      <c r="AE74" s="26"/>
      <c r="AF74" s="26"/>
      <c r="AG74" s="26"/>
      <c r="AH74" s="26"/>
      <c r="AI74" s="26"/>
      <c r="AJ74" s="26"/>
      <c r="AK74" s="26"/>
    </row>
    <row r="75" spans="2:37" x14ac:dyDescent="0.2">
      <c r="B75" s="2" t="s">
        <v>64</v>
      </c>
      <c r="C75" s="5">
        <v>28</v>
      </c>
      <c r="D75" s="5"/>
      <c r="E75" s="5"/>
      <c r="F75" s="5"/>
      <c r="G75" s="5">
        <v>-2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-8</v>
      </c>
      <c r="Z75" s="5">
        <v>-4</v>
      </c>
      <c r="AA75" s="5">
        <v>1</v>
      </c>
      <c r="AB75" s="26"/>
      <c r="AC75" s="26"/>
      <c r="AD75" s="26"/>
      <c r="AE75" s="26"/>
      <c r="AF75" s="26"/>
      <c r="AG75" s="26"/>
      <c r="AH75" s="26"/>
      <c r="AI75" s="26"/>
      <c r="AJ75" s="26"/>
      <c r="AK75" s="26"/>
    </row>
    <row r="76" spans="2:37" x14ac:dyDescent="0.2">
      <c r="B76" s="2" t="s">
        <v>65</v>
      </c>
      <c r="C76" s="5">
        <v>-47</v>
      </c>
      <c r="D76" s="5"/>
      <c r="E76" s="5"/>
      <c r="F76" s="5"/>
      <c r="G76" s="5"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0</v>
      </c>
      <c r="Z76" s="5">
        <v>0</v>
      </c>
      <c r="AA76" s="5">
        <v>0</v>
      </c>
      <c r="AB76" s="26"/>
      <c r="AC76" s="26"/>
      <c r="AD76" s="26"/>
      <c r="AE76" s="26"/>
      <c r="AF76" s="26"/>
      <c r="AG76" s="26"/>
      <c r="AH76" s="26"/>
      <c r="AI76" s="26"/>
      <c r="AJ76" s="26"/>
      <c r="AK76" s="26"/>
    </row>
    <row r="77" spans="2:37" x14ac:dyDescent="0.2">
      <c r="B77" s="2" t="s">
        <v>66</v>
      </c>
      <c r="C77" s="5">
        <v>5</v>
      </c>
      <c r="D77" s="5"/>
      <c r="E77" s="5"/>
      <c r="F77" s="5"/>
      <c r="G77" s="5">
        <v>1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-64</v>
      </c>
      <c r="Z77" s="5">
        <v>27</v>
      </c>
      <c r="AA77" s="5">
        <v>69</v>
      </c>
      <c r="AB77" s="26"/>
      <c r="AC77" s="26"/>
      <c r="AD77" s="26"/>
      <c r="AE77" s="26"/>
      <c r="AF77" s="26"/>
      <c r="AG77" s="26"/>
      <c r="AH77" s="26"/>
      <c r="AI77" s="26"/>
      <c r="AJ77" s="26"/>
      <c r="AK77" s="26"/>
    </row>
    <row r="78" spans="2:37" x14ac:dyDescent="0.2">
      <c r="B78" s="2" t="s">
        <v>67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26"/>
      <c r="AC78" s="26"/>
      <c r="AD78" s="26"/>
      <c r="AE78" s="26"/>
      <c r="AF78" s="26"/>
      <c r="AG78" s="26"/>
      <c r="AH78" s="26"/>
      <c r="AI78" s="26"/>
      <c r="AJ78" s="26"/>
      <c r="AK78" s="26"/>
    </row>
    <row r="79" spans="2:37" x14ac:dyDescent="0.2">
      <c r="B79" s="2" t="s">
        <v>68</v>
      </c>
      <c r="C79" s="5">
        <v>83</v>
      </c>
      <c r="D79" s="5"/>
      <c r="E79" s="5"/>
      <c r="F79" s="5"/>
      <c r="G79" s="5">
        <v>38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383</v>
      </c>
      <c r="Z79" s="5">
        <v>-88</v>
      </c>
      <c r="AA79" s="32">
        <v>-129</v>
      </c>
      <c r="AB79" s="26"/>
      <c r="AC79" s="26"/>
      <c r="AD79" s="26"/>
      <c r="AE79" s="26"/>
      <c r="AF79" s="26"/>
      <c r="AG79" s="26"/>
      <c r="AH79" s="26"/>
      <c r="AI79" s="26"/>
      <c r="AJ79" s="26"/>
      <c r="AK79" s="26"/>
    </row>
    <row r="80" spans="2:37" x14ac:dyDescent="0.2">
      <c r="B80" s="2" t="s">
        <v>72</v>
      </c>
      <c r="C80" s="5">
        <v>9</v>
      </c>
      <c r="D80" s="5"/>
      <c r="E80" s="5"/>
      <c r="F80" s="5"/>
      <c r="G80" s="5">
        <v>15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179</v>
      </c>
      <c r="Z80" s="5">
        <v>31</v>
      </c>
      <c r="AA80" s="5">
        <v>-41</v>
      </c>
      <c r="AB80" s="26"/>
      <c r="AC80" s="26"/>
      <c r="AD80" s="26"/>
      <c r="AE80" s="26"/>
      <c r="AF80" s="26"/>
      <c r="AG80" s="26"/>
      <c r="AH80" s="26"/>
      <c r="AI80" s="26"/>
      <c r="AJ80" s="26"/>
      <c r="AK80" s="26"/>
    </row>
    <row r="81" spans="1:37" x14ac:dyDescent="0.2">
      <c r="B81" s="2" t="s">
        <v>69</v>
      </c>
      <c r="C81" s="5">
        <v>-102</v>
      </c>
      <c r="D81" s="5"/>
      <c r="E81" s="5"/>
      <c r="F81" s="5"/>
      <c r="G81" s="5">
        <v>-152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42</v>
      </c>
      <c r="Z81" s="5">
        <v>137</v>
      </c>
      <c r="AA81" s="5">
        <v>57</v>
      </c>
      <c r="AB81" s="26"/>
      <c r="AC81" s="26"/>
      <c r="AD81" s="26"/>
      <c r="AE81" s="26"/>
      <c r="AF81" s="26"/>
      <c r="AG81" s="26"/>
      <c r="AH81" s="26"/>
      <c r="AI81" s="26"/>
      <c r="AJ81" s="26"/>
      <c r="AK81" s="26"/>
    </row>
    <row r="82" spans="1:37" x14ac:dyDescent="0.2">
      <c r="B82" s="2" t="s">
        <v>42</v>
      </c>
      <c r="C82" s="5">
        <v>-22</v>
      </c>
      <c r="D82" s="5"/>
      <c r="E82" s="5"/>
      <c r="F82" s="5"/>
      <c r="G82" s="5">
        <v>-158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12</v>
      </c>
      <c r="Z82" s="5">
        <v>-25</v>
      </c>
      <c r="AA82" s="5">
        <v>-90</v>
      </c>
      <c r="AB82" s="26"/>
      <c r="AC82" s="26"/>
      <c r="AD82" s="26"/>
      <c r="AE82" s="26"/>
      <c r="AF82" s="26"/>
      <c r="AG82" s="26"/>
      <c r="AH82" s="26"/>
      <c r="AI82" s="26"/>
      <c r="AJ82" s="26"/>
      <c r="AK82" s="26"/>
    </row>
    <row r="83" spans="1:37" x14ac:dyDescent="0.2">
      <c r="B83" s="2" t="s">
        <v>70</v>
      </c>
      <c r="C83" s="5">
        <v>-49</v>
      </c>
      <c r="D83" s="5"/>
      <c r="E83" s="5"/>
      <c r="F83" s="5"/>
      <c r="G83" s="5">
        <v>13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75</v>
      </c>
      <c r="Z83" s="5">
        <v>46</v>
      </c>
      <c r="AA83" s="5">
        <v>33</v>
      </c>
      <c r="AB83" s="26"/>
      <c r="AC83" s="26"/>
      <c r="AD83" s="26"/>
      <c r="AE83" s="26"/>
      <c r="AF83" s="26"/>
      <c r="AG83" s="26"/>
      <c r="AH83" s="26"/>
      <c r="AI83" s="26"/>
      <c r="AJ83" s="26"/>
      <c r="AK83" s="26"/>
    </row>
    <row r="84" spans="1:37" x14ac:dyDescent="0.2">
      <c r="B84" s="2" t="s">
        <v>71</v>
      </c>
      <c r="C84" s="5">
        <v>-11</v>
      </c>
      <c r="D84" s="5"/>
      <c r="E84" s="5"/>
      <c r="F84" s="5"/>
      <c r="G84" s="5">
        <v>-2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-15</v>
      </c>
      <c r="Z84" s="5">
        <v>-19</v>
      </c>
      <c r="AA84" s="5">
        <v>-9</v>
      </c>
      <c r="AB84" s="26"/>
      <c r="AC84" s="26"/>
      <c r="AD84" s="26"/>
      <c r="AE84" s="26"/>
      <c r="AF84" s="26"/>
      <c r="AG84" s="26"/>
      <c r="AH84" s="26"/>
      <c r="AI84" s="26"/>
      <c r="AJ84" s="26"/>
      <c r="AK84" s="26"/>
    </row>
    <row r="85" spans="1:37" x14ac:dyDescent="0.2">
      <c r="B85" s="2" t="s">
        <v>75</v>
      </c>
      <c r="C85" s="5">
        <v>-21</v>
      </c>
      <c r="D85" s="5"/>
      <c r="E85" s="5"/>
      <c r="F85" s="5"/>
      <c r="G85" s="5">
        <v>-32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-176</v>
      </c>
      <c r="Z85" s="5">
        <v>-89</v>
      </c>
      <c r="AA85" s="5">
        <v>-72</v>
      </c>
      <c r="AB85" s="26"/>
      <c r="AC85" s="26"/>
      <c r="AD85" s="26"/>
      <c r="AE85" s="26"/>
      <c r="AF85" s="26"/>
      <c r="AG85" s="26"/>
      <c r="AH85" s="26"/>
      <c r="AI85" s="26"/>
      <c r="AJ85" s="26"/>
      <c r="AK85" s="26"/>
    </row>
    <row r="86" spans="1:37" x14ac:dyDescent="0.2">
      <c r="B86" s="2" t="s">
        <v>73</v>
      </c>
      <c r="C86" s="5">
        <f>SUM(C79:C85)</f>
        <v>-113</v>
      </c>
      <c r="D86" s="5">
        <f t="shared" ref="D86:J86" si="142">SUM(D79:D85)</f>
        <v>0</v>
      </c>
      <c r="E86" s="5">
        <f t="shared" si="142"/>
        <v>0</v>
      </c>
      <c r="F86" s="5">
        <f t="shared" si="142"/>
        <v>0</v>
      </c>
      <c r="G86" s="5">
        <f t="shared" si="142"/>
        <v>-278</v>
      </c>
      <c r="H86" s="5">
        <f t="shared" si="142"/>
        <v>0</v>
      </c>
      <c r="I86" s="5">
        <f t="shared" si="142"/>
        <v>0</v>
      </c>
      <c r="J86" s="5">
        <f t="shared" si="142"/>
        <v>0</v>
      </c>
      <c r="K86" s="5"/>
      <c r="L86" s="5"/>
      <c r="M86" s="5"/>
      <c r="N86" s="5"/>
      <c r="O86" s="5"/>
      <c r="P86" s="5"/>
      <c r="Q86" s="5"/>
      <c r="R86" s="5"/>
      <c r="S86" s="5"/>
      <c r="T86" s="5">
        <f t="shared" ref="T86:AA86" si="143">SUM(T79:T85)</f>
        <v>0</v>
      </c>
      <c r="U86" s="5">
        <f t="shared" si="143"/>
        <v>0</v>
      </c>
      <c r="V86" s="5">
        <f t="shared" si="143"/>
        <v>0</v>
      </c>
      <c r="W86" s="5">
        <f t="shared" si="143"/>
        <v>0</v>
      </c>
      <c r="X86" s="5">
        <f t="shared" si="143"/>
        <v>0</v>
      </c>
      <c r="Y86" s="5">
        <f t="shared" si="143"/>
        <v>500</v>
      </c>
      <c r="Z86" s="5">
        <f t="shared" si="143"/>
        <v>-7</v>
      </c>
      <c r="AA86" s="5">
        <f t="shared" si="143"/>
        <v>-251</v>
      </c>
      <c r="AB86" s="26"/>
      <c r="AC86" s="26"/>
      <c r="AD86" s="26"/>
      <c r="AE86" s="26"/>
      <c r="AF86" s="26"/>
      <c r="AG86" s="26"/>
      <c r="AH86" s="26"/>
      <c r="AI86" s="26"/>
      <c r="AJ86" s="26"/>
      <c r="AK86" s="26"/>
    </row>
    <row r="87" spans="1:37" s="1" customFormat="1" x14ac:dyDescent="0.2">
      <c r="A87" s="25"/>
      <c r="B87" s="1" t="s">
        <v>74</v>
      </c>
      <c r="C87" s="23">
        <f t="shared" ref="C87:J87" si="144">SUM(C72:C77)+C86</f>
        <v>15</v>
      </c>
      <c r="D87" s="23">
        <f t="shared" si="144"/>
        <v>117</v>
      </c>
      <c r="E87" s="23">
        <f t="shared" si="144"/>
        <v>218</v>
      </c>
      <c r="F87" s="23">
        <f t="shared" si="144"/>
        <v>185</v>
      </c>
      <c r="G87" s="23">
        <f t="shared" si="144"/>
        <v>30</v>
      </c>
      <c r="H87" s="23">
        <f t="shared" si="144"/>
        <v>206</v>
      </c>
      <c r="I87" s="23">
        <f t="shared" si="144"/>
        <v>274</v>
      </c>
      <c r="J87" s="23">
        <f t="shared" si="144"/>
        <v>206</v>
      </c>
      <c r="K87" s="23"/>
      <c r="L87" s="23"/>
      <c r="M87" s="23"/>
      <c r="N87" s="23"/>
      <c r="O87" s="23"/>
      <c r="P87" s="23"/>
      <c r="Q87" s="23"/>
      <c r="R87" s="23"/>
      <c r="S87" s="23"/>
      <c r="T87" s="23">
        <f t="shared" ref="T87:AA87" si="145">SUM(T72:T77)+T86</f>
        <v>1003</v>
      </c>
      <c r="U87" s="23">
        <f t="shared" si="145"/>
        <v>351</v>
      </c>
      <c r="V87" s="23">
        <f t="shared" si="145"/>
        <v>-665</v>
      </c>
      <c r="W87" s="23">
        <f t="shared" si="145"/>
        <v>256</v>
      </c>
      <c r="X87" s="23">
        <f t="shared" si="145"/>
        <v>-202</v>
      </c>
      <c r="Y87" s="23">
        <f t="shared" si="145"/>
        <v>1532</v>
      </c>
      <c r="Z87" s="23">
        <f t="shared" si="145"/>
        <v>1486</v>
      </c>
      <c r="AA87" s="23">
        <f t="shared" si="145"/>
        <v>1293</v>
      </c>
      <c r="AB87" s="28"/>
      <c r="AC87" s="28"/>
      <c r="AD87" s="28"/>
      <c r="AE87" s="28"/>
      <c r="AF87" s="28"/>
      <c r="AG87" s="28"/>
      <c r="AH87" s="28"/>
      <c r="AI87" s="28"/>
      <c r="AJ87" s="28"/>
      <c r="AK87" s="28"/>
    </row>
    <row r="88" spans="1:37" x14ac:dyDescent="0.2">
      <c r="B88" s="2" t="s">
        <v>76</v>
      </c>
      <c r="C88" s="5">
        <v>-117</v>
      </c>
      <c r="D88" s="5"/>
      <c r="E88" s="5"/>
      <c r="F88" s="5"/>
      <c r="G88" s="5">
        <v>-93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-420</v>
      </c>
      <c r="Z88" s="5">
        <v>-447</v>
      </c>
      <c r="AA88" s="5">
        <v>-470</v>
      </c>
      <c r="AB88" s="24"/>
      <c r="AC88" s="24"/>
      <c r="AD88" s="26"/>
      <c r="AE88" s="26"/>
      <c r="AF88" s="26"/>
      <c r="AG88" s="26"/>
      <c r="AH88" s="26"/>
      <c r="AI88" s="26"/>
      <c r="AJ88" s="26"/>
      <c r="AK88" s="26"/>
    </row>
    <row r="89" spans="1:37" x14ac:dyDescent="0.2">
      <c r="B89" s="2" t="s">
        <v>77</v>
      </c>
      <c r="C89" s="5">
        <v>76</v>
      </c>
      <c r="D89" s="5"/>
      <c r="E89" s="5"/>
      <c r="F89" s="5"/>
      <c r="G89" s="5"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76</v>
      </c>
      <c r="Z89" s="5">
        <v>7</v>
      </c>
      <c r="AA89" s="5">
        <v>0</v>
      </c>
      <c r="AB89" s="24"/>
      <c r="AC89" s="24"/>
      <c r="AD89" s="26"/>
      <c r="AE89" s="26"/>
      <c r="AF89" s="26"/>
      <c r="AG89" s="26"/>
      <c r="AH89" s="26"/>
      <c r="AI89" s="26"/>
      <c r="AJ89" s="26"/>
      <c r="AK89" s="26"/>
    </row>
    <row r="90" spans="1:37" x14ac:dyDescent="0.2">
      <c r="B90" s="2" t="s">
        <v>78</v>
      </c>
      <c r="C90" s="5">
        <v>0</v>
      </c>
      <c r="D90" s="5"/>
      <c r="E90" s="5"/>
      <c r="F90" s="5"/>
      <c r="G90" s="5">
        <v>-201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0</v>
      </c>
      <c r="Z90" s="5">
        <v>-409</v>
      </c>
      <c r="AA90" s="5">
        <v>-419</v>
      </c>
      <c r="AB90" s="24"/>
      <c r="AC90" s="24"/>
      <c r="AD90" s="26"/>
      <c r="AE90" s="26"/>
      <c r="AF90" s="26"/>
      <c r="AG90" s="26"/>
      <c r="AH90" s="26"/>
      <c r="AI90" s="26"/>
      <c r="AJ90" s="26"/>
      <c r="AK90" s="26"/>
    </row>
    <row r="91" spans="1:37" x14ac:dyDescent="0.2">
      <c r="B91" s="2" t="s">
        <v>79</v>
      </c>
      <c r="C91" s="5">
        <v>0</v>
      </c>
      <c r="D91" s="5"/>
      <c r="E91" s="5"/>
      <c r="F91" s="5"/>
      <c r="G91" s="5">
        <v>3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>
        <v>9</v>
      </c>
      <c r="Z91" s="5">
        <v>162</v>
      </c>
      <c r="AA91" s="5">
        <v>289</v>
      </c>
      <c r="AB91" s="24"/>
      <c r="AC91" s="24"/>
      <c r="AD91" s="26"/>
      <c r="AE91" s="26"/>
      <c r="AF91" s="26"/>
      <c r="AG91" s="26"/>
      <c r="AH91" s="26"/>
      <c r="AI91" s="26"/>
      <c r="AJ91" s="26"/>
      <c r="AK91" s="26"/>
    </row>
    <row r="92" spans="1:37" x14ac:dyDescent="0.2">
      <c r="B92" s="2" t="s">
        <v>80</v>
      </c>
      <c r="C92" s="5">
        <v>11</v>
      </c>
      <c r="D92" s="5"/>
      <c r="E92" s="5"/>
      <c r="F92" s="5"/>
      <c r="G92" s="5"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1</v>
      </c>
      <c r="Z92" s="5">
        <v>-5</v>
      </c>
      <c r="AA92" s="5">
        <v>0</v>
      </c>
      <c r="AB92" s="24"/>
      <c r="AC92" s="24"/>
      <c r="AD92" s="26"/>
      <c r="AE92" s="26"/>
      <c r="AF92" s="26"/>
      <c r="AG92" s="26"/>
      <c r="AH92" s="26"/>
      <c r="AI92" s="26"/>
      <c r="AJ92" s="26"/>
      <c r="AK92" s="26"/>
    </row>
    <row r="93" spans="1:37" s="1" customFormat="1" x14ac:dyDescent="0.2">
      <c r="A93" s="25"/>
      <c r="B93" s="1" t="s">
        <v>81</v>
      </c>
      <c r="C93" s="23">
        <f>SUM(C88:C92)</f>
        <v>-30</v>
      </c>
      <c r="D93" s="23">
        <f t="shared" ref="D93:J93" si="146">SUM(D88:D92)</f>
        <v>0</v>
      </c>
      <c r="E93" s="23">
        <f t="shared" si="146"/>
        <v>0</v>
      </c>
      <c r="F93" s="23">
        <f t="shared" si="146"/>
        <v>0</v>
      </c>
      <c r="G93" s="23">
        <f t="shared" si="146"/>
        <v>-291</v>
      </c>
      <c r="H93" s="23">
        <f t="shared" si="146"/>
        <v>0</v>
      </c>
      <c r="I93" s="23">
        <f t="shared" si="146"/>
        <v>0</v>
      </c>
      <c r="J93" s="23">
        <f t="shared" si="146"/>
        <v>0</v>
      </c>
      <c r="K93" s="23"/>
      <c r="L93" s="23"/>
      <c r="M93" s="23"/>
      <c r="N93" s="23"/>
      <c r="O93" s="23"/>
      <c r="P93" s="23"/>
      <c r="Q93" s="23"/>
      <c r="R93" s="23"/>
      <c r="S93" s="23"/>
      <c r="T93" s="23">
        <f t="shared" ref="T93:AA93" si="147">SUM(T88:T92)</f>
        <v>0</v>
      </c>
      <c r="U93" s="23">
        <f t="shared" si="147"/>
        <v>0</v>
      </c>
      <c r="V93" s="23">
        <f t="shared" si="147"/>
        <v>0</v>
      </c>
      <c r="W93" s="23">
        <f t="shared" si="147"/>
        <v>0</v>
      </c>
      <c r="X93" s="23">
        <f t="shared" si="147"/>
        <v>0</v>
      </c>
      <c r="Y93" s="23">
        <f t="shared" si="147"/>
        <v>-334</v>
      </c>
      <c r="Z93" s="23">
        <f t="shared" si="147"/>
        <v>-692</v>
      </c>
      <c r="AA93" s="23">
        <f t="shared" si="147"/>
        <v>-600</v>
      </c>
      <c r="AB93" s="30"/>
      <c r="AC93" s="30"/>
      <c r="AD93" s="28"/>
      <c r="AE93" s="28"/>
      <c r="AF93" s="28"/>
      <c r="AG93" s="28"/>
      <c r="AH93" s="28"/>
      <c r="AI93" s="28"/>
      <c r="AJ93" s="28"/>
      <c r="AK93" s="28"/>
    </row>
    <row r="94" spans="1:37" s="1" customFormat="1" x14ac:dyDescent="0.2">
      <c r="A94" s="25"/>
      <c r="B94" s="33" t="s">
        <v>158</v>
      </c>
      <c r="C94" s="32">
        <v>0</v>
      </c>
      <c r="D94" s="23"/>
      <c r="E94" s="23"/>
      <c r="F94" s="23"/>
      <c r="G94" s="5">
        <v>0</v>
      </c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32"/>
      <c r="V94" s="32"/>
      <c r="W94" s="32"/>
      <c r="X94" s="32"/>
      <c r="Y94" s="32">
        <v>-350</v>
      </c>
      <c r="Z94" s="32">
        <v>0</v>
      </c>
      <c r="AA94" s="32">
        <v>0</v>
      </c>
      <c r="AB94" s="30"/>
      <c r="AC94" s="30"/>
      <c r="AD94" s="28"/>
      <c r="AE94" s="28"/>
      <c r="AF94" s="28"/>
      <c r="AG94" s="28"/>
      <c r="AH94" s="28"/>
      <c r="AI94" s="28"/>
      <c r="AJ94" s="28"/>
      <c r="AK94" s="28"/>
    </row>
    <row r="95" spans="1:37" x14ac:dyDescent="0.2">
      <c r="B95" s="2" t="s">
        <v>82</v>
      </c>
      <c r="C95" s="5">
        <v>7</v>
      </c>
      <c r="D95" s="5"/>
      <c r="E95" s="5"/>
      <c r="F95" s="5"/>
      <c r="G95" s="5">
        <v>10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27</v>
      </c>
      <c r="Z95" s="5">
        <v>32</v>
      </c>
      <c r="AA95" s="5">
        <v>25</v>
      </c>
      <c r="AB95" s="24"/>
      <c r="AC95" s="24"/>
      <c r="AD95" s="26"/>
      <c r="AE95" s="26"/>
      <c r="AF95" s="26"/>
      <c r="AG95" s="26"/>
      <c r="AH95" s="26"/>
      <c r="AI95" s="26"/>
      <c r="AJ95" s="26"/>
      <c r="AK95" s="26"/>
    </row>
    <row r="96" spans="1:37" x14ac:dyDescent="0.2">
      <c r="B96" s="2" t="s">
        <v>83</v>
      </c>
      <c r="C96" s="5">
        <v>-10</v>
      </c>
      <c r="D96" s="5"/>
      <c r="E96" s="5"/>
      <c r="F96" s="5"/>
      <c r="G96" s="5">
        <v>-31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-20</v>
      </c>
      <c r="Z96" s="5">
        <v>-50</v>
      </c>
      <c r="AA96" s="5">
        <v>-42</v>
      </c>
      <c r="AB96" s="24"/>
      <c r="AC96" s="24"/>
      <c r="AD96" s="26"/>
      <c r="AE96" s="26"/>
      <c r="AF96" s="26"/>
      <c r="AG96" s="26"/>
      <c r="AH96" s="26"/>
      <c r="AI96" s="26"/>
      <c r="AJ96" s="26"/>
      <c r="AK96" s="26"/>
    </row>
    <row r="97" spans="1:37" x14ac:dyDescent="0.2">
      <c r="B97" s="33" t="s">
        <v>159</v>
      </c>
      <c r="C97" s="5">
        <v>0</v>
      </c>
      <c r="D97" s="5"/>
      <c r="E97" s="5"/>
      <c r="F97" s="5"/>
      <c r="G97" s="5"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0</v>
      </c>
      <c r="Z97" s="5">
        <v>-75</v>
      </c>
      <c r="AA97" s="5">
        <v>-155</v>
      </c>
      <c r="AB97" s="24"/>
      <c r="AC97" s="24"/>
      <c r="AD97" s="26"/>
      <c r="AE97" s="26"/>
      <c r="AF97" s="26"/>
      <c r="AG97" s="26"/>
      <c r="AH97" s="26"/>
      <c r="AI97" s="26"/>
      <c r="AJ97" s="26"/>
      <c r="AK97" s="26"/>
    </row>
    <row r="98" spans="1:37" x14ac:dyDescent="0.2">
      <c r="B98" s="2" t="s">
        <v>84</v>
      </c>
      <c r="C98" s="5">
        <v>-55</v>
      </c>
      <c r="D98" s="5"/>
      <c r="E98" s="5"/>
      <c r="F98" s="5"/>
      <c r="G98" s="5">
        <v>-56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-222</v>
      </c>
      <c r="Z98" s="5">
        <v>-225</v>
      </c>
      <c r="AA98" s="5">
        <v>-247</v>
      </c>
      <c r="AB98" s="24"/>
      <c r="AC98" s="24"/>
      <c r="AD98" s="26"/>
      <c r="AE98" s="26"/>
      <c r="AF98" s="26"/>
      <c r="AG98" s="26"/>
      <c r="AH98" s="26"/>
      <c r="AI98" s="26"/>
      <c r="AJ98" s="26"/>
      <c r="AK98" s="26"/>
    </row>
    <row r="99" spans="1:37" x14ac:dyDescent="0.2">
      <c r="B99" s="33" t="s">
        <v>45</v>
      </c>
      <c r="C99" s="5">
        <v>0</v>
      </c>
      <c r="D99" s="5"/>
      <c r="E99" s="5"/>
      <c r="F99" s="5"/>
      <c r="G99" s="5"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>
        <v>-2</v>
      </c>
      <c r="Z99" s="5">
        <v>-3</v>
      </c>
      <c r="AA99" s="5">
        <v>0</v>
      </c>
      <c r="AB99" s="24"/>
      <c r="AC99" s="24"/>
      <c r="AD99" s="26"/>
      <c r="AE99" s="26"/>
      <c r="AF99" s="26"/>
      <c r="AG99" s="26"/>
      <c r="AH99" s="26"/>
      <c r="AI99" s="26"/>
      <c r="AJ99" s="26"/>
      <c r="AK99" s="26"/>
    </row>
    <row r="100" spans="1:37" s="1" customFormat="1" x14ac:dyDescent="0.2">
      <c r="A100" s="25"/>
      <c r="B100" s="1" t="s">
        <v>85</v>
      </c>
      <c r="C100" s="23">
        <f>SUM(C94:C99)</f>
        <v>-58</v>
      </c>
      <c r="D100" s="23">
        <f t="shared" ref="D100:J100" si="148">SUM(D94:D99)</f>
        <v>0</v>
      </c>
      <c r="E100" s="23">
        <f t="shared" si="148"/>
        <v>0</v>
      </c>
      <c r="F100" s="23">
        <f t="shared" si="148"/>
        <v>0</v>
      </c>
      <c r="G100" s="23">
        <f t="shared" si="148"/>
        <v>-77</v>
      </c>
      <c r="H100" s="23">
        <f t="shared" si="148"/>
        <v>0</v>
      </c>
      <c r="I100" s="23">
        <f t="shared" si="148"/>
        <v>0</v>
      </c>
      <c r="J100" s="23">
        <f t="shared" si="148"/>
        <v>0</v>
      </c>
      <c r="K100" s="23"/>
      <c r="L100" s="23"/>
      <c r="M100" s="23"/>
      <c r="N100" s="23"/>
      <c r="O100" s="23"/>
      <c r="P100" s="23"/>
      <c r="Q100" s="23"/>
      <c r="R100" s="23"/>
      <c r="S100" s="23"/>
      <c r="T100" s="23">
        <f t="shared" ref="T100" si="149">SUM(T94:T99)</f>
        <v>0</v>
      </c>
      <c r="U100" s="23">
        <f t="shared" ref="U100" si="150">SUM(U94:U99)</f>
        <v>0</v>
      </c>
      <c r="V100" s="23">
        <f t="shared" ref="V100" si="151">SUM(V94:V99)</f>
        <v>0</v>
      </c>
      <c r="W100" s="23">
        <f t="shared" ref="W100" si="152">SUM(W94:W99)</f>
        <v>0</v>
      </c>
      <c r="X100" s="23">
        <f t="shared" ref="X100" si="153">SUM(X94:X99)</f>
        <v>0</v>
      </c>
      <c r="Y100" s="23">
        <f t="shared" ref="Y100" si="154">SUM(Y94:Y99)</f>
        <v>-567</v>
      </c>
      <c r="Z100" s="23">
        <f t="shared" ref="Z100" si="155">SUM(Z94:Z99)</f>
        <v>-321</v>
      </c>
      <c r="AA100" s="23">
        <f t="shared" ref="AA100" si="156">SUM(AA94:AA99)</f>
        <v>-419</v>
      </c>
      <c r="AB100" s="30"/>
      <c r="AC100" s="30"/>
      <c r="AD100" s="28"/>
      <c r="AE100" s="28"/>
      <c r="AF100" s="28"/>
      <c r="AG100" s="28"/>
      <c r="AH100" s="28"/>
      <c r="AI100" s="28"/>
      <c r="AJ100" s="28"/>
      <c r="AK100" s="28"/>
    </row>
    <row r="101" spans="1:37" x14ac:dyDescent="0.2">
      <c r="B101" s="2" t="s">
        <v>120</v>
      </c>
      <c r="C101" s="5">
        <v>-2</v>
      </c>
      <c r="D101" s="5"/>
      <c r="E101" s="5"/>
      <c r="F101" s="5"/>
      <c r="G101" s="5">
        <v>-2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>
        <v>-3</v>
      </c>
      <c r="Z101" s="5">
        <v>-9</v>
      </c>
      <c r="AA101" s="5">
        <v>5</v>
      </c>
      <c r="AB101" s="24"/>
      <c r="AC101" s="24"/>
      <c r="AD101" s="26"/>
      <c r="AE101" s="26"/>
      <c r="AF101" s="26"/>
      <c r="AG101" s="26"/>
      <c r="AH101" s="26"/>
      <c r="AI101" s="26"/>
      <c r="AJ101" s="26"/>
      <c r="AK101" s="26"/>
    </row>
    <row r="102" spans="1:37" s="1" customFormat="1" x14ac:dyDescent="0.2">
      <c r="A102" s="25"/>
      <c r="B102" s="1" t="s">
        <v>86</v>
      </c>
      <c r="C102" s="23">
        <f t="shared" ref="C102:F102" si="157">C100+C93+C87+C101</f>
        <v>-75</v>
      </c>
      <c r="D102" s="23">
        <f t="shared" si="157"/>
        <v>117</v>
      </c>
      <c r="E102" s="23">
        <f t="shared" si="157"/>
        <v>218</v>
      </c>
      <c r="F102" s="23">
        <f t="shared" si="157"/>
        <v>185</v>
      </c>
      <c r="G102" s="23">
        <f>G100+G93+G87+G101</f>
        <v>-340</v>
      </c>
      <c r="H102" s="23">
        <f t="shared" ref="H102:J102" si="158">H100+H93+H87+H101</f>
        <v>206</v>
      </c>
      <c r="I102" s="23">
        <f t="shared" si="158"/>
        <v>274</v>
      </c>
      <c r="J102" s="23">
        <f t="shared" si="158"/>
        <v>206</v>
      </c>
      <c r="K102" s="23"/>
      <c r="L102" s="23"/>
      <c r="M102" s="23"/>
      <c r="N102" s="23"/>
      <c r="O102" s="23"/>
      <c r="P102" s="23"/>
      <c r="Q102" s="23"/>
      <c r="R102" s="23"/>
      <c r="S102" s="23"/>
      <c r="T102" s="23">
        <f t="shared" ref="T102:AA102" si="159">T100+T93+T87+T101</f>
        <v>1003</v>
      </c>
      <c r="U102" s="23">
        <f t="shared" si="159"/>
        <v>351</v>
      </c>
      <c r="V102" s="23">
        <f t="shared" si="159"/>
        <v>-665</v>
      </c>
      <c r="W102" s="23">
        <f t="shared" si="159"/>
        <v>256</v>
      </c>
      <c r="X102" s="23">
        <f t="shared" si="159"/>
        <v>-202</v>
      </c>
      <c r="Y102" s="23">
        <f t="shared" si="159"/>
        <v>628</v>
      </c>
      <c r="Z102" s="23">
        <f t="shared" si="159"/>
        <v>464</v>
      </c>
      <c r="AA102" s="23">
        <f t="shared" si="159"/>
        <v>279</v>
      </c>
      <c r="AB102" s="30"/>
      <c r="AC102" s="30"/>
      <c r="AD102" s="28"/>
      <c r="AE102" s="28"/>
      <c r="AF102" s="28"/>
      <c r="AG102" s="28"/>
      <c r="AH102" s="28"/>
      <c r="AI102" s="28"/>
      <c r="AJ102" s="28"/>
      <c r="AK102" s="28"/>
    </row>
    <row r="103" spans="1:37" x14ac:dyDescent="0.2">
      <c r="B103" s="2" t="s">
        <v>87</v>
      </c>
      <c r="C103" s="5">
        <v>1273</v>
      </c>
      <c r="D103" s="5"/>
      <c r="E103" s="5"/>
      <c r="F103" s="5"/>
      <c r="G103" s="5">
        <v>1901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>
        <f>+Y104-Y102</f>
        <v>1273</v>
      </c>
      <c r="Z103" s="5">
        <f>+Z104-Z102</f>
        <v>1901</v>
      </c>
      <c r="AA103" s="5">
        <v>2365</v>
      </c>
      <c r="AB103" s="24"/>
      <c r="AC103" s="24"/>
      <c r="AD103" s="26"/>
      <c r="AE103" s="26"/>
      <c r="AF103" s="26"/>
      <c r="AG103" s="26"/>
      <c r="AH103" s="26"/>
      <c r="AI103" s="26"/>
      <c r="AJ103" s="26"/>
      <c r="AK103" s="26"/>
    </row>
    <row r="104" spans="1:37" x14ac:dyDescent="0.2">
      <c r="B104" s="2" t="s">
        <v>88</v>
      </c>
      <c r="C104" s="5">
        <f>C102+C103</f>
        <v>1198</v>
      </c>
      <c r="D104" s="5"/>
      <c r="E104" s="5"/>
      <c r="F104" s="5"/>
      <c r="G104" s="5">
        <f>G103+G102</f>
        <v>1561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>
        <f>+Z103</f>
        <v>1901</v>
      </c>
      <c r="Z104" s="5">
        <f>+AA103</f>
        <v>2365</v>
      </c>
      <c r="AA104" s="32">
        <f>+AA102+AA103</f>
        <v>2644</v>
      </c>
      <c r="AB104" s="24"/>
      <c r="AC104" s="24"/>
      <c r="AD104" s="26"/>
      <c r="AE104" s="26"/>
      <c r="AF104" s="26"/>
      <c r="AG104" s="26"/>
      <c r="AH104" s="26"/>
      <c r="AI104" s="26"/>
      <c r="AJ104" s="26"/>
      <c r="AK104" s="26"/>
    </row>
    <row r="105" spans="1:37" x14ac:dyDescent="0.2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24"/>
      <c r="AC105" s="24"/>
      <c r="AD105" s="26"/>
      <c r="AE105" s="26"/>
      <c r="AF105" s="26"/>
      <c r="AG105" s="26"/>
      <c r="AH105" s="26"/>
      <c r="AI105" s="26"/>
      <c r="AJ105" s="26"/>
      <c r="AK105" s="26"/>
    </row>
    <row r="106" spans="1:37" x14ac:dyDescent="0.2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24"/>
      <c r="AC106" s="24"/>
      <c r="AD106" s="26"/>
      <c r="AE106" s="26"/>
      <c r="AF106" s="26"/>
      <c r="AG106" s="26"/>
      <c r="AH106" s="26"/>
      <c r="AI106" s="26"/>
      <c r="AJ106" s="26"/>
      <c r="AK106" s="26"/>
    </row>
    <row r="107" spans="1:37" x14ac:dyDescent="0.2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24"/>
      <c r="AC107" s="24"/>
      <c r="AD107" s="26"/>
      <c r="AE107" s="26"/>
      <c r="AF107" s="26"/>
      <c r="AG107" s="26"/>
      <c r="AH107" s="26"/>
      <c r="AI107" s="26"/>
      <c r="AJ107" s="26"/>
      <c r="AK107" s="26"/>
    </row>
    <row r="108" spans="1:37" x14ac:dyDescent="0.2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24"/>
      <c r="AC108" s="24"/>
      <c r="AD108" s="26"/>
      <c r="AE108" s="26"/>
      <c r="AF108" s="26"/>
      <c r="AG108" s="26"/>
      <c r="AH108" s="26"/>
      <c r="AI108" s="26"/>
      <c r="AJ108" s="26"/>
      <c r="AK108" s="26"/>
    </row>
    <row r="109" spans="1:37" x14ac:dyDescent="0.2"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24"/>
      <c r="AC109" s="24"/>
      <c r="AD109" s="26"/>
      <c r="AE109" s="26"/>
      <c r="AF109" s="26"/>
      <c r="AG109" s="26"/>
      <c r="AH109" s="26"/>
      <c r="AI109" s="26"/>
      <c r="AJ109" s="26"/>
      <c r="AK109" s="26"/>
    </row>
    <row r="110" spans="1:37" x14ac:dyDescent="0.2"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24"/>
      <c r="AC110" s="24"/>
      <c r="AD110" s="26"/>
      <c r="AE110" s="26"/>
      <c r="AF110" s="26"/>
      <c r="AG110" s="26"/>
      <c r="AH110" s="26"/>
      <c r="AI110" s="26"/>
      <c r="AJ110" s="26"/>
      <c r="AK110" s="26"/>
    </row>
    <row r="111" spans="1:37" x14ac:dyDescent="0.2"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24"/>
      <c r="AC111" s="24"/>
      <c r="AD111" s="26"/>
      <c r="AE111" s="26"/>
      <c r="AF111" s="26"/>
      <c r="AG111" s="26"/>
      <c r="AH111" s="26"/>
      <c r="AI111" s="26"/>
      <c r="AJ111" s="26"/>
      <c r="AK111" s="26"/>
    </row>
    <row r="112" spans="1:37" x14ac:dyDescent="0.2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24"/>
      <c r="AC112" s="24"/>
      <c r="AD112" s="26"/>
      <c r="AE112" s="26"/>
      <c r="AF112" s="26"/>
      <c r="AG112" s="26"/>
      <c r="AH112" s="26"/>
      <c r="AI112" s="26"/>
      <c r="AJ112" s="26"/>
      <c r="AK112" s="26"/>
    </row>
    <row r="113" spans="3:37" x14ac:dyDescent="0.2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24"/>
      <c r="AC113" s="24"/>
      <c r="AD113" s="26"/>
      <c r="AE113" s="26"/>
      <c r="AF113" s="26"/>
      <c r="AG113" s="26"/>
      <c r="AH113" s="26"/>
      <c r="AI113" s="26"/>
      <c r="AJ113" s="26"/>
      <c r="AK113" s="26"/>
    </row>
    <row r="114" spans="3:37" x14ac:dyDescent="0.2"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24"/>
      <c r="AC114" s="24"/>
      <c r="AD114" s="26"/>
      <c r="AE114" s="26"/>
      <c r="AF114" s="26"/>
      <c r="AG114" s="26"/>
      <c r="AH114" s="26"/>
      <c r="AI114" s="26"/>
      <c r="AJ114" s="26"/>
      <c r="AK114" s="26"/>
    </row>
    <row r="115" spans="3:37" x14ac:dyDescent="0.2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24"/>
      <c r="AC115" s="24"/>
      <c r="AD115" s="26"/>
      <c r="AE115" s="26"/>
      <c r="AF115" s="26"/>
      <c r="AG115" s="26"/>
      <c r="AH115" s="26"/>
      <c r="AI115" s="26"/>
      <c r="AJ115" s="26"/>
      <c r="AK115" s="26"/>
    </row>
    <row r="116" spans="3:37" x14ac:dyDescent="0.2"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24"/>
      <c r="AC116" s="24"/>
      <c r="AD116" s="26"/>
      <c r="AE116" s="26"/>
      <c r="AF116" s="26"/>
      <c r="AG116" s="26"/>
      <c r="AH116" s="26"/>
      <c r="AI116" s="26"/>
      <c r="AJ116" s="26"/>
      <c r="AK116" s="26"/>
    </row>
    <row r="117" spans="3:37" x14ac:dyDescent="0.2"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24"/>
      <c r="AC117" s="24"/>
      <c r="AD117" s="26"/>
      <c r="AE117" s="26"/>
      <c r="AF117" s="26"/>
      <c r="AG117" s="26"/>
      <c r="AH117" s="26"/>
      <c r="AI117" s="26"/>
      <c r="AJ117" s="26"/>
      <c r="AK117" s="26"/>
    </row>
    <row r="118" spans="3:37" x14ac:dyDescent="0.2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24"/>
      <c r="AC118" s="24"/>
      <c r="AD118" s="26"/>
      <c r="AE118" s="26"/>
      <c r="AF118" s="26"/>
      <c r="AG118" s="26"/>
      <c r="AH118" s="26"/>
      <c r="AI118" s="26"/>
      <c r="AJ118" s="26"/>
      <c r="AK118" s="26"/>
    </row>
    <row r="119" spans="3:37" x14ac:dyDescent="0.2"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24"/>
      <c r="AC119" s="24"/>
      <c r="AD119" s="26"/>
      <c r="AE119" s="26"/>
      <c r="AF119" s="26"/>
      <c r="AG119" s="26"/>
      <c r="AH119" s="26"/>
      <c r="AI119" s="26"/>
      <c r="AJ119" s="26"/>
      <c r="AK119" s="26"/>
    </row>
    <row r="120" spans="3:37" x14ac:dyDescent="0.2"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24"/>
      <c r="AC120" s="24"/>
      <c r="AD120" s="26"/>
      <c r="AE120" s="26"/>
      <c r="AF120" s="26"/>
      <c r="AG120" s="26"/>
      <c r="AH120" s="26"/>
      <c r="AI120" s="26"/>
      <c r="AJ120" s="26"/>
      <c r="AK120" s="26"/>
    </row>
    <row r="121" spans="3:37" x14ac:dyDescent="0.2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24"/>
      <c r="AC121" s="24"/>
      <c r="AD121" s="26"/>
      <c r="AE121" s="26"/>
      <c r="AF121" s="26"/>
      <c r="AG121" s="26"/>
      <c r="AH121" s="26"/>
      <c r="AI121" s="26"/>
      <c r="AJ121" s="26"/>
      <c r="AK121" s="26"/>
    </row>
    <row r="122" spans="3:37" x14ac:dyDescent="0.2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24"/>
      <c r="AC122" s="24"/>
      <c r="AD122" s="26"/>
      <c r="AE122" s="26"/>
      <c r="AF122" s="26"/>
      <c r="AG122" s="26"/>
      <c r="AH122" s="26"/>
      <c r="AI122" s="26"/>
      <c r="AJ122" s="26"/>
      <c r="AK122" s="26"/>
    </row>
    <row r="123" spans="3:37" x14ac:dyDescent="0.2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24"/>
      <c r="AC123" s="24"/>
      <c r="AD123" s="26"/>
      <c r="AE123" s="26"/>
      <c r="AF123" s="26"/>
      <c r="AG123" s="26"/>
      <c r="AH123" s="26"/>
      <c r="AI123" s="26"/>
      <c r="AJ123" s="26"/>
      <c r="AK123" s="26"/>
    </row>
    <row r="124" spans="3:37" x14ac:dyDescent="0.2"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24"/>
      <c r="AC124" s="24"/>
      <c r="AD124" s="26"/>
      <c r="AE124" s="26"/>
      <c r="AF124" s="26"/>
      <c r="AG124" s="26"/>
      <c r="AH124" s="26"/>
      <c r="AI124" s="26"/>
      <c r="AJ124" s="26"/>
      <c r="AK124" s="26"/>
    </row>
    <row r="125" spans="3:37" x14ac:dyDescent="0.2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24"/>
      <c r="AC125" s="24"/>
      <c r="AD125" s="26"/>
      <c r="AE125" s="26"/>
      <c r="AF125" s="26"/>
      <c r="AG125" s="26"/>
      <c r="AH125" s="26"/>
      <c r="AI125" s="26"/>
      <c r="AJ125" s="26"/>
      <c r="AK125" s="26"/>
    </row>
    <row r="126" spans="3:37" x14ac:dyDescent="0.2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24"/>
      <c r="AC126" s="24"/>
      <c r="AD126" s="26"/>
      <c r="AE126" s="26"/>
      <c r="AF126" s="26"/>
      <c r="AG126" s="26"/>
      <c r="AH126" s="26"/>
      <c r="AI126" s="26"/>
      <c r="AJ126" s="26"/>
      <c r="AK126" s="26"/>
    </row>
    <row r="127" spans="3:37" x14ac:dyDescent="0.2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24"/>
      <c r="AC127" s="24"/>
      <c r="AD127" s="26"/>
      <c r="AE127" s="26"/>
      <c r="AF127" s="26"/>
      <c r="AG127" s="26"/>
      <c r="AH127" s="26"/>
      <c r="AI127" s="26"/>
      <c r="AJ127" s="26"/>
      <c r="AK127" s="26"/>
    </row>
    <row r="128" spans="3:37" x14ac:dyDescent="0.2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24"/>
      <c r="AC128" s="24"/>
      <c r="AD128" s="26"/>
      <c r="AE128" s="26"/>
      <c r="AF128" s="26"/>
      <c r="AG128" s="26"/>
      <c r="AH128" s="26"/>
      <c r="AI128" s="26"/>
      <c r="AJ128" s="26"/>
      <c r="AK128" s="26"/>
    </row>
    <row r="129" spans="3:37" x14ac:dyDescent="0.2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24"/>
      <c r="AC129" s="24"/>
      <c r="AD129" s="26"/>
      <c r="AE129" s="26"/>
      <c r="AF129" s="26"/>
      <c r="AG129" s="26"/>
      <c r="AH129" s="26"/>
      <c r="AI129" s="26"/>
      <c r="AJ129" s="26"/>
      <c r="AK129" s="26"/>
    </row>
    <row r="130" spans="3:37" x14ac:dyDescent="0.2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24"/>
      <c r="AC130" s="24"/>
      <c r="AD130" s="26"/>
      <c r="AE130" s="26"/>
      <c r="AF130" s="26"/>
      <c r="AG130" s="26"/>
      <c r="AH130" s="26"/>
      <c r="AI130" s="26"/>
      <c r="AJ130" s="26"/>
      <c r="AK130" s="26"/>
    </row>
    <row r="131" spans="3:37" x14ac:dyDescent="0.2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24"/>
      <c r="AC131" s="24"/>
      <c r="AD131" s="26"/>
      <c r="AE131" s="26"/>
      <c r="AF131" s="26"/>
      <c r="AG131" s="26"/>
      <c r="AH131" s="26"/>
      <c r="AI131" s="26"/>
      <c r="AJ131" s="26"/>
      <c r="AK131" s="26"/>
    </row>
    <row r="132" spans="3:37" x14ac:dyDescent="0.2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24"/>
      <c r="AC132" s="24"/>
      <c r="AD132" s="26"/>
      <c r="AE132" s="26"/>
      <c r="AF132" s="26"/>
      <c r="AG132" s="26"/>
      <c r="AH132" s="26"/>
      <c r="AI132" s="26"/>
      <c r="AJ132" s="26"/>
      <c r="AK132" s="26"/>
    </row>
    <row r="133" spans="3:37" x14ac:dyDescent="0.2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24"/>
      <c r="AC133" s="24"/>
      <c r="AD133" s="26"/>
      <c r="AE133" s="26"/>
      <c r="AF133" s="26"/>
      <c r="AG133" s="26"/>
      <c r="AH133" s="26"/>
      <c r="AI133" s="26"/>
      <c r="AJ133" s="26"/>
      <c r="AK133" s="26"/>
    </row>
    <row r="134" spans="3:37" x14ac:dyDescent="0.2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24"/>
      <c r="AC134" s="24"/>
      <c r="AD134" s="26"/>
      <c r="AE134" s="26"/>
      <c r="AF134" s="26"/>
      <c r="AG134" s="26"/>
      <c r="AH134" s="26"/>
      <c r="AI134" s="26"/>
      <c r="AJ134" s="26"/>
      <c r="AK134" s="26"/>
    </row>
    <row r="135" spans="3:37" x14ac:dyDescent="0.2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24"/>
      <c r="AC135" s="24"/>
      <c r="AD135" s="26"/>
      <c r="AE135" s="26"/>
      <c r="AF135" s="26"/>
      <c r="AG135" s="26"/>
      <c r="AH135" s="26"/>
      <c r="AI135" s="26"/>
      <c r="AJ135" s="26"/>
      <c r="AK135" s="26"/>
    </row>
    <row r="136" spans="3:37" x14ac:dyDescent="0.2"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24"/>
      <c r="AC136" s="24"/>
      <c r="AD136" s="26"/>
      <c r="AE136" s="26"/>
      <c r="AF136" s="26"/>
      <c r="AG136" s="26"/>
      <c r="AH136" s="26"/>
      <c r="AI136" s="26"/>
      <c r="AJ136" s="26"/>
      <c r="AK136" s="26"/>
    </row>
    <row r="137" spans="3:37" x14ac:dyDescent="0.2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24"/>
      <c r="AC137" s="24"/>
      <c r="AD137" s="26"/>
      <c r="AE137" s="26"/>
      <c r="AF137" s="26"/>
      <c r="AG137" s="26"/>
      <c r="AH137" s="26"/>
      <c r="AI137" s="26"/>
      <c r="AJ137" s="26"/>
      <c r="AK137" s="26"/>
    </row>
    <row r="138" spans="3:37" x14ac:dyDescent="0.2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24"/>
      <c r="AC138" s="24"/>
      <c r="AD138" s="26"/>
      <c r="AE138" s="26"/>
      <c r="AF138" s="26"/>
      <c r="AG138" s="26"/>
      <c r="AH138" s="26"/>
      <c r="AI138" s="26"/>
      <c r="AJ138" s="26"/>
      <c r="AK138" s="26"/>
    </row>
    <row r="139" spans="3:37" x14ac:dyDescent="0.2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24"/>
      <c r="AC139" s="24"/>
      <c r="AD139" s="26"/>
      <c r="AE139" s="26"/>
      <c r="AF139" s="26"/>
      <c r="AG139" s="26"/>
      <c r="AH139" s="26"/>
      <c r="AI139" s="26"/>
      <c r="AJ139" s="26"/>
      <c r="AK139" s="26"/>
    </row>
    <row r="140" spans="3:37" x14ac:dyDescent="0.2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24"/>
      <c r="AC140" s="24"/>
      <c r="AD140" s="26"/>
      <c r="AE140" s="26"/>
      <c r="AF140" s="26"/>
      <c r="AG140" s="26"/>
      <c r="AH140" s="26"/>
      <c r="AI140" s="26"/>
      <c r="AJ140" s="26"/>
      <c r="AK140" s="26"/>
    </row>
    <row r="141" spans="3:37" x14ac:dyDescent="0.2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24"/>
      <c r="AC141" s="24"/>
      <c r="AD141" s="26"/>
      <c r="AE141" s="26"/>
      <c r="AF141" s="26"/>
      <c r="AG141" s="26"/>
      <c r="AH141" s="26"/>
      <c r="AI141" s="26"/>
      <c r="AJ141" s="26"/>
      <c r="AK141" s="26"/>
    </row>
    <row r="142" spans="3:37" x14ac:dyDescent="0.2"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24"/>
      <c r="AC142" s="24"/>
      <c r="AD142" s="26"/>
      <c r="AE142" s="26"/>
      <c r="AF142" s="26"/>
      <c r="AG142" s="26"/>
      <c r="AH142" s="26"/>
      <c r="AI142" s="26"/>
      <c r="AJ142" s="26"/>
      <c r="AK142" s="26"/>
    </row>
    <row r="143" spans="3:37" x14ac:dyDescent="0.2"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24"/>
      <c r="AC143" s="24"/>
      <c r="AD143" s="26"/>
      <c r="AE143" s="26"/>
      <c r="AF143" s="26"/>
      <c r="AG143" s="26"/>
      <c r="AH143" s="26"/>
      <c r="AI143" s="26"/>
      <c r="AJ143" s="26"/>
      <c r="AK143" s="26"/>
    </row>
    <row r="144" spans="3:37" x14ac:dyDescent="0.2"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24"/>
      <c r="AC144" s="24"/>
      <c r="AD144" s="26"/>
      <c r="AE144" s="26"/>
      <c r="AF144" s="26"/>
      <c r="AG144" s="26"/>
      <c r="AH144" s="26"/>
      <c r="AI144" s="26"/>
      <c r="AJ144" s="26"/>
      <c r="AK144" s="26"/>
    </row>
    <row r="145" spans="3:37" x14ac:dyDescent="0.2"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24"/>
      <c r="AC145" s="24"/>
      <c r="AD145" s="26"/>
      <c r="AE145" s="26"/>
      <c r="AF145" s="26"/>
      <c r="AG145" s="26"/>
      <c r="AH145" s="26"/>
      <c r="AI145" s="26"/>
      <c r="AJ145" s="26"/>
      <c r="AK145" s="26"/>
    </row>
    <row r="146" spans="3:37" x14ac:dyDescent="0.2"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24"/>
      <c r="AC146" s="24"/>
      <c r="AD146" s="26"/>
      <c r="AE146" s="26"/>
      <c r="AF146" s="26"/>
      <c r="AG146" s="26"/>
      <c r="AH146" s="26"/>
      <c r="AI146" s="26"/>
      <c r="AJ146" s="26"/>
      <c r="AK146" s="26"/>
    </row>
    <row r="147" spans="3:37" x14ac:dyDescent="0.2"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24"/>
      <c r="AC147" s="24"/>
      <c r="AD147" s="26"/>
      <c r="AE147" s="26"/>
      <c r="AF147" s="26"/>
      <c r="AG147" s="26"/>
      <c r="AH147" s="26"/>
      <c r="AI147" s="26"/>
      <c r="AJ147" s="26"/>
      <c r="AK147" s="26"/>
    </row>
    <row r="148" spans="3:37" x14ac:dyDescent="0.2"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24"/>
      <c r="AC148" s="24"/>
      <c r="AD148" s="26"/>
      <c r="AE148" s="26"/>
      <c r="AF148" s="26"/>
      <c r="AG148" s="26"/>
      <c r="AH148" s="26"/>
      <c r="AI148" s="26"/>
      <c r="AJ148" s="26"/>
      <c r="AK148" s="26"/>
    </row>
    <row r="149" spans="3:37" x14ac:dyDescent="0.2"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24"/>
      <c r="AC149" s="24"/>
      <c r="AD149" s="26"/>
      <c r="AE149" s="26"/>
      <c r="AF149" s="26"/>
      <c r="AG149" s="26"/>
      <c r="AH149" s="26"/>
      <c r="AI149" s="26"/>
      <c r="AJ149" s="26"/>
      <c r="AK149" s="26"/>
    </row>
    <row r="150" spans="3:37" x14ac:dyDescent="0.2"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24"/>
      <c r="AC150" s="24"/>
      <c r="AD150" s="26"/>
      <c r="AE150" s="26"/>
      <c r="AF150" s="26"/>
      <c r="AG150" s="26"/>
      <c r="AH150" s="26"/>
      <c r="AI150" s="26"/>
      <c r="AJ150" s="26"/>
      <c r="AK150" s="26"/>
    </row>
    <row r="151" spans="3:37" x14ac:dyDescent="0.2"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24"/>
      <c r="AC151" s="24"/>
      <c r="AD151" s="26"/>
      <c r="AE151" s="26"/>
      <c r="AF151" s="26"/>
      <c r="AG151" s="26"/>
      <c r="AH151" s="26"/>
      <c r="AI151" s="26"/>
      <c r="AJ151" s="26"/>
      <c r="AK151" s="26"/>
    </row>
    <row r="152" spans="3:37" x14ac:dyDescent="0.2"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24"/>
      <c r="AC152" s="24"/>
      <c r="AD152" s="26"/>
      <c r="AE152" s="26"/>
      <c r="AF152" s="26"/>
      <c r="AG152" s="26"/>
      <c r="AH152" s="26"/>
      <c r="AI152" s="26"/>
      <c r="AJ152" s="26"/>
      <c r="AK152" s="26"/>
    </row>
    <row r="153" spans="3:37" x14ac:dyDescent="0.2"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24"/>
      <c r="AC153" s="24"/>
      <c r="AD153" s="26"/>
      <c r="AE153" s="26"/>
      <c r="AF153" s="26"/>
      <c r="AG153" s="26"/>
      <c r="AH153" s="26"/>
      <c r="AI153" s="26"/>
      <c r="AJ153" s="26"/>
      <c r="AK153" s="26"/>
    </row>
    <row r="154" spans="3:37" x14ac:dyDescent="0.2"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24"/>
      <c r="AC154" s="24"/>
      <c r="AD154" s="26"/>
      <c r="AE154" s="26"/>
      <c r="AF154" s="26"/>
      <c r="AG154" s="26"/>
      <c r="AH154" s="26"/>
      <c r="AI154" s="26"/>
      <c r="AJ154" s="26"/>
      <c r="AK154" s="26"/>
    </row>
    <row r="155" spans="3:37" x14ac:dyDescent="0.2"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24"/>
      <c r="AC155" s="24"/>
      <c r="AD155" s="26"/>
      <c r="AE155" s="26"/>
      <c r="AF155" s="26"/>
      <c r="AG155" s="26"/>
      <c r="AH155" s="26"/>
      <c r="AI155" s="26"/>
      <c r="AJ155" s="26"/>
      <c r="AK155" s="26"/>
    </row>
    <row r="156" spans="3:37" x14ac:dyDescent="0.2"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24"/>
      <c r="AC156" s="24"/>
      <c r="AD156" s="26"/>
      <c r="AE156" s="26"/>
      <c r="AF156" s="26"/>
      <c r="AG156" s="26"/>
      <c r="AH156" s="26"/>
      <c r="AI156" s="26"/>
      <c r="AJ156" s="26"/>
      <c r="AK156" s="26"/>
    </row>
    <row r="157" spans="3:37" x14ac:dyDescent="0.2"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24"/>
      <c r="AC157" s="24"/>
      <c r="AD157" s="26"/>
      <c r="AE157" s="26"/>
      <c r="AF157" s="26"/>
      <c r="AG157" s="26"/>
      <c r="AH157" s="26"/>
      <c r="AI157" s="26"/>
      <c r="AJ157" s="26"/>
      <c r="AK157" s="26"/>
    </row>
    <row r="158" spans="3:37" x14ac:dyDescent="0.2"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24"/>
      <c r="AC158" s="24"/>
      <c r="AD158" s="26"/>
      <c r="AE158" s="26"/>
      <c r="AF158" s="26"/>
      <c r="AG158" s="26"/>
      <c r="AH158" s="26"/>
      <c r="AI158" s="26"/>
      <c r="AJ158" s="26"/>
      <c r="AK158" s="26"/>
    </row>
    <row r="159" spans="3:37" x14ac:dyDescent="0.2"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24"/>
      <c r="AC159" s="24"/>
      <c r="AD159" s="26"/>
      <c r="AE159" s="26"/>
      <c r="AF159" s="26"/>
      <c r="AG159" s="26"/>
      <c r="AH159" s="26"/>
      <c r="AI159" s="26"/>
      <c r="AJ159" s="26"/>
      <c r="AK159" s="26"/>
    </row>
    <row r="160" spans="3:37" x14ac:dyDescent="0.2"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24"/>
      <c r="AC160" s="24"/>
      <c r="AD160" s="26"/>
      <c r="AE160" s="26"/>
      <c r="AF160" s="26"/>
      <c r="AG160" s="26"/>
      <c r="AH160" s="26"/>
      <c r="AI160" s="26"/>
      <c r="AJ160" s="26"/>
      <c r="AK160" s="26"/>
    </row>
    <row r="161" spans="3:37" x14ac:dyDescent="0.2"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24"/>
      <c r="AC161" s="24"/>
      <c r="AD161" s="26"/>
      <c r="AE161" s="26"/>
      <c r="AF161" s="26"/>
      <c r="AG161" s="26"/>
      <c r="AH161" s="26"/>
      <c r="AI161" s="26"/>
      <c r="AJ161" s="26"/>
      <c r="AK161" s="26"/>
    </row>
    <row r="162" spans="3:37" x14ac:dyDescent="0.2"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24"/>
      <c r="AC162" s="24"/>
      <c r="AD162" s="26"/>
      <c r="AE162" s="26"/>
      <c r="AF162" s="26"/>
      <c r="AG162" s="26"/>
      <c r="AH162" s="26"/>
      <c r="AI162" s="26"/>
      <c r="AJ162" s="26"/>
      <c r="AK162" s="26"/>
    </row>
    <row r="163" spans="3:37" x14ac:dyDescent="0.2"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24"/>
      <c r="AC163" s="24"/>
      <c r="AD163" s="26"/>
      <c r="AE163" s="26"/>
      <c r="AF163" s="26"/>
      <c r="AG163" s="26"/>
      <c r="AH163" s="26"/>
      <c r="AI163" s="26"/>
      <c r="AJ163" s="26"/>
      <c r="AK163" s="26"/>
    </row>
    <row r="164" spans="3:37" x14ac:dyDescent="0.2"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24"/>
      <c r="AC164" s="24"/>
      <c r="AD164" s="26"/>
      <c r="AE164" s="26"/>
      <c r="AF164" s="26"/>
      <c r="AG164" s="26"/>
      <c r="AH164" s="26"/>
      <c r="AI164" s="26"/>
      <c r="AJ164" s="26"/>
      <c r="AK164" s="26"/>
    </row>
    <row r="165" spans="3:37" x14ac:dyDescent="0.2"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24"/>
      <c r="AC165" s="24"/>
      <c r="AD165" s="26"/>
      <c r="AE165" s="26"/>
      <c r="AF165" s="26"/>
      <c r="AG165" s="26"/>
      <c r="AH165" s="26"/>
      <c r="AI165" s="26"/>
      <c r="AJ165" s="26"/>
      <c r="AK165" s="26"/>
    </row>
    <row r="166" spans="3:37" x14ac:dyDescent="0.2"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24"/>
      <c r="AC166" s="24"/>
      <c r="AD166" s="26"/>
      <c r="AE166" s="26"/>
      <c r="AF166" s="26"/>
      <c r="AG166" s="26"/>
      <c r="AH166" s="26"/>
      <c r="AI166" s="26"/>
      <c r="AJ166" s="26"/>
      <c r="AK166" s="26"/>
    </row>
    <row r="167" spans="3:37" x14ac:dyDescent="0.2"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24"/>
      <c r="AC167" s="24"/>
      <c r="AD167" s="26"/>
      <c r="AE167" s="26"/>
      <c r="AF167" s="26"/>
      <c r="AG167" s="26"/>
      <c r="AH167" s="26"/>
      <c r="AI167" s="26"/>
      <c r="AJ167" s="26"/>
      <c r="AK167" s="26"/>
    </row>
    <row r="168" spans="3:37" x14ac:dyDescent="0.2"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24"/>
      <c r="AC168" s="24"/>
      <c r="AD168" s="26"/>
      <c r="AE168" s="26"/>
      <c r="AF168" s="26"/>
      <c r="AG168" s="26"/>
      <c r="AH168" s="26"/>
      <c r="AI168" s="26"/>
      <c r="AJ168" s="26"/>
      <c r="AK168" s="26"/>
    </row>
    <row r="169" spans="3:37" x14ac:dyDescent="0.2"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24"/>
      <c r="AC169" s="24"/>
      <c r="AD169" s="26"/>
      <c r="AE169" s="26"/>
      <c r="AF169" s="26"/>
      <c r="AG169" s="26"/>
      <c r="AH169" s="26"/>
      <c r="AI169" s="26"/>
      <c r="AJ169" s="26"/>
      <c r="AK169" s="26"/>
    </row>
    <row r="170" spans="3:37" x14ac:dyDescent="0.2"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24"/>
      <c r="AC170" s="24"/>
      <c r="AD170" s="26"/>
      <c r="AE170" s="26"/>
      <c r="AF170" s="26"/>
      <c r="AG170" s="26"/>
      <c r="AH170" s="26"/>
      <c r="AI170" s="26"/>
      <c r="AJ170" s="26"/>
      <c r="AK170" s="26"/>
    </row>
    <row r="171" spans="3:37" x14ac:dyDescent="0.2"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24"/>
      <c r="AC171" s="24"/>
      <c r="AD171" s="26"/>
      <c r="AE171" s="26"/>
      <c r="AF171" s="26"/>
      <c r="AG171" s="26"/>
      <c r="AH171" s="26"/>
      <c r="AI171" s="26"/>
      <c r="AJ171" s="26"/>
      <c r="AK171" s="26"/>
    </row>
    <row r="172" spans="3:37" x14ac:dyDescent="0.2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24"/>
      <c r="AC172" s="24"/>
      <c r="AD172" s="26"/>
      <c r="AE172" s="26"/>
      <c r="AF172" s="26"/>
      <c r="AG172" s="26"/>
      <c r="AH172" s="26"/>
      <c r="AI172" s="26"/>
      <c r="AJ172" s="26"/>
      <c r="AK172" s="26"/>
    </row>
    <row r="173" spans="3:37" x14ac:dyDescent="0.2"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24"/>
      <c r="AC173" s="24"/>
      <c r="AD173" s="26"/>
      <c r="AE173" s="26"/>
      <c r="AF173" s="26"/>
      <c r="AG173" s="26"/>
      <c r="AH173" s="26"/>
      <c r="AI173" s="26"/>
      <c r="AJ173" s="26"/>
      <c r="AK173" s="26"/>
    </row>
    <row r="174" spans="3:37" x14ac:dyDescent="0.2"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24"/>
      <c r="AC174" s="24"/>
      <c r="AD174" s="26"/>
      <c r="AE174" s="26"/>
      <c r="AF174" s="26"/>
      <c r="AG174" s="26"/>
      <c r="AH174" s="26"/>
      <c r="AI174" s="26"/>
      <c r="AJ174" s="26"/>
      <c r="AK174" s="26"/>
    </row>
    <row r="175" spans="3:37" x14ac:dyDescent="0.2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24"/>
      <c r="AC175" s="24"/>
      <c r="AD175" s="26"/>
      <c r="AE175" s="26"/>
      <c r="AF175" s="26"/>
      <c r="AG175" s="26"/>
      <c r="AH175" s="26"/>
      <c r="AI175" s="26"/>
      <c r="AJ175" s="26"/>
      <c r="AK175" s="26"/>
    </row>
    <row r="176" spans="3:37" x14ac:dyDescent="0.2"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24"/>
      <c r="AC176" s="24"/>
      <c r="AD176" s="26"/>
      <c r="AE176" s="26"/>
      <c r="AF176" s="26"/>
      <c r="AG176" s="26"/>
      <c r="AH176" s="26"/>
      <c r="AI176" s="26"/>
      <c r="AJ176" s="26"/>
      <c r="AK176" s="26"/>
    </row>
    <row r="177" spans="3:37" x14ac:dyDescent="0.2"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24"/>
      <c r="AC177" s="24"/>
      <c r="AD177" s="26"/>
      <c r="AE177" s="26"/>
      <c r="AF177" s="26"/>
      <c r="AG177" s="26"/>
      <c r="AH177" s="26"/>
      <c r="AI177" s="26"/>
      <c r="AJ177" s="26"/>
      <c r="AK177" s="26"/>
    </row>
    <row r="178" spans="3:37" x14ac:dyDescent="0.2"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24"/>
      <c r="AC178" s="24"/>
      <c r="AD178" s="26"/>
      <c r="AE178" s="26"/>
      <c r="AF178" s="26"/>
      <c r="AG178" s="26"/>
      <c r="AH178" s="26"/>
      <c r="AI178" s="26"/>
      <c r="AJ178" s="26"/>
      <c r="AK178" s="26"/>
    </row>
    <row r="179" spans="3:37" x14ac:dyDescent="0.2"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24"/>
      <c r="AC179" s="24"/>
      <c r="AD179" s="26"/>
      <c r="AE179" s="26"/>
      <c r="AF179" s="26"/>
      <c r="AG179" s="26"/>
      <c r="AH179" s="26"/>
      <c r="AI179" s="26"/>
      <c r="AJ179" s="26"/>
      <c r="AK179" s="26"/>
    </row>
    <row r="180" spans="3:37" x14ac:dyDescent="0.2"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24"/>
      <c r="AC180" s="24"/>
      <c r="AD180" s="26"/>
      <c r="AE180" s="26"/>
      <c r="AF180" s="26"/>
      <c r="AG180" s="26"/>
      <c r="AH180" s="26"/>
      <c r="AI180" s="26"/>
      <c r="AJ180" s="26"/>
      <c r="AK180" s="26"/>
    </row>
    <row r="181" spans="3:37" x14ac:dyDescent="0.2"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24"/>
      <c r="AC181" s="24"/>
      <c r="AD181" s="26"/>
      <c r="AE181" s="26"/>
      <c r="AF181" s="26"/>
      <c r="AG181" s="26"/>
      <c r="AH181" s="26"/>
      <c r="AI181" s="26"/>
      <c r="AJ181" s="26"/>
      <c r="AK181" s="26"/>
    </row>
    <row r="182" spans="3:37" x14ac:dyDescent="0.2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24"/>
      <c r="AC182" s="24"/>
      <c r="AD182" s="26"/>
      <c r="AE182" s="26"/>
      <c r="AF182" s="26"/>
      <c r="AG182" s="26"/>
      <c r="AH182" s="26"/>
      <c r="AI182" s="26"/>
      <c r="AJ182" s="26"/>
      <c r="AK182" s="26"/>
    </row>
    <row r="183" spans="3:37" x14ac:dyDescent="0.2"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24"/>
      <c r="AC183" s="24"/>
      <c r="AD183" s="26"/>
      <c r="AE183" s="26"/>
      <c r="AF183" s="26"/>
      <c r="AG183" s="26"/>
      <c r="AH183" s="26"/>
      <c r="AI183" s="26"/>
      <c r="AJ183" s="26"/>
      <c r="AK183" s="26"/>
    </row>
    <row r="184" spans="3:37" x14ac:dyDescent="0.2"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24"/>
      <c r="AC184" s="24"/>
      <c r="AD184" s="26"/>
      <c r="AE184" s="26"/>
      <c r="AF184" s="26"/>
      <c r="AG184" s="26"/>
      <c r="AH184" s="26"/>
      <c r="AI184" s="26"/>
      <c r="AJ184" s="26"/>
      <c r="AK184" s="26"/>
    </row>
    <row r="185" spans="3:37" x14ac:dyDescent="0.2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24"/>
      <c r="AC185" s="24"/>
      <c r="AD185" s="26"/>
      <c r="AE185" s="26"/>
      <c r="AF185" s="26"/>
      <c r="AG185" s="26"/>
      <c r="AH185" s="26"/>
      <c r="AI185" s="26"/>
      <c r="AJ185" s="26"/>
      <c r="AK185" s="26"/>
    </row>
    <row r="186" spans="3:37" x14ac:dyDescent="0.2"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24"/>
      <c r="AC186" s="24"/>
      <c r="AD186" s="26"/>
      <c r="AE186" s="26"/>
      <c r="AF186" s="26"/>
      <c r="AG186" s="26"/>
      <c r="AH186" s="26"/>
      <c r="AI186" s="26"/>
      <c r="AJ186" s="26"/>
      <c r="AK186" s="26"/>
    </row>
    <row r="187" spans="3:37" x14ac:dyDescent="0.2"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24"/>
      <c r="AC187" s="24"/>
      <c r="AD187" s="26"/>
      <c r="AE187" s="26"/>
      <c r="AF187" s="26"/>
      <c r="AG187" s="26"/>
      <c r="AH187" s="26"/>
      <c r="AI187" s="26"/>
      <c r="AJ187" s="26"/>
      <c r="AK187" s="26"/>
    </row>
    <row r="188" spans="3:37" x14ac:dyDescent="0.2"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24"/>
      <c r="AC188" s="24"/>
      <c r="AD188" s="26"/>
      <c r="AE188" s="26"/>
      <c r="AF188" s="26"/>
      <c r="AG188" s="26"/>
      <c r="AH188" s="26"/>
      <c r="AI188" s="26"/>
      <c r="AJ188" s="26"/>
      <c r="AK188" s="26"/>
    </row>
    <row r="189" spans="3:37" x14ac:dyDescent="0.2"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24"/>
      <c r="AC189" s="24"/>
      <c r="AD189" s="26"/>
      <c r="AE189" s="26"/>
      <c r="AF189" s="26"/>
      <c r="AG189" s="26"/>
      <c r="AH189" s="26"/>
      <c r="AI189" s="26"/>
      <c r="AJ189" s="26"/>
      <c r="AK189" s="26"/>
    </row>
    <row r="190" spans="3:37" x14ac:dyDescent="0.2"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24"/>
      <c r="AC190" s="24"/>
      <c r="AD190" s="26"/>
      <c r="AE190" s="26"/>
      <c r="AF190" s="26"/>
      <c r="AG190" s="26"/>
      <c r="AH190" s="26"/>
      <c r="AI190" s="26"/>
      <c r="AJ190" s="26"/>
      <c r="AK190" s="26"/>
    </row>
    <row r="191" spans="3:37" x14ac:dyDescent="0.2"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24"/>
      <c r="AC191" s="24"/>
      <c r="AD191" s="26"/>
      <c r="AE191" s="26"/>
      <c r="AF191" s="26"/>
      <c r="AG191" s="26"/>
      <c r="AH191" s="26"/>
      <c r="AI191" s="26"/>
      <c r="AJ191" s="26"/>
      <c r="AK191" s="26"/>
    </row>
    <row r="192" spans="3:37" x14ac:dyDescent="0.2"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24"/>
      <c r="AC192" s="24"/>
      <c r="AD192" s="26"/>
      <c r="AE192" s="26"/>
      <c r="AF192" s="26"/>
      <c r="AG192" s="26"/>
      <c r="AH192" s="26"/>
      <c r="AI192" s="26"/>
      <c r="AJ192" s="26"/>
      <c r="AK192" s="26"/>
    </row>
    <row r="193" spans="3:37" x14ac:dyDescent="0.2"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24"/>
      <c r="AC193" s="24"/>
      <c r="AD193" s="26"/>
      <c r="AE193" s="26"/>
      <c r="AF193" s="26"/>
      <c r="AG193" s="26"/>
      <c r="AH193" s="26"/>
      <c r="AI193" s="26"/>
      <c r="AJ193" s="26"/>
      <c r="AK193" s="26"/>
    </row>
    <row r="194" spans="3:37" x14ac:dyDescent="0.2"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24"/>
      <c r="AC194" s="24"/>
      <c r="AD194" s="26"/>
      <c r="AE194" s="26"/>
      <c r="AF194" s="26"/>
      <c r="AG194" s="26"/>
      <c r="AH194" s="26"/>
      <c r="AI194" s="26"/>
      <c r="AJ194" s="26"/>
      <c r="AK194" s="26"/>
    </row>
    <row r="195" spans="3:37" x14ac:dyDescent="0.2"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24"/>
      <c r="AC195" s="24"/>
      <c r="AD195" s="26"/>
      <c r="AE195" s="26"/>
      <c r="AF195" s="26"/>
      <c r="AG195" s="26"/>
      <c r="AH195" s="26"/>
      <c r="AI195" s="26"/>
      <c r="AJ195" s="26"/>
      <c r="AK195" s="26"/>
    </row>
    <row r="196" spans="3:37" x14ac:dyDescent="0.2"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24"/>
      <c r="AC196" s="24"/>
      <c r="AD196" s="26"/>
      <c r="AE196" s="26"/>
      <c r="AF196" s="26"/>
      <c r="AG196" s="26"/>
      <c r="AH196" s="26"/>
      <c r="AI196" s="26"/>
      <c r="AJ196" s="26"/>
      <c r="AK196" s="26"/>
    </row>
    <row r="197" spans="3:37" x14ac:dyDescent="0.2"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24"/>
      <c r="AC197" s="24"/>
      <c r="AD197" s="26"/>
      <c r="AE197" s="26"/>
      <c r="AF197" s="26"/>
      <c r="AG197" s="26"/>
      <c r="AH197" s="26"/>
      <c r="AI197" s="26"/>
      <c r="AJ197" s="26"/>
      <c r="AK197" s="26"/>
    </row>
    <row r="198" spans="3:37" x14ac:dyDescent="0.2"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24"/>
      <c r="AC198" s="24"/>
      <c r="AD198" s="26"/>
      <c r="AE198" s="26"/>
      <c r="AF198" s="26"/>
      <c r="AG198" s="26"/>
      <c r="AH198" s="26"/>
      <c r="AI198" s="26"/>
      <c r="AJ198" s="26"/>
      <c r="AK198" s="26"/>
    </row>
    <row r="199" spans="3:37" x14ac:dyDescent="0.2"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24"/>
      <c r="AC199" s="24"/>
      <c r="AD199" s="26"/>
      <c r="AE199" s="26"/>
      <c r="AF199" s="26"/>
      <c r="AG199" s="26"/>
      <c r="AH199" s="26"/>
      <c r="AI199" s="26"/>
      <c r="AJ199" s="26"/>
      <c r="AK199" s="26"/>
    </row>
    <row r="200" spans="3:37" x14ac:dyDescent="0.2"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24"/>
      <c r="AC200" s="24"/>
      <c r="AD200" s="26"/>
      <c r="AE200" s="26"/>
      <c r="AF200" s="26"/>
      <c r="AG200" s="26"/>
      <c r="AH200" s="26"/>
      <c r="AI200" s="26"/>
      <c r="AJ200" s="26"/>
      <c r="AK200" s="26"/>
    </row>
    <row r="201" spans="3:37" x14ac:dyDescent="0.2"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24"/>
      <c r="AC201" s="24"/>
      <c r="AD201" s="26"/>
      <c r="AE201" s="26"/>
      <c r="AF201" s="26"/>
      <c r="AG201" s="26"/>
      <c r="AH201" s="26"/>
      <c r="AI201" s="26"/>
      <c r="AJ201" s="26"/>
      <c r="AK201" s="26"/>
    </row>
    <row r="202" spans="3:37" x14ac:dyDescent="0.2"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24"/>
      <c r="AC202" s="24"/>
      <c r="AD202" s="26"/>
      <c r="AE202" s="26"/>
      <c r="AF202" s="26"/>
      <c r="AG202" s="26"/>
      <c r="AH202" s="26"/>
      <c r="AI202" s="26"/>
      <c r="AJ202" s="26"/>
      <c r="AK202" s="26"/>
    </row>
    <row r="203" spans="3:37" x14ac:dyDescent="0.2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24"/>
      <c r="AC203" s="24"/>
      <c r="AD203" s="26"/>
      <c r="AE203" s="26"/>
      <c r="AF203" s="26"/>
      <c r="AG203" s="26"/>
      <c r="AH203" s="26"/>
      <c r="AI203" s="26"/>
      <c r="AJ203" s="26"/>
      <c r="AK203" s="26"/>
    </row>
    <row r="204" spans="3:37" x14ac:dyDescent="0.2"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24"/>
      <c r="AC204" s="24"/>
      <c r="AD204" s="26"/>
      <c r="AE204" s="26"/>
      <c r="AF204" s="26"/>
      <c r="AG204" s="26"/>
      <c r="AH204" s="26"/>
      <c r="AI204" s="26"/>
      <c r="AJ204" s="26"/>
      <c r="AK204" s="26"/>
    </row>
    <row r="205" spans="3:37" x14ac:dyDescent="0.2"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24"/>
      <c r="AC205" s="24"/>
      <c r="AD205" s="26"/>
      <c r="AE205" s="26"/>
      <c r="AF205" s="26"/>
      <c r="AG205" s="26"/>
      <c r="AH205" s="26"/>
      <c r="AI205" s="26"/>
      <c r="AJ205" s="26"/>
      <c r="AK205" s="26"/>
    </row>
    <row r="206" spans="3:37" x14ac:dyDescent="0.2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24"/>
      <c r="AC206" s="24"/>
      <c r="AD206" s="26"/>
      <c r="AE206" s="26"/>
      <c r="AF206" s="26"/>
      <c r="AG206" s="26"/>
      <c r="AH206" s="26"/>
      <c r="AI206" s="26"/>
      <c r="AJ206" s="26"/>
      <c r="AK206" s="26"/>
    </row>
    <row r="207" spans="3:37" x14ac:dyDescent="0.2"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24"/>
      <c r="AC207" s="24"/>
      <c r="AD207" s="26"/>
      <c r="AE207" s="26"/>
      <c r="AF207" s="26"/>
      <c r="AG207" s="26"/>
      <c r="AH207" s="26"/>
      <c r="AI207" s="26"/>
      <c r="AJ207" s="26"/>
      <c r="AK207" s="26"/>
    </row>
    <row r="208" spans="3:37" x14ac:dyDescent="0.2"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24"/>
      <c r="AC208" s="24"/>
      <c r="AD208" s="26"/>
      <c r="AE208" s="26"/>
      <c r="AF208" s="26"/>
      <c r="AG208" s="26"/>
      <c r="AH208" s="26"/>
      <c r="AI208" s="26"/>
      <c r="AJ208" s="26"/>
      <c r="AK208" s="26"/>
    </row>
    <row r="209" spans="3:37" x14ac:dyDescent="0.2"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24"/>
      <c r="AC209" s="24"/>
      <c r="AD209" s="26"/>
      <c r="AE209" s="26"/>
      <c r="AF209" s="26"/>
      <c r="AG209" s="26"/>
      <c r="AH209" s="26"/>
      <c r="AI209" s="26"/>
      <c r="AJ209" s="26"/>
      <c r="AK209" s="26"/>
    </row>
    <row r="210" spans="3:37" x14ac:dyDescent="0.2"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24"/>
      <c r="AC210" s="24"/>
      <c r="AD210" s="26"/>
      <c r="AE210" s="26"/>
      <c r="AF210" s="26"/>
      <c r="AG210" s="26"/>
      <c r="AH210" s="26"/>
      <c r="AI210" s="26"/>
      <c r="AJ210" s="26"/>
      <c r="AK210" s="26"/>
    </row>
    <row r="211" spans="3:37" x14ac:dyDescent="0.2"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24"/>
      <c r="AC211" s="24"/>
      <c r="AD211" s="26"/>
      <c r="AE211" s="26"/>
      <c r="AF211" s="26"/>
      <c r="AG211" s="26"/>
      <c r="AH211" s="26"/>
      <c r="AI211" s="26"/>
      <c r="AJ211" s="26"/>
      <c r="AK211" s="26"/>
    </row>
    <row r="212" spans="3:37" x14ac:dyDescent="0.2"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24"/>
      <c r="AC212" s="24"/>
      <c r="AD212" s="26"/>
      <c r="AE212" s="26"/>
      <c r="AF212" s="26"/>
      <c r="AG212" s="26"/>
      <c r="AH212" s="26"/>
      <c r="AI212" s="26"/>
      <c r="AJ212" s="26"/>
      <c r="AK212" s="26"/>
    </row>
    <row r="213" spans="3:37" x14ac:dyDescent="0.2"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24"/>
      <c r="AC213" s="24"/>
      <c r="AD213" s="26"/>
      <c r="AE213" s="26"/>
      <c r="AF213" s="26"/>
      <c r="AG213" s="26"/>
      <c r="AH213" s="26"/>
      <c r="AI213" s="26"/>
      <c r="AJ213" s="26"/>
      <c r="AK213" s="26"/>
    </row>
    <row r="214" spans="3:37" x14ac:dyDescent="0.2"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3:37" x14ac:dyDescent="0.2"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</sheetData>
  <hyperlinks>
    <hyperlink ref="A1" location="Main!A1" display="Main" xr:uid="{86F6F4C9-DEF9-4305-9566-806DF50454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2024-06-23T13:37:16Z</dcterms:created>
  <dcterms:modified xsi:type="dcterms:W3CDTF">2026-08-28T09:42:12Z</dcterms:modified>
</cp:coreProperties>
</file>