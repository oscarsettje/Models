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7E629654-F6EA-45D2-BFB6-39499BB7BA81}" xr6:coauthVersionLast="47" xr6:coauthVersionMax="47" xr10:uidLastSave="{00000000-0000-0000-0000-000000000000}"/>
  <bookViews>
    <workbookView xWindow="19095" yWindow="0" windowWidth="19410" windowHeight="20985" xr2:uid="{53BA411E-2A41-4FEC-A342-AE8C41391E2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2" l="1"/>
  <c r="P46" i="2"/>
  <c r="P45" i="2"/>
  <c r="P44" i="2"/>
  <c r="P43" i="2"/>
  <c r="P42" i="2"/>
  <c r="P41" i="2"/>
  <c r="P40" i="2"/>
  <c r="P39" i="2"/>
  <c r="P38" i="2"/>
  <c r="P37" i="2"/>
  <c r="P36" i="2"/>
  <c r="P33" i="2"/>
  <c r="P31" i="2"/>
  <c r="P29" i="2"/>
  <c r="P27" i="2"/>
  <c r="P23" i="2"/>
  <c r="P19" i="2"/>
  <c r="O6" i="2"/>
  <c r="N6" i="2"/>
  <c r="O46" i="2"/>
  <c r="O45" i="2"/>
  <c r="O44" i="2"/>
  <c r="O43" i="2"/>
  <c r="O42" i="2"/>
  <c r="O41" i="2"/>
  <c r="O40" i="2"/>
  <c r="O39" i="2"/>
  <c r="O38" i="2"/>
  <c r="O37" i="2"/>
  <c r="O36" i="2"/>
  <c r="O33" i="2"/>
  <c r="O31" i="2"/>
  <c r="O29" i="2"/>
  <c r="O27" i="2"/>
  <c r="O25" i="2"/>
  <c r="O23" i="2"/>
  <c r="O19" i="2"/>
  <c r="V43" i="2"/>
  <c r="U43" i="2"/>
  <c r="V42" i="2"/>
  <c r="U42" i="2"/>
  <c r="V41" i="2"/>
  <c r="U41" i="2"/>
  <c r="V40" i="2"/>
  <c r="U40" i="2"/>
  <c r="V39" i="2"/>
  <c r="U39" i="2"/>
  <c r="V38" i="2"/>
  <c r="U38" i="2"/>
  <c r="V37" i="2"/>
  <c r="U37" i="2"/>
  <c r="V36" i="2"/>
  <c r="U36" i="2"/>
  <c r="W36" i="2"/>
  <c r="W37" i="2"/>
  <c r="W38" i="2"/>
  <c r="W39" i="2"/>
  <c r="W40" i="2"/>
  <c r="W41" i="2"/>
  <c r="W42" i="2"/>
  <c r="W43" i="2"/>
  <c r="T45" i="2"/>
  <c r="T44" i="2"/>
  <c r="W19" i="2"/>
  <c r="W44" i="2" s="1"/>
  <c r="N43" i="2"/>
  <c r="N42" i="2"/>
  <c r="N41" i="2"/>
  <c r="N40" i="2"/>
  <c r="N39" i="2"/>
  <c r="N38" i="2"/>
  <c r="N37" i="2"/>
  <c r="N36" i="2"/>
  <c r="N19" i="2"/>
  <c r="N23" i="2" s="1"/>
  <c r="M43" i="2"/>
  <c r="M42" i="2"/>
  <c r="M41" i="2"/>
  <c r="M40" i="2"/>
  <c r="M39" i="2"/>
  <c r="M38" i="2"/>
  <c r="M37" i="2"/>
  <c r="M36" i="2"/>
  <c r="M19" i="2"/>
  <c r="M23" i="2" s="1"/>
  <c r="L43" i="2"/>
  <c r="L42" i="2"/>
  <c r="L41" i="2"/>
  <c r="L40" i="2"/>
  <c r="L39" i="2"/>
  <c r="L38" i="2"/>
  <c r="L37" i="2"/>
  <c r="L36" i="2"/>
  <c r="U24" i="2"/>
  <c r="T27" i="2"/>
  <c r="T29" i="2" s="1"/>
  <c r="T31" i="2" s="1"/>
  <c r="T33" i="2" s="1"/>
  <c r="U19" i="2"/>
  <c r="U23" i="2" s="1"/>
  <c r="V19" i="2"/>
  <c r="V23" i="2" s="1"/>
  <c r="V45" i="2" s="1"/>
  <c r="W6" i="2"/>
  <c r="T6" i="2"/>
  <c r="U5" i="2"/>
  <c r="U4" i="2"/>
  <c r="V5" i="2"/>
  <c r="V4" i="2"/>
  <c r="V3" i="2"/>
  <c r="V6" i="2" s="1"/>
  <c r="U3" i="2"/>
  <c r="J6" i="2"/>
  <c r="C6" i="2"/>
  <c r="M6" i="2"/>
  <c r="L6" i="2"/>
  <c r="K6" i="2"/>
  <c r="I6" i="2"/>
  <c r="H6" i="2"/>
  <c r="G6" i="2"/>
  <c r="F6" i="2"/>
  <c r="E6" i="2"/>
  <c r="D6" i="2"/>
  <c r="K43" i="2"/>
  <c r="K42" i="2"/>
  <c r="K41" i="2"/>
  <c r="K40" i="2"/>
  <c r="K39" i="2"/>
  <c r="K38" i="2"/>
  <c r="K37" i="2"/>
  <c r="K36" i="2"/>
  <c r="G24" i="2"/>
  <c r="V24" i="2" s="1"/>
  <c r="K24" i="2"/>
  <c r="L19" i="2"/>
  <c r="L23" i="2" s="1"/>
  <c r="L45" i="2" s="1"/>
  <c r="K19" i="2"/>
  <c r="K23" i="2" s="1"/>
  <c r="K27" i="2" s="1"/>
  <c r="D19" i="2"/>
  <c r="D44" i="2" s="1"/>
  <c r="F19" i="2"/>
  <c r="F44" i="2" s="1"/>
  <c r="J26" i="2"/>
  <c r="J43" i="2"/>
  <c r="J42" i="2"/>
  <c r="J41" i="2"/>
  <c r="J40" i="2"/>
  <c r="H43" i="2"/>
  <c r="G43" i="2"/>
  <c r="H42" i="2"/>
  <c r="G42" i="2"/>
  <c r="H41" i="2"/>
  <c r="G41" i="2"/>
  <c r="H40" i="2"/>
  <c r="G40" i="2"/>
  <c r="I43" i="2"/>
  <c r="I42" i="2"/>
  <c r="I41" i="2"/>
  <c r="I40" i="2"/>
  <c r="J39" i="2"/>
  <c r="J38" i="2"/>
  <c r="J37" i="2"/>
  <c r="J36" i="2"/>
  <c r="H39" i="2"/>
  <c r="G39" i="2"/>
  <c r="H38" i="2"/>
  <c r="G38" i="2"/>
  <c r="H37" i="2"/>
  <c r="G37" i="2"/>
  <c r="H36" i="2"/>
  <c r="G36" i="2"/>
  <c r="I39" i="2"/>
  <c r="I38" i="2"/>
  <c r="I37" i="2"/>
  <c r="I36" i="2"/>
  <c r="J19" i="2"/>
  <c r="J23" i="2" s="1"/>
  <c r="H19" i="2"/>
  <c r="H23" i="2" s="1"/>
  <c r="H27" i="2" s="1"/>
  <c r="H29" i="2" s="1"/>
  <c r="H31" i="2" s="1"/>
  <c r="H33" i="2" s="1"/>
  <c r="G19" i="2"/>
  <c r="G23" i="2" s="1"/>
  <c r="E19" i="2"/>
  <c r="E23" i="2" s="1"/>
  <c r="E27" i="2" s="1"/>
  <c r="E29" i="2" s="1"/>
  <c r="E31" i="2" s="1"/>
  <c r="E33" i="2" s="1"/>
  <c r="C19" i="2"/>
  <c r="C23" i="2" s="1"/>
  <c r="C27" i="2" s="1"/>
  <c r="C29" i="2" s="1"/>
  <c r="C31" i="2" s="1"/>
  <c r="C33" i="2" s="1"/>
  <c r="I19" i="2"/>
  <c r="I23" i="2" s="1"/>
  <c r="I27" i="2" s="1"/>
  <c r="I29" i="2" s="1"/>
  <c r="I31" i="2" s="1"/>
  <c r="I33" i="2" s="1"/>
  <c r="J4" i="1"/>
  <c r="T46" i="2" l="1"/>
  <c r="U44" i="2"/>
  <c r="M27" i="2"/>
  <c r="M29" i="2" s="1"/>
  <c r="M31" i="2" s="1"/>
  <c r="M33" i="2" s="1"/>
  <c r="M45" i="2"/>
  <c r="M44" i="2"/>
  <c r="U6" i="2"/>
  <c r="U27" i="2"/>
  <c r="U46" i="2" s="1"/>
  <c r="U45" i="2"/>
  <c r="N27" i="2"/>
  <c r="N45" i="2"/>
  <c r="W23" i="2"/>
  <c r="N44" i="2"/>
  <c r="L27" i="2"/>
  <c r="V27" i="2"/>
  <c r="V44" i="2"/>
  <c r="L44" i="2"/>
  <c r="U29" i="2"/>
  <c r="U31" i="2" s="1"/>
  <c r="U33" i="2" s="1"/>
  <c r="I45" i="2"/>
  <c r="I46" i="2"/>
  <c r="G44" i="2"/>
  <c r="H44" i="2"/>
  <c r="K44" i="2"/>
  <c r="E46" i="2"/>
  <c r="C46" i="2"/>
  <c r="I44" i="2"/>
  <c r="E45" i="2"/>
  <c r="K45" i="2"/>
  <c r="C45" i="2"/>
  <c r="E44" i="2"/>
  <c r="J27" i="2"/>
  <c r="J29" i="2" s="1"/>
  <c r="J31" i="2" s="1"/>
  <c r="J33" i="2" s="1"/>
  <c r="C44" i="2"/>
  <c r="D23" i="2"/>
  <c r="H45" i="2"/>
  <c r="H46" i="2"/>
  <c r="G27" i="2"/>
  <c r="G29" i="2" s="1"/>
  <c r="G31" i="2" s="1"/>
  <c r="G33" i="2" s="1"/>
  <c r="G45" i="2"/>
  <c r="F23" i="2"/>
  <c r="F45" i="2" s="1"/>
  <c r="J7" i="1"/>
  <c r="J44" i="2"/>
  <c r="J45" i="2"/>
  <c r="M46" i="2" l="1"/>
  <c r="V29" i="2"/>
  <c r="V31" i="2" s="1"/>
  <c r="V33" i="2" s="1"/>
  <c r="V46" i="2"/>
  <c r="L46" i="2"/>
  <c r="L29" i="2"/>
  <c r="L31" i="2" s="1"/>
  <c r="L33" i="2" s="1"/>
  <c r="W45" i="2"/>
  <c r="W27" i="2"/>
  <c r="N29" i="2"/>
  <c r="N31" i="2" s="1"/>
  <c r="N33" i="2" s="1"/>
  <c r="N46" i="2"/>
  <c r="J46" i="2"/>
  <c r="K29" i="2"/>
  <c r="K31" i="2" s="1"/>
  <c r="K33" i="2" s="1"/>
  <c r="K46" i="2"/>
  <c r="D27" i="2"/>
  <c r="D45" i="2"/>
  <c r="G46" i="2"/>
  <c r="F27" i="2"/>
  <c r="F46" i="2" s="1"/>
  <c r="W46" i="2" l="1"/>
  <c r="W29" i="2"/>
  <c r="W31" i="2" s="1"/>
  <c r="W33" i="2" s="1"/>
  <c r="D29" i="2"/>
  <c r="D31" i="2" s="1"/>
  <c r="D33" i="2" s="1"/>
  <c r="D46" i="2"/>
  <c r="F29" i="2"/>
  <c r="F31" i="2" s="1"/>
  <c r="F33" i="2" s="1"/>
</calcChain>
</file>

<file path=xl/sharedStrings.xml><?xml version="1.0" encoding="utf-8"?>
<sst xmlns="http://schemas.openxmlformats.org/spreadsheetml/2006/main" count="77" uniqueCount="72">
  <si>
    <t>Amer Sports</t>
  </si>
  <si>
    <t>AS</t>
  </si>
  <si>
    <t>Price</t>
  </si>
  <si>
    <t>Shares</t>
  </si>
  <si>
    <t>MC</t>
  </si>
  <si>
    <t>Cash</t>
  </si>
  <si>
    <t>Debt</t>
  </si>
  <si>
    <t>EV</t>
  </si>
  <si>
    <t>IR</t>
  </si>
  <si>
    <t>numbers in mio USD</t>
  </si>
  <si>
    <t>Q324</t>
  </si>
  <si>
    <t>Main</t>
  </si>
  <si>
    <t>Q123</t>
  </si>
  <si>
    <t>Q223</t>
  </si>
  <si>
    <t>Q323</t>
  </si>
  <si>
    <t>Q423</t>
  </si>
  <si>
    <t>Q124</t>
  </si>
  <si>
    <t>Q224</t>
  </si>
  <si>
    <t>Q424</t>
  </si>
  <si>
    <t>Revenue</t>
  </si>
  <si>
    <t>COGS</t>
  </si>
  <si>
    <t>Gross Profit</t>
  </si>
  <si>
    <t>SG&amp;A</t>
  </si>
  <si>
    <t>Impairment Losses</t>
  </si>
  <si>
    <t>Finance Income</t>
  </si>
  <si>
    <t>Finance Cost</t>
  </si>
  <si>
    <t>Extinguishment of Debt</t>
  </si>
  <si>
    <t>Pretax Income</t>
  </si>
  <si>
    <t>Tax Expense</t>
  </si>
  <si>
    <t>Net Income</t>
  </si>
  <si>
    <t>EPS</t>
  </si>
  <si>
    <t>Other Income</t>
  </si>
  <si>
    <t>Operating Income</t>
  </si>
  <si>
    <t>Non Controlling Interest</t>
  </si>
  <si>
    <t>Net Income to Company</t>
  </si>
  <si>
    <t>AMEA</t>
  </si>
  <si>
    <t>America</t>
  </si>
  <si>
    <t>Greater China</t>
  </si>
  <si>
    <t>Asia Pacific</t>
  </si>
  <si>
    <t>Whole Sale</t>
  </si>
  <si>
    <t>DTC</t>
  </si>
  <si>
    <t>Technical Appereal</t>
  </si>
  <si>
    <t>Outdoor Performance</t>
  </si>
  <si>
    <t>Ball &amp; Racquet Sports</t>
  </si>
  <si>
    <t>EMEA Growth</t>
  </si>
  <si>
    <t>America Growth</t>
  </si>
  <si>
    <t>Greater China Growth</t>
  </si>
  <si>
    <t>Asia Pacific Growth</t>
  </si>
  <si>
    <t>Appereal Growth</t>
  </si>
  <si>
    <t>Outdoor Performance Growth</t>
  </si>
  <si>
    <t>Sports Growth</t>
  </si>
  <si>
    <t>Revenue Growth</t>
  </si>
  <si>
    <t xml:space="preserve">Gross Margin </t>
  </si>
  <si>
    <t xml:space="preserve">Operating Margin </t>
  </si>
  <si>
    <t>Tax Rate</t>
  </si>
  <si>
    <t>Brands:</t>
  </si>
  <si>
    <t>Arcitirex</t>
  </si>
  <si>
    <t>Q125</t>
  </si>
  <si>
    <t>Q225</t>
  </si>
  <si>
    <t>Q325</t>
  </si>
  <si>
    <t>Q425</t>
  </si>
  <si>
    <t>Technical Apparel</t>
  </si>
  <si>
    <t>Ball and Racquet</t>
  </si>
  <si>
    <t>Total Stores</t>
  </si>
  <si>
    <t>FY23</t>
  </si>
  <si>
    <t>FY22</t>
  </si>
  <si>
    <t>FY24</t>
  </si>
  <si>
    <t>FY25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</si>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</sst>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;\(#,##0.0\)"/>
    <numFmt numFmtId="166" formatCode="#,##0.00;\(#,##0.00\)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8" fillId="0" borderId="0" xfId="2" applyFont="1"/>
    <xf numFmtId="0" fontId="4" fillId="0" borderId="0" xfId="0" applyFont="1"/>
    <xf numFmtId="0" fontId="4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165" fontId="4" fillId="0" borderId="0" xfId="0" applyNumberFormat="1" applyFont="1"/>
    <xf numFmtId="164" fontId="4" fillId="0" borderId="0" xfId="0" applyNumberFormat="1" applyFont="1"/>
    <xf numFmtId="165" fontId="7" fillId="0" borderId="0" xfId="0" applyNumberFormat="1" applyFont="1"/>
    <xf numFmtId="166" fontId="4" fillId="0" borderId="0" xfId="0" applyNumberFormat="1" applyFont="1"/>
    <xf numFmtId="9" fontId="4" fillId="0" borderId="0" xfId="1" applyFont="1"/>
    <xf numFmtId="164" fontId="7" fillId="0" borderId="0" xfId="0" applyNumberFormat="1" applyFont="1"/>
    <xf numFmtId="9" fontId="7" fillId="0" borderId="0" xfId="1" applyFont="1"/>
    <xf numFmtId="9" fontId="3" fillId="0" borderId="0" xfId="1" applyFont="1"/>
    <xf numFmtId="0" fontId="2" fillId="0" borderId="0" xfId="0" applyFont="1" applyAlignment="1">
      <alignment horizontal="right"/>
    </xf>
    <xf numFmtId="165" fontId="2" fillId="0" borderId="0" xfId="0" applyNumberFormat="1" applyFont="1"/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ors.amersports.com/home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D558-1695-45E0-85FC-8A38EE29A2D5}">
  <dimension ref="A1:K14"/>
  <sheetViews>
    <sheetView tabSelected="1" topLeftCell="C1" zoomScale="200" zoomScaleNormal="200" workbookViewId="0">
      <selection activeCell="J7" sqref="J7"/>
    </sheetView>
  </sheetViews>
  <sheetFormatPr defaultRowHeight="12.75" x14ac:dyDescent="0.2"/>
  <cols>
    <col min="1" max="1" width="4.28515625" style="2" customWidth="1"/>
    <col min="2" max="16384" width="9.140625" style="2"/>
  </cols>
  <sheetData>
    <row r="1" spans="1:11" x14ac:dyDescent="0.2">
      <c r="A1" s="4" t="s">
        <v>0</v>
      </c>
    </row>
    <row r="2" spans="1:11" x14ac:dyDescent="0.2">
      <c r="A2" s="2" t="s">
        <v>9</v>
      </c>
      <c r="I2" s="2" t="s">
        <v>2</v>
      </c>
      <c r="J2" s="2">
        <v>33.79</v>
      </c>
    </row>
    <row r="3" spans="1:11" x14ac:dyDescent="0.2">
      <c r="I3" s="2" t="s">
        <v>3</v>
      </c>
      <c r="J3" s="6">
        <v>582.57713699999999</v>
      </c>
      <c r="K3" s="16" t="s">
        <v>69</v>
      </c>
    </row>
    <row r="4" spans="1:11" x14ac:dyDescent="0.2">
      <c r="B4" s="2" t="s">
        <v>1</v>
      </c>
      <c r="I4" s="2" t="s">
        <v>4</v>
      </c>
      <c r="J4" s="7">
        <f>+J2*J3</f>
        <v>19685.281459229998</v>
      </c>
    </row>
    <row r="5" spans="1:11" x14ac:dyDescent="0.2">
      <c r="B5" s="1" t="s">
        <v>8</v>
      </c>
      <c r="I5" s="2" t="s">
        <v>5</v>
      </c>
      <c r="J5" s="7">
        <v>720.4</v>
      </c>
      <c r="K5" s="16" t="s">
        <v>69</v>
      </c>
    </row>
    <row r="6" spans="1:11" x14ac:dyDescent="0.2">
      <c r="I6" s="2" t="s">
        <v>6</v>
      </c>
      <c r="J6" s="7">
        <v>147.4</v>
      </c>
      <c r="K6" s="16" t="s">
        <v>69</v>
      </c>
    </row>
    <row r="7" spans="1:11" x14ac:dyDescent="0.2">
      <c r="I7" s="2" t="s">
        <v>7</v>
      </c>
      <c r="J7" s="7">
        <f>+J4-J5+J6</f>
        <v>19112.281459229998</v>
      </c>
    </row>
    <row r="13" spans="1:11" x14ac:dyDescent="0.2">
      <c r="B13" s="2" t="s">
        <v>55</v>
      </c>
    </row>
    <row r="14" spans="1:11" x14ac:dyDescent="0.2">
      <c r="B14" s="2" t="s">
        <v>56</v>
      </c>
    </row>
  </sheetData>
  <hyperlinks>
    <hyperlink ref="B5" r:id="rId1" xr:uid="{79672040-B71B-4918-A2C9-EF55530247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0E52E-A4D2-4CB7-BF9B-AFB47E0B1996}">
  <dimension ref="A1:AT252"/>
  <sheetViews>
    <sheetView zoomScale="200" zoomScaleNormal="20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P1" sqref="P1"/>
    </sheetView>
  </sheetViews>
  <sheetFormatPr defaultRowHeight="12.75" x14ac:dyDescent="0.2"/>
  <cols>
    <col min="1" max="1" width="5.42578125" style="2" bestFit="1" customWidth="1"/>
    <col min="2" max="2" width="31.140625" style="2" customWidth="1"/>
    <col min="3" max="16384" width="9.140625" style="2"/>
  </cols>
  <sheetData>
    <row r="1" spans="1:46" x14ac:dyDescent="0.2">
      <c r="A1" s="1" t="s">
        <v>11</v>
      </c>
    </row>
    <row r="2" spans="1:46" x14ac:dyDescent="0.2"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10</v>
      </c>
      <c r="J2" s="3" t="s">
        <v>18</v>
      </c>
      <c r="K2" s="3" t="s">
        <v>57</v>
      </c>
      <c r="L2" s="3" t="s">
        <v>58</v>
      </c>
      <c r="M2" s="3" t="s">
        <v>59</v>
      </c>
      <c r="N2" s="3" t="s">
        <v>60</v>
      </c>
      <c r="O2" s="14" t="s">
        <v>68</v>
      </c>
      <c r="P2" s="14" t="s">
        <v>69</v>
      </c>
      <c r="Q2" s="14" t="s">
        <v>70</v>
      </c>
      <c r="R2" s="14" t="s">
        <v>71</v>
      </c>
      <c r="T2" s="3" t="s">
        <v>65</v>
      </c>
      <c r="U2" s="3" t="s">
        <v>64</v>
      </c>
      <c r="V2" s="3" t="s">
        <v>66</v>
      </c>
      <c r="W2" s="3" t="s">
        <v>67</v>
      </c>
    </row>
    <row r="3" spans="1:46" x14ac:dyDescent="0.2">
      <c r="B3" s="2" t="s">
        <v>61</v>
      </c>
      <c r="C3" s="3">
        <v>130</v>
      </c>
      <c r="D3" s="3">
        <v>174</v>
      </c>
      <c r="E3" s="3">
        <v>179</v>
      </c>
      <c r="F3" s="3">
        <v>187</v>
      </c>
      <c r="G3" s="3">
        <v>190</v>
      </c>
      <c r="H3" s="3">
        <v>203</v>
      </c>
      <c r="I3" s="3">
        <v>212</v>
      </c>
      <c r="J3" s="3">
        <v>223</v>
      </c>
      <c r="K3" s="3">
        <v>220</v>
      </c>
      <c r="L3" s="3">
        <v>227</v>
      </c>
      <c r="M3" s="3">
        <v>275</v>
      </c>
      <c r="N3" s="2">
        <v>288</v>
      </c>
      <c r="O3" s="3">
        <v>297</v>
      </c>
      <c r="P3" s="3">
        <v>305</v>
      </c>
      <c r="Q3" s="3"/>
      <c r="R3" s="3"/>
      <c r="U3" s="2">
        <f>+F3</f>
        <v>187</v>
      </c>
      <c r="V3" s="2">
        <f>+J3</f>
        <v>223</v>
      </c>
      <c r="W3" s="2">
        <v>288</v>
      </c>
    </row>
    <row r="4" spans="1:46" x14ac:dyDescent="0.2">
      <c r="B4" s="2" t="s">
        <v>42</v>
      </c>
      <c r="C4" s="3">
        <v>41</v>
      </c>
      <c r="D4" s="3">
        <v>113</v>
      </c>
      <c r="E4" s="3">
        <v>116</v>
      </c>
      <c r="F4" s="3">
        <v>126</v>
      </c>
      <c r="G4" s="3">
        <v>139</v>
      </c>
      <c r="H4" s="3">
        <v>162</v>
      </c>
      <c r="I4" s="3">
        <v>196</v>
      </c>
      <c r="J4" s="3">
        <v>229</v>
      </c>
      <c r="K4" s="3">
        <v>243</v>
      </c>
      <c r="L4" s="3">
        <v>256</v>
      </c>
      <c r="M4" s="3">
        <v>285</v>
      </c>
      <c r="N4" s="2">
        <v>331</v>
      </c>
      <c r="O4" s="3">
        <v>340</v>
      </c>
      <c r="P4" s="3">
        <v>355</v>
      </c>
      <c r="Q4" s="3"/>
      <c r="R4" s="3"/>
      <c r="U4" s="2">
        <f t="shared" ref="U4:U5" si="0">+F4</f>
        <v>126</v>
      </c>
      <c r="V4" s="2">
        <f t="shared" ref="V4:V5" si="1">+J4</f>
        <v>229</v>
      </c>
      <c r="W4" s="2">
        <v>331</v>
      </c>
    </row>
    <row r="5" spans="1:46" x14ac:dyDescent="0.2">
      <c r="B5" s="2" t="s">
        <v>62</v>
      </c>
      <c r="C5" s="3">
        <v>0</v>
      </c>
      <c r="D5" s="3">
        <v>12</v>
      </c>
      <c r="E5" s="3">
        <v>6</v>
      </c>
      <c r="F5" s="3">
        <v>12</v>
      </c>
      <c r="G5" s="3">
        <v>19</v>
      </c>
      <c r="H5" s="3">
        <v>26</v>
      </c>
      <c r="I5" s="3">
        <v>45</v>
      </c>
      <c r="J5" s="3">
        <v>53</v>
      </c>
      <c r="K5" s="3">
        <v>55</v>
      </c>
      <c r="L5" s="3">
        <v>63</v>
      </c>
      <c r="M5" s="3">
        <v>71</v>
      </c>
      <c r="N5" s="2">
        <v>84</v>
      </c>
      <c r="O5" s="3">
        <v>85</v>
      </c>
      <c r="P5" s="3">
        <v>97</v>
      </c>
      <c r="Q5" s="3"/>
      <c r="R5" s="3"/>
      <c r="U5" s="2">
        <f t="shared" si="0"/>
        <v>12</v>
      </c>
      <c r="V5" s="2">
        <f t="shared" si="1"/>
        <v>53</v>
      </c>
      <c r="W5" s="2">
        <v>84</v>
      </c>
    </row>
    <row r="6" spans="1:46" x14ac:dyDescent="0.2">
      <c r="B6" s="4" t="s">
        <v>63</v>
      </c>
      <c r="C6" s="5">
        <f t="shared" ref="C6" si="2">+SUM(C3:C5)</f>
        <v>171</v>
      </c>
      <c r="D6" s="5">
        <f>+SUM(D3:D5)</f>
        <v>299</v>
      </c>
      <c r="E6" s="5">
        <f t="shared" ref="E6:P6" si="3">+SUM(E3:E5)</f>
        <v>301</v>
      </c>
      <c r="F6" s="5">
        <f t="shared" si="3"/>
        <v>325</v>
      </c>
      <c r="G6" s="5">
        <f t="shared" si="3"/>
        <v>348</v>
      </c>
      <c r="H6" s="5">
        <f t="shared" si="3"/>
        <v>391</v>
      </c>
      <c r="I6" s="5">
        <f t="shared" si="3"/>
        <v>453</v>
      </c>
      <c r="J6" s="5">
        <f>+SUM(J3:J5)</f>
        <v>505</v>
      </c>
      <c r="K6" s="5">
        <f t="shared" si="3"/>
        <v>518</v>
      </c>
      <c r="L6" s="5">
        <f t="shared" si="3"/>
        <v>546</v>
      </c>
      <c r="M6" s="5">
        <f t="shared" si="3"/>
        <v>631</v>
      </c>
      <c r="N6" s="5">
        <f t="shared" si="3"/>
        <v>703</v>
      </c>
      <c r="O6" s="5">
        <f t="shared" si="3"/>
        <v>722</v>
      </c>
      <c r="P6" s="5">
        <f t="shared" si="3"/>
        <v>757</v>
      </c>
      <c r="Q6" s="3"/>
      <c r="R6" s="3"/>
      <c r="T6" s="4">
        <f t="shared" ref="T6:U6" si="4">+SUM(T3:T5)</f>
        <v>0</v>
      </c>
      <c r="U6" s="4">
        <f t="shared" si="4"/>
        <v>325</v>
      </c>
      <c r="V6" s="4">
        <f>+SUM(V3:V5)</f>
        <v>505</v>
      </c>
      <c r="W6" s="4">
        <f>+SUM(W3:W5)</f>
        <v>703</v>
      </c>
    </row>
    <row r="7" spans="1:46" x14ac:dyDescent="0.2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46" x14ac:dyDescent="0.2">
      <c r="B8" s="2" t="s">
        <v>35</v>
      </c>
      <c r="C8" s="6">
        <v>357</v>
      </c>
      <c r="D8" s="6">
        <v>230</v>
      </c>
      <c r="E8" s="6">
        <v>413</v>
      </c>
      <c r="F8" s="6">
        <v>507.9</v>
      </c>
      <c r="G8" s="6">
        <v>360.6</v>
      </c>
      <c r="H8" s="6">
        <v>232</v>
      </c>
      <c r="I8" s="6">
        <v>429</v>
      </c>
      <c r="J8" s="6">
        <v>584.4</v>
      </c>
      <c r="K8" s="6">
        <v>404.9</v>
      </c>
      <c r="L8" s="6">
        <v>276.2</v>
      </c>
      <c r="M8" s="6">
        <v>528.5</v>
      </c>
      <c r="N8" s="6">
        <v>596.20000000000005</v>
      </c>
      <c r="O8" s="6">
        <v>644.5</v>
      </c>
      <c r="P8" s="6">
        <v>332.3</v>
      </c>
      <c r="Q8" s="6"/>
      <c r="R8" s="6"/>
      <c r="S8" s="6"/>
      <c r="T8" s="6"/>
      <c r="U8" s="6">
        <v>1507.9</v>
      </c>
      <c r="V8" s="6">
        <v>1606</v>
      </c>
      <c r="W8" s="6">
        <v>1805.8</v>
      </c>
      <c r="X8" s="6"/>
      <c r="Y8" s="6"/>
      <c r="Z8" s="6"/>
      <c r="AA8" s="6"/>
      <c r="AB8" s="6"/>
      <c r="AC8" s="6"/>
      <c r="AD8" s="6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1:46" x14ac:dyDescent="0.2">
      <c r="B9" s="2" t="s">
        <v>36</v>
      </c>
      <c r="C9" s="6">
        <v>410</v>
      </c>
      <c r="D9" s="6">
        <v>366</v>
      </c>
      <c r="E9" s="6">
        <v>455</v>
      </c>
      <c r="F9" s="6">
        <v>454.6</v>
      </c>
      <c r="G9" s="6">
        <v>414.9</v>
      </c>
      <c r="H9" s="6">
        <v>368</v>
      </c>
      <c r="I9" s="6">
        <v>488</v>
      </c>
      <c r="J9" s="6">
        <v>491.2</v>
      </c>
      <c r="K9" s="6">
        <v>464.7</v>
      </c>
      <c r="L9" s="6">
        <v>395.4</v>
      </c>
      <c r="M9" s="6">
        <v>574.20000000000005</v>
      </c>
      <c r="N9" s="6">
        <v>691.3</v>
      </c>
      <c r="O9" s="6">
        <v>548.79999999999995</v>
      </c>
      <c r="P9" s="6">
        <v>496.7</v>
      </c>
      <c r="Q9" s="6"/>
      <c r="R9" s="6"/>
      <c r="S9" s="6"/>
      <c r="T9" s="6"/>
      <c r="U9" s="6">
        <v>1685.6</v>
      </c>
      <c r="V9" s="6">
        <v>1762.1000000000001</v>
      </c>
      <c r="W9" s="6">
        <v>2125.6</v>
      </c>
      <c r="X9" s="6"/>
      <c r="Y9" s="6"/>
      <c r="Z9" s="6"/>
      <c r="AA9" s="6"/>
      <c r="AB9" s="6"/>
      <c r="AC9" s="6"/>
      <c r="AD9" s="6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</row>
    <row r="10" spans="1:46" x14ac:dyDescent="0.2">
      <c r="B10" s="2" t="s">
        <v>37</v>
      </c>
      <c r="C10" s="6">
        <v>205</v>
      </c>
      <c r="D10" s="6">
        <v>188</v>
      </c>
      <c r="E10" s="6">
        <v>200</v>
      </c>
      <c r="F10" s="6">
        <v>249.5</v>
      </c>
      <c r="G10" s="6">
        <v>311.60000000000002</v>
      </c>
      <c r="H10" s="6">
        <v>289</v>
      </c>
      <c r="I10" s="6">
        <v>313</v>
      </c>
      <c r="J10" s="6">
        <v>383.9</v>
      </c>
      <c r="K10" s="6">
        <v>446</v>
      </c>
      <c r="L10" s="6">
        <v>410.2</v>
      </c>
      <c r="M10" s="6">
        <v>461.5</v>
      </c>
      <c r="N10" s="6">
        <v>544.20000000000005</v>
      </c>
      <c r="O10" s="6">
        <v>512.79999999999995</v>
      </c>
      <c r="P10" s="6">
        <v>556</v>
      </c>
      <c r="Q10" s="6"/>
      <c r="R10" s="6"/>
      <c r="S10" s="6"/>
      <c r="T10" s="6"/>
      <c r="U10" s="6">
        <v>842.5</v>
      </c>
      <c r="V10" s="6">
        <v>1297.5</v>
      </c>
      <c r="W10" s="6">
        <v>1861.9</v>
      </c>
      <c r="X10" s="6"/>
      <c r="Y10" s="6"/>
      <c r="Z10" s="6"/>
      <c r="AA10" s="6"/>
      <c r="AB10" s="6"/>
      <c r="AC10" s="6"/>
      <c r="AD10" s="6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</row>
    <row r="11" spans="1:46" x14ac:dyDescent="0.2">
      <c r="B11" s="2" t="s">
        <v>38</v>
      </c>
      <c r="C11" s="6">
        <v>78</v>
      </c>
      <c r="D11" s="6">
        <v>73</v>
      </c>
      <c r="E11" s="6">
        <v>85</v>
      </c>
      <c r="F11" s="6">
        <v>115.5</v>
      </c>
      <c r="G11" s="6">
        <v>105.4</v>
      </c>
      <c r="H11" s="6">
        <v>106</v>
      </c>
      <c r="I11" s="6">
        <v>125</v>
      </c>
      <c r="J11" s="6">
        <v>176</v>
      </c>
      <c r="K11" s="6">
        <v>156.9</v>
      </c>
      <c r="L11" s="6">
        <v>154.5</v>
      </c>
      <c r="M11" s="6">
        <v>192.1</v>
      </c>
      <c r="N11" s="6">
        <v>269.39999999999998</v>
      </c>
      <c r="O11" s="6">
        <v>239.4</v>
      </c>
      <c r="P11" s="6">
        <v>247.6</v>
      </c>
      <c r="Q11" s="6"/>
      <c r="R11" s="6"/>
      <c r="S11" s="6"/>
      <c r="T11" s="6"/>
      <c r="U11" s="6">
        <v>351.5</v>
      </c>
      <c r="V11" s="6">
        <v>512.4</v>
      </c>
      <c r="W11" s="6">
        <v>772.9</v>
      </c>
      <c r="X11" s="6"/>
      <c r="Y11" s="6"/>
      <c r="Z11" s="6"/>
      <c r="AA11" s="6"/>
      <c r="AB11" s="6"/>
      <c r="AC11" s="6"/>
      <c r="AD11" s="6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</row>
    <row r="12" spans="1:46" x14ac:dyDescent="0.2">
      <c r="B12" s="2" t="s">
        <v>39</v>
      </c>
      <c r="C12" s="6">
        <v>703</v>
      </c>
      <c r="D12" s="6">
        <v>536</v>
      </c>
      <c r="E12" s="6">
        <v>812</v>
      </c>
      <c r="F12" s="6">
        <v>758.5</v>
      </c>
      <c r="G12" s="6">
        <v>694.7</v>
      </c>
      <c r="H12" s="6">
        <v>545</v>
      </c>
      <c r="I12" s="6">
        <v>874</v>
      </c>
      <c r="J12" s="6">
        <v>802.7</v>
      </c>
      <c r="K12" s="6">
        <v>779.9</v>
      </c>
      <c r="L12" s="6">
        <v>595.4</v>
      </c>
      <c r="M12" s="6">
        <v>1033.8</v>
      </c>
      <c r="N12" s="6">
        <v>948.4</v>
      </c>
      <c r="O12" s="6">
        <v>944</v>
      </c>
      <c r="P12" s="6">
        <v>735.8</v>
      </c>
      <c r="Q12" s="6"/>
      <c r="R12" s="6"/>
      <c r="S12" s="6"/>
      <c r="T12" s="6"/>
      <c r="U12" s="6">
        <v>2809.5</v>
      </c>
      <c r="V12" s="6">
        <v>2916.3999999999996</v>
      </c>
      <c r="W12" s="6">
        <v>3357.5</v>
      </c>
      <c r="X12" s="6"/>
      <c r="Y12" s="6"/>
      <c r="Z12" s="6"/>
      <c r="AA12" s="6"/>
      <c r="AB12" s="6"/>
      <c r="AC12" s="6"/>
      <c r="AD12" s="6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</row>
    <row r="13" spans="1:46" x14ac:dyDescent="0.2">
      <c r="B13" s="2" t="s">
        <v>40</v>
      </c>
      <c r="C13" s="6">
        <v>347</v>
      </c>
      <c r="D13" s="6">
        <v>321</v>
      </c>
      <c r="E13" s="6">
        <v>341</v>
      </c>
      <c r="F13" s="6">
        <v>569</v>
      </c>
      <c r="G13" s="6">
        <v>497.8</v>
      </c>
      <c r="H13" s="6">
        <v>449</v>
      </c>
      <c r="I13" s="6">
        <v>480</v>
      </c>
      <c r="J13" s="6">
        <v>832.8</v>
      </c>
      <c r="K13" s="6">
        <v>692.6</v>
      </c>
      <c r="L13" s="6">
        <v>640.9</v>
      </c>
      <c r="M13" s="6">
        <v>722.5</v>
      </c>
      <c r="N13" s="6">
        <v>1152.7</v>
      </c>
      <c r="O13" s="15">
        <v>1001.5</v>
      </c>
      <c r="P13" s="6">
        <v>896.8</v>
      </c>
      <c r="Q13" s="6"/>
      <c r="R13" s="6"/>
      <c r="S13" s="6"/>
      <c r="T13" s="6"/>
      <c r="U13" s="6">
        <v>1578</v>
      </c>
      <c r="V13" s="6">
        <v>2259.6</v>
      </c>
      <c r="W13" s="6">
        <v>3208.7</v>
      </c>
      <c r="X13" s="6"/>
      <c r="Y13" s="6"/>
      <c r="Z13" s="6"/>
      <c r="AA13" s="6"/>
      <c r="AB13" s="6"/>
      <c r="AC13" s="6"/>
      <c r="AD13" s="6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</row>
    <row r="14" spans="1:46" x14ac:dyDescent="0.2">
      <c r="B14" s="2" t="s">
        <v>41</v>
      </c>
      <c r="C14" s="6">
        <v>355</v>
      </c>
      <c r="D14" s="6">
        <v>303</v>
      </c>
      <c r="E14" s="6">
        <v>389</v>
      </c>
      <c r="F14" s="6">
        <v>559.4</v>
      </c>
      <c r="G14" s="6">
        <v>517.1</v>
      </c>
      <c r="H14" s="6">
        <v>407</v>
      </c>
      <c r="I14" s="6">
        <v>520</v>
      </c>
      <c r="J14" s="6">
        <v>745</v>
      </c>
      <c r="K14" s="6">
        <v>663.8</v>
      </c>
      <c r="L14" s="6">
        <v>508.9</v>
      </c>
      <c r="M14" s="6">
        <v>683.3</v>
      </c>
      <c r="N14" s="6">
        <v>999.8</v>
      </c>
      <c r="O14" s="6">
        <v>885</v>
      </c>
      <c r="P14" s="6">
        <v>674.2</v>
      </c>
      <c r="Q14" s="6"/>
      <c r="R14" s="6"/>
      <c r="S14" s="6"/>
      <c r="T14" s="6"/>
      <c r="U14" s="6">
        <v>1606.4</v>
      </c>
      <c r="V14" s="6">
        <v>2189.1</v>
      </c>
      <c r="W14" s="6">
        <v>2855.8</v>
      </c>
      <c r="X14" s="6"/>
      <c r="Y14" s="6"/>
      <c r="Z14" s="6"/>
      <c r="AA14" s="6"/>
      <c r="AB14" s="6"/>
      <c r="AC14" s="6"/>
      <c r="AD14" s="6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spans="1:46" x14ac:dyDescent="0.2">
      <c r="B15" s="2" t="s">
        <v>42</v>
      </c>
      <c r="C15" s="6">
        <v>377</v>
      </c>
      <c r="D15" s="6">
        <v>274</v>
      </c>
      <c r="E15" s="6">
        <v>495</v>
      </c>
      <c r="F15" s="6">
        <v>525.6</v>
      </c>
      <c r="G15" s="6">
        <v>401.8</v>
      </c>
      <c r="H15" s="6">
        <v>304</v>
      </c>
      <c r="I15" s="6">
        <v>534</v>
      </c>
      <c r="J15" s="6">
        <v>594.29999999999995</v>
      </c>
      <c r="K15" s="6">
        <v>502.4</v>
      </c>
      <c r="L15" s="6">
        <v>413.7</v>
      </c>
      <c r="M15" s="6">
        <v>723.5</v>
      </c>
      <c r="N15" s="6">
        <v>764.1</v>
      </c>
      <c r="O15" s="6">
        <v>713.6</v>
      </c>
      <c r="P15" s="6">
        <v>568.5</v>
      </c>
      <c r="Q15" s="6"/>
      <c r="R15" s="6"/>
      <c r="S15" s="6"/>
      <c r="T15" s="6"/>
      <c r="U15" s="6">
        <v>1671.6</v>
      </c>
      <c r="V15" s="6">
        <v>1834.1</v>
      </c>
      <c r="W15" s="6">
        <v>2403.6999999999998</v>
      </c>
      <c r="X15" s="6"/>
      <c r="Y15" s="6"/>
      <c r="Z15" s="6"/>
      <c r="AA15" s="6"/>
      <c r="AB15" s="6"/>
      <c r="AC15" s="6"/>
      <c r="AD15" s="6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</row>
    <row r="16" spans="1:46" x14ac:dyDescent="0.2">
      <c r="B16" s="2" t="s">
        <v>43</v>
      </c>
      <c r="C16" s="6">
        <v>318</v>
      </c>
      <c r="D16" s="6">
        <v>280</v>
      </c>
      <c r="E16" s="6">
        <v>270</v>
      </c>
      <c r="F16" s="6">
        <v>242.5</v>
      </c>
      <c r="G16" s="6">
        <v>273.60000000000002</v>
      </c>
      <c r="H16" s="6">
        <v>283</v>
      </c>
      <c r="I16" s="6">
        <v>200</v>
      </c>
      <c r="J16" s="6">
        <v>296.2</v>
      </c>
      <c r="K16" s="6">
        <v>306.3</v>
      </c>
      <c r="L16" s="6">
        <v>313.7</v>
      </c>
      <c r="M16" s="6">
        <v>349.5</v>
      </c>
      <c r="N16" s="6">
        <v>337.2</v>
      </c>
      <c r="O16" s="6">
        <v>346.9</v>
      </c>
      <c r="P16" s="6">
        <v>389.9</v>
      </c>
      <c r="Q16" s="6"/>
      <c r="R16" s="6"/>
      <c r="S16" s="6"/>
      <c r="T16" s="6"/>
      <c r="U16" s="6">
        <v>1110.5</v>
      </c>
      <c r="V16" s="6">
        <v>1052.8</v>
      </c>
      <c r="W16" s="6">
        <v>1306.7</v>
      </c>
      <c r="X16" s="6"/>
      <c r="Y16" s="6"/>
      <c r="Z16" s="6"/>
      <c r="AA16" s="6"/>
      <c r="AB16" s="6"/>
      <c r="AC16" s="6"/>
      <c r="AD16" s="6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</row>
    <row r="17" spans="2:44" x14ac:dyDescent="0.2">
      <c r="B17" s="4" t="s">
        <v>19</v>
      </c>
      <c r="C17" s="8">
        <v>1050.3</v>
      </c>
      <c r="D17" s="8">
        <v>856.8</v>
      </c>
      <c r="E17" s="8">
        <v>1153.0999999999999</v>
      </c>
      <c r="F17" s="8">
        <v>1327.5</v>
      </c>
      <c r="G17" s="8">
        <v>1192.5</v>
      </c>
      <c r="H17" s="8">
        <v>993.8</v>
      </c>
      <c r="I17" s="8">
        <v>1353.8</v>
      </c>
      <c r="J17" s="8">
        <v>1635.5</v>
      </c>
      <c r="K17" s="8">
        <v>1472.5</v>
      </c>
      <c r="L17" s="8">
        <v>1236.3</v>
      </c>
      <c r="M17" s="8">
        <v>1756.3</v>
      </c>
      <c r="N17" s="8">
        <v>2101.1</v>
      </c>
      <c r="O17" s="8">
        <v>1945.5</v>
      </c>
      <c r="P17" s="8">
        <v>1632.6</v>
      </c>
      <c r="Q17" s="8"/>
      <c r="R17" s="8"/>
      <c r="S17" s="8"/>
      <c r="T17" s="8"/>
      <c r="U17" s="8">
        <v>4387.7</v>
      </c>
      <c r="V17" s="8">
        <v>5175.6000000000004</v>
      </c>
      <c r="W17" s="8">
        <v>6566.2</v>
      </c>
      <c r="X17" s="6"/>
      <c r="Y17" s="6"/>
      <c r="Z17" s="6"/>
      <c r="AA17" s="6"/>
      <c r="AB17" s="6"/>
      <c r="AC17" s="6"/>
      <c r="AD17" s="6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</row>
    <row r="18" spans="2:44" x14ac:dyDescent="0.2">
      <c r="B18" s="2" t="s">
        <v>20</v>
      </c>
      <c r="C18" s="6">
        <v>495.4</v>
      </c>
      <c r="D18" s="6">
        <v>400.2</v>
      </c>
      <c r="E18" s="6">
        <v>564.9</v>
      </c>
      <c r="F18" s="6">
        <v>631.79999999999995</v>
      </c>
      <c r="G18" s="6">
        <v>544.4</v>
      </c>
      <c r="H18" s="6">
        <v>442.5</v>
      </c>
      <c r="I18" s="6">
        <v>606.5</v>
      </c>
      <c r="J18" s="6">
        <v>718</v>
      </c>
      <c r="K18" s="6">
        <v>621.4</v>
      </c>
      <c r="L18" s="6">
        <v>513.4</v>
      </c>
      <c r="M18" s="6">
        <v>758.1</v>
      </c>
      <c r="N18" s="6">
        <v>889</v>
      </c>
      <c r="O18" s="6">
        <v>780.1</v>
      </c>
      <c r="P18" s="6">
        <v>561</v>
      </c>
      <c r="Q18" s="6"/>
      <c r="R18" s="6"/>
      <c r="S18" s="6"/>
      <c r="T18" s="6"/>
      <c r="U18" s="6">
        <v>2092.3000000000002</v>
      </c>
      <c r="V18" s="6">
        <v>2311.4</v>
      </c>
      <c r="W18" s="6">
        <v>2781.9</v>
      </c>
      <c r="X18" s="6"/>
      <c r="Y18" s="6"/>
      <c r="Z18" s="6"/>
      <c r="AA18" s="6"/>
      <c r="AB18" s="6"/>
      <c r="AC18" s="6"/>
      <c r="AD18" s="6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</row>
    <row r="19" spans="2:44" x14ac:dyDescent="0.2">
      <c r="B19" s="2" t="s">
        <v>21</v>
      </c>
      <c r="C19" s="6">
        <f t="shared" ref="C19:H19" si="5">+C17-C18</f>
        <v>554.9</v>
      </c>
      <c r="D19" s="6">
        <f t="shared" si="5"/>
        <v>456.59999999999997</v>
      </c>
      <c r="E19" s="6">
        <f t="shared" si="5"/>
        <v>588.19999999999993</v>
      </c>
      <c r="F19" s="6">
        <f t="shared" ref="F19" si="6">+F17-F18</f>
        <v>695.7</v>
      </c>
      <c r="G19" s="6">
        <f t="shared" si="5"/>
        <v>648.1</v>
      </c>
      <c r="H19" s="6">
        <f t="shared" si="5"/>
        <v>551.29999999999995</v>
      </c>
      <c r="I19" s="6">
        <f>+I17-I18</f>
        <v>747.3</v>
      </c>
      <c r="J19" s="6">
        <f t="shared" ref="J19:P19" si="7">+J17-J18</f>
        <v>917.5</v>
      </c>
      <c r="K19" s="6">
        <f t="shared" si="7"/>
        <v>851.1</v>
      </c>
      <c r="L19" s="6">
        <f t="shared" si="7"/>
        <v>722.9</v>
      </c>
      <c r="M19" s="6">
        <f t="shared" si="7"/>
        <v>998.19999999999993</v>
      </c>
      <c r="N19" s="6">
        <f t="shared" si="7"/>
        <v>1212.0999999999999</v>
      </c>
      <c r="O19" s="6">
        <f t="shared" si="7"/>
        <v>1165.4000000000001</v>
      </c>
      <c r="P19" s="6">
        <f t="shared" si="7"/>
        <v>1071.5999999999999</v>
      </c>
      <c r="Q19" s="6"/>
      <c r="R19" s="6"/>
      <c r="S19" s="6"/>
      <c r="T19" s="6"/>
      <c r="U19" s="6">
        <f>+U17-U18</f>
        <v>2295.3999999999996</v>
      </c>
      <c r="V19" s="6">
        <f>+V17-V18</f>
        <v>2864.2000000000003</v>
      </c>
      <c r="W19" s="6">
        <f>+W17-W18</f>
        <v>3784.2999999999997</v>
      </c>
      <c r="X19" s="6"/>
      <c r="Y19" s="6"/>
      <c r="Z19" s="6"/>
      <c r="AA19" s="6"/>
      <c r="AB19" s="6"/>
      <c r="AC19" s="6"/>
      <c r="AD19" s="6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</row>
    <row r="20" spans="2:44" x14ac:dyDescent="0.2">
      <c r="B20" s="2" t="s">
        <v>22</v>
      </c>
      <c r="C20" s="6">
        <v>422.4</v>
      </c>
      <c r="D20" s="6">
        <v>445.3</v>
      </c>
      <c r="E20" s="6">
        <v>488.1</v>
      </c>
      <c r="F20" s="6">
        <v>646</v>
      </c>
      <c r="G20" s="6">
        <v>543.79999999999995</v>
      </c>
      <c r="H20" s="6">
        <v>560.20000000000005</v>
      </c>
      <c r="I20" s="6">
        <v>586.5</v>
      </c>
      <c r="J20" s="6">
        <v>732.3</v>
      </c>
      <c r="K20" s="6">
        <v>641.9</v>
      </c>
      <c r="L20" s="6">
        <v>697.8</v>
      </c>
      <c r="M20" s="6">
        <v>776.6</v>
      </c>
      <c r="N20" s="6">
        <v>988.3</v>
      </c>
      <c r="O20" s="6">
        <v>856.2</v>
      </c>
      <c r="P20" s="6">
        <v>909.2</v>
      </c>
      <c r="Q20" s="6"/>
      <c r="R20" s="6"/>
      <c r="S20" s="6"/>
      <c r="T20" s="6"/>
      <c r="U20" s="6">
        <v>2001.8000000000002</v>
      </c>
      <c r="V20" s="6">
        <v>2422.8000000000002</v>
      </c>
      <c r="W20" s="6">
        <v>3104.6</v>
      </c>
      <c r="X20" s="6"/>
      <c r="Y20" s="6"/>
      <c r="Z20" s="6"/>
      <c r="AA20" s="6"/>
      <c r="AB20" s="6"/>
      <c r="AC20" s="6"/>
      <c r="AD20" s="6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</row>
    <row r="21" spans="2:44" x14ac:dyDescent="0.2">
      <c r="B21" s="2" t="s">
        <v>23</v>
      </c>
      <c r="C21" s="6">
        <v>2.8</v>
      </c>
      <c r="D21" s="6">
        <v>4.7</v>
      </c>
      <c r="E21" s="6">
        <v>-2.9</v>
      </c>
      <c r="F21" s="6">
        <v>-2.2000000000000002</v>
      </c>
      <c r="G21" s="6">
        <v>1.3</v>
      </c>
      <c r="H21" s="6">
        <v>1.2</v>
      </c>
      <c r="I21" s="6">
        <v>0</v>
      </c>
      <c r="J21" s="6">
        <v>-0.6</v>
      </c>
      <c r="K21" s="6">
        <v>0.3</v>
      </c>
      <c r="L21" s="6">
        <v>2.6</v>
      </c>
      <c r="M21" s="6">
        <v>10.199999999999999</v>
      </c>
      <c r="N21" s="6">
        <v>0.9</v>
      </c>
      <c r="O21" s="6">
        <v>0.7</v>
      </c>
      <c r="P21" s="6">
        <v>2.2999999999999998</v>
      </c>
      <c r="Q21" s="6"/>
      <c r="R21" s="6"/>
      <c r="S21" s="6"/>
      <c r="T21" s="6"/>
      <c r="U21" s="6">
        <v>2.3999999999999995</v>
      </c>
      <c r="V21" s="6">
        <v>1.9</v>
      </c>
      <c r="W21" s="6">
        <v>14</v>
      </c>
      <c r="X21" s="6"/>
      <c r="Y21" s="6"/>
      <c r="Z21" s="6"/>
      <c r="AA21" s="6"/>
      <c r="AB21" s="6"/>
      <c r="AC21" s="6"/>
      <c r="AD21" s="6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</row>
    <row r="22" spans="2:44" x14ac:dyDescent="0.2">
      <c r="B22" s="2" t="s">
        <v>31</v>
      </c>
      <c r="C22" s="6">
        <v>0.7</v>
      </c>
      <c r="D22" s="6">
        <v>0.9</v>
      </c>
      <c r="E22" s="6">
        <v>1.7</v>
      </c>
      <c r="F22" s="6">
        <v>7.9</v>
      </c>
      <c r="G22" s="6">
        <v>6</v>
      </c>
      <c r="H22" s="6">
        <v>1.6</v>
      </c>
      <c r="I22" s="6">
        <v>15.9</v>
      </c>
      <c r="J22" s="6">
        <v>7.8</v>
      </c>
      <c r="K22" s="6">
        <v>5.3</v>
      </c>
      <c r="L22" s="6">
        <v>21.2</v>
      </c>
      <c r="M22" s="6">
        <v>4.5</v>
      </c>
      <c r="N22" s="6">
        <v>5.0999999999999996</v>
      </c>
      <c r="O22" s="6">
        <v>12.6</v>
      </c>
      <c r="P22" s="6">
        <v>31.6</v>
      </c>
      <c r="Q22" s="6"/>
      <c r="R22" s="6"/>
      <c r="S22" s="6"/>
      <c r="T22" s="6"/>
      <c r="U22" s="6">
        <v>11.2</v>
      </c>
      <c r="V22" s="6">
        <v>31.3</v>
      </c>
      <c r="W22" s="6">
        <v>36.1</v>
      </c>
      <c r="X22" s="6"/>
      <c r="Y22" s="6"/>
      <c r="Z22" s="6"/>
      <c r="AA22" s="6"/>
      <c r="AB22" s="6"/>
      <c r="AC22" s="6"/>
      <c r="AD22" s="6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</row>
    <row r="23" spans="2:44" x14ac:dyDescent="0.2">
      <c r="B23" s="2" t="s">
        <v>32</v>
      </c>
      <c r="C23" s="6">
        <f t="shared" ref="C23:H23" si="8">+C19-C20-C21+C22</f>
        <v>130.39999999999998</v>
      </c>
      <c r="D23" s="6">
        <f t="shared" si="8"/>
        <v>7.4999999999999547</v>
      </c>
      <c r="E23" s="6">
        <f t="shared" si="8"/>
        <v>104.69999999999992</v>
      </c>
      <c r="F23" s="6">
        <f t="shared" ref="F23" si="9">+F19-F20-F21+F22</f>
        <v>59.800000000000047</v>
      </c>
      <c r="G23" s="6">
        <f t="shared" si="8"/>
        <v>109.00000000000007</v>
      </c>
      <c r="H23" s="6">
        <f t="shared" si="8"/>
        <v>-8.5000000000000906</v>
      </c>
      <c r="I23" s="6">
        <f>+I19-I20-I21+I22</f>
        <v>176.69999999999996</v>
      </c>
      <c r="J23" s="6">
        <f t="shared" ref="J23:P23" si="10">+J19-J20-J21+J22</f>
        <v>193.60000000000005</v>
      </c>
      <c r="K23" s="6">
        <f t="shared" si="10"/>
        <v>214.20000000000005</v>
      </c>
      <c r="L23" s="6">
        <f t="shared" si="10"/>
        <v>43.700000000000017</v>
      </c>
      <c r="M23" s="6">
        <f t="shared" si="10"/>
        <v>215.89999999999992</v>
      </c>
      <c r="N23" s="6">
        <f t="shared" si="10"/>
        <v>227.99999999999994</v>
      </c>
      <c r="O23" s="6">
        <f t="shared" si="10"/>
        <v>321.10000000000008</v>
      </c>
      <c r="P23" s="6">
        <f t="shared" si="10"/>
        <v>191.69999999999985</v>
      </c>
      <c r="Q23" s="6"/>
      <c r="R23" s="6"/>
      <c r="S23" s="6"/>
      <c r="T23" s="6"/>
      <c r="U23" s="6">
        <f t="shared" ref="U23" si="11">+U19-U20-U21+U22</f>
        <v>302.39999999999947</v>
      </c>
      <c r="V23" s="6">
        <f>+V19-V20-V21+V22</f>
        <v>470.80000000000013</v>
      </c>
      <c r="W23" s="6">
        <f>+W19-W20-W21+W22</f>
        <v>701.79999999999984</v>
      </c>
      <c r="X23" s="6"/>
      <c r="Y23" s="6"/>
      <c r="Z23" s="6"/>
      <c r="AA23" s="6"/>
      <c r="AB23" s="6"/>
      <c r="AC23" s="6"/>
      <c r="AD23" s="6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 spans="2:44" x14ac:dyDescent="0.2">
      <c r="B24" s="2" t="s">
        <v>24</v>
      </c>
      <c r="C24" s="6">
        <v>1.3</v>
      </c>
      <c r="D24" s="6">
        <v>1.8</v>
      </c>
      <c r="E24" s="6">
        <v>1.4</v>
      </c>
      <c r="F24" s="6">
        <v>1.9</v>
      </c>
      <c r="G24" s="6">
        <f>2.7-14</f>
        <v>-11.3</v>
      </c>
      <c r="H24" s="6">
        <v>2.5</v>
      </c>
      <c r="I24" s="6">
        <v>1.1000000000000001</v>
      </c>
      <c r="J24" s="6">
        <v>2.5</v>
      </c>
      <c r="K24" s="6">
        <f>1.5+3.9</f>
        <v>5.4</v>
      </c>
      <c r="L24" s="6">
        <v>6.7</v>
      </c>
      <c r="M24" s="6">
        <v>-25.6</v>
      </c>
      <c r="N24" s="6">
        <v>2</v>
      </c>
      <c r="O24" s="6">
        <v>2.7</v>
      </c>
      <c r="P24" s="6">
        <v>5.4</v>
      </c>
      <c r="Q24" s="6"/>
      <c r="R24" s="6"/>
      <c r="S24" s="6"/>
      <c r="T24" s="6"/>
      <c r="U24" s="6">
        <f t="shared" ref="U24" si="12">+SUM(C24:F24)</f>
        <v>6.4</v>
      </c>
      <c r="V24" s="6">
        <f t="shared" ref="V24" si="13">+SUM(G24:J24)</f>
        <v>-5.2000000000000011</v>
      </c>
      <c r="W24" s="6">
        <v>6.4</v>
      </c>
      <c r="X24" s="6"/>
      <c r="Y24" s="6"/>
      <c r="Z24" s="6"/>
      <c r="AA24" s="6"/>
      <c r="AB24" s="6"/>
      <c r="AC24" s="6"/>
      <c r="AD24" s="6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 spans="2:44" x14ac:dyDescent="0.2">
      <c r="B25" s="2" t="s">
        <v>25</v>
      </c>
      <c r="C25" s="6">
        <v>86.1</v>
      </c>
      <c r="D25" s="6">
        <v>101.1</v>
      </c>
      <c r="E25" s="6">
        <v>109.4</v>
      </c>
      <c r="F25" s="6">
        <v>109.4</v>
      </c>
      <c r="G25" s="6">
        <v>68.3</v>
      </c>
      <c r="H25" s="6">
        <v>47.7</v>
      </c>
      <c r="I25" s="6">
        <v>48.9</v>
      </c>
      <c r="J25" s="6">
        <v>64.099999999999994</v>
      </c>
      <c r="K25" s="6">
        <v>22</v>
      </c>
      <c r="L25" s="6">
        <v>30</v>
      </c>
      <c r="M25" s="6">
        <v>-5.9</v>
      </c>
      <c r="N25" s="6">
        <v>20.100000000000001</v>
      </c>
      <c r="O25" s="6">
        <f>24.9+7.8</f>
        <v>32.699999999999996</v>
      </c>
      <c r="P25" s="6">
        <v>20</v>
      </c>
      <c r="Q25" s="6"/>
      <c r="R25" s="6"/>
      <c r="S25" s="6"/>
      <c r="T25" s="6"/>
      <c r="U25" s="6">
        <v>406</v>
      </c>
      <c r="V25" s="6">
        <v>229</v>
      </c>
      <c r="W25" s="6">
        <v>97.7</v>
      </c>
      <c r="X25" s="6"/>
      <c r="Y25" s="6"/>
      <c r="Z25" s="6"/>
      <c r="AA25" s="6"/>
      <c r="AB25" s="6"/>
      <c r="AC25" s="6"/>
      <c r="AD25" s="6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 spans="2:44" x14ac:dyDescent="0.2">
      <c r="B26" s="2" t="s">
        <v>26</v>
      </c>
      <c r="C26" s="6">
        <v>0</v>
      </c>
      <c r="D26" s="6">
        <v>0</v>
      </c>
      <c r="E26" s="6">
        <v>0</v>
      </c>
      <c r="F26" s="6">
        <v>7.3</v>
      </c>
      <c r="G26" s="6">
        <v>14.3</v>
      </c>
      <c r="H26" s="6">
        <v>0</v>
      </c>
      <c r="I26" s="6">
        <v>0</v>
      </c>
      <c r="J26" s="6">
        <f>43.6+17.5</f>
        <v>61.1</v>
      </c>
      <c r="K26" s="6">
        <v>0</v>
      </c>
      <c r="L26" s="6">
        <v>-1.4</v>
      </c>
      <c r="M26" s="6">
        <v>-1.5</v>
      </c>
      <c r="N26" s="6">
        <v>2.5</v>
      </c>
      <c r="O26" s="6">
        <v>50.5</v>
      </c>
      <c r="P26" s="6">
        <v>16.3</v>
      </c>
      <c r="Q26" s="6"/>
      <c r="R26" s="6"/>
      <c r="S26" s="6"/>
      <c r="T26" s="6"/>
      <c r="U26" s="6">
        <v>7.3</v>
      </c>
      <c r="V26" s="6">
        <v>75.400000000000006</v>
      </c>
      <c r="W26" s="6">
        <v>-14</v>
      </c>
      <c r="X26" s="6"/>
      <c r="Y26" s="6"/>
      <c r="Z26" s="6"/>
      <c r="AA26" s="6"/>
      <c r="AB26" s="6"/>
      <c r="AC26" s="6"/>
      <c r="AD26" s="6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 spans="2:44" x14ac:dyDescent="0.2">
      <c r="B27" s="2" t="s">
        <v>27</v>
      </c>
      <c r="C27" s="6">
        <f t="shared" ref="C27:H27" si="14">+C23+C24-C25-C26</f>
        <v>45.599999999999994</v>
      </c>
      <c r="D27" s="6">
        <f t="shared" si="14"/>
        <v>-91.80000000000004</v>
      </c>
      <c r="E27" s="6">
        <f t="shared" si="14"/>
        <v>-3.3000000000000824</v>
      </c>
      <c r="F27" s="6">
        <f t="shared" ref="F27" si="15">+F23+F24-F25-F26</f>
        <v>-54.999999999999957</v>
      </c>
      <c r="G27" s="6">
        <f t="shared" si="14"/>
        <v>15.100000000000076</v>
      </c>
      <c r="H27" s="6">
        <f t="shared" si="14"/>
        <v>-53.700000000000095</v>
      </c>
      <c r="I27" s="6">
        <f>+I23+I24-I25-I26</f>
        <v>128.89999999999995</v>
      </c>
      <c r="J27" s="6">
        <f t="shared" ref="J27:P27" si="16">+J23+J24-J25-J26</f>
        <v>70.900000000000063</v>
      </c>
      <c r="K27" s="6">
        <f t="shared" si="16"/>
        <v>197.60000000000005</v>
      </c>
      <c r="L27" s="6">
        <f t="shared" si="16"/>
        <v>21.800000000000018</v>
      </c>
      <c r="M27" s="6">
        <f t="shared" si="16"/>
        <v>197.69999999999993</v>
      </c>
      <c r="N27" s="6">
        <f t="shared" si="16"/>
        <v>207.39999999999995</v>
      </c>
      <c r="O27" s="6">
        <f t="shared" si="16"/>
        <v>240.60000000000008</v>
      </c>
      <c r="P27" s="6">
        <f t="shared" si="16"/>
        <v>160.79999999999984</v>
      </c>
      <c r="Q27" s="6"/>
      <c r="R27" s="6"/>
      <c r="S27" s="6"/>
      <c r="T27" s="6">
        <f t="shared" ref="T27:W27" si="17">+T23+T24-T25-T26</f>
        <v>0</v>
      </c>
      <c r="U27" s="6">
        <f t="shared" si="17"/>
        <v>-104.50000000000055</v>
      </c>
      <c r="V27" s="6">
        <f t="shared" si="17"/>
        <v>161.20000000000013</v>
      </c>
      <c r="W27" s="6">
        <f t="shared" si="17"/>
        <v>624.49999999999977</v>
      </c>
      <c r="X27" s="6"/>
      <c r="Y27" s="6"/>
      <c r="Z27" s="6"/>
      <c r="AA27" s="6"/>
      <c r="AB27" s="6"/>
      <c r="AC27" s="6"/>
      <c r="AD27" s="6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</row>
    <row r="28" spans="2:44" x14ac:dyDescent="0.2">
      <c r="B28" s="2" t="s">
        <v>28</v>
      </c>
      <c r="C28" s="6">
        <v>26.6</v>
      </c>
      <c r="D28" s="6">
        <v>5.2</v>
      </c>
      <c r="E28" s="6">
        <v>32.6</v>
      </c>
      <c r="F28" s="6">
        <v>39.799999999999997</v>
      </c>
      <c r="G28" s="6">
        <v>8.1999999999999993</v>
      </c>
      <c r="H28" s="6">
        <v>-51.9</v>
      </c>
      <c r="I28" s="6">
        <v>72.7</v>
      </c>
      <c r="J28" s="6">
        <v>53.8</v>
      </c>
      <c r="K28" s="6">
        <v>59.5</v>
      </c>
      <c r="L28" s="6">
        <v>-0.6</v>
      </c>
      <c r="M28" s="6">
        <v>51.3</v>
      </c>
      <c r="N28" s="6">
        <v>73.900000000000006</v>
      </c>
      <c r="O28" s="6">
        <v>70.5</v>
      </c>
      <c r="P28" s="6">
        <v>43</v>
      </c>
      <c r="Q28" s="6"/>
      <c r="R28" s="6"/>
      <c r="S28" s="6"/>
      <c r="T28" s="6"/>
      <c r="U28" s="6">
        <v>104.2</v>
      </c>
      <c r="V28" s="6">
        <v>82.8</v>
      </c>
      <c r="W28" s="6">
        <v>184.1</v>
      </c>
      <c r="X28" s="6"/>
      <c r="Y28" s="6"/>
      <c r="Z28" s="6"/>
      <c r="AA28" s="6"/>
      <c r="AB28" s="6"/>
      <c r="AC28" s="6"/>
      <c r="AD28" s="6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</row>
    <row r="29" spans="2:44" x14ac:dyDescent="0.2">
      <c r="B29" s="2" t="s">
        <v>29</v>
      </c>
      <c r="C29" s="6">
        <f t="shared" ref="C29:H29" si="18">+C27-C28</f>
        <v>18.999999999999993</v>
      </c>
      <c r="D29" s="6">
        <f t="shared" si="18"/>
        <v>-97.000000000000043</v>
      </c>
      <c r="E29" s="6">
        <f t="shared" si="18"/>
        <v>-35.900000000000084</v>
      </c>
      <c r="F29" s="6">
        <f t="shared" ref="F29" si="19">+F27-F28</f>
        <v>-94.799999999999955</v>
      </c>
      <c r="G29" s="6">
        <f t="shared" si="18"/>
        <v>6.9000000000000767</v>
      </c>
      <c r="H29" s="6">
        <f t="shared" si="18"/>
        <v>-1.8000000000000966</v>
      </c>
      <c r="I29" s="6">
        <f>+I27-I28</f>
        <v>56.199999999999946</v>
      </c>
      <c r="J29" s="6">
        <f t="shared" ref="J29:P29" si="20">+J27-J28</f>
        <v>17.100000000000065</v>
      </c>
      <c r="K29" s="6">
        <f t="shared" si="20"/>
        <v>138.10000000000005</v>
      </c>
      <c r="L29" s="6">
        <f t="shared" si="20"/>
        <v>22.40000000000002</v>
      </c>
      <c r="M29" s="6">
        <f t="shared" si="20"/>
        <v>146.39999999999992</v>
      </c>
      <c r="N29" s="6">
        <f t="shared" si="20"/>
        <v>133.49999999999994</v>
      </c>
      <c r="O29" s="6">
        <f t="shared" si="20"/>
        <v>170.10000000000008</v>
      </c>
      <c r="P29" s="6">
        <f t="shared" si="20"/>
        <v>117.79999999999984</v>
      </c>
      <c r="Q29" s="6"/>
      <c r="R29" s="6"/>
      <c r="S29" s="6"/>
      <c r="T29" s="6">
        <f t="shared" ref="T29:W29" si="21">+T27-T28</f>
        <v>0</v>
      </c>
      <c r="U29" s="6">
        <f t="shared" si="21"/>
        <v>-208.70000000000056</v>
      </c>
      <c r="V29" s="6">
        <f t="shared" si="21"/>
        <v>78.400000000000134</v>
      </c>
      <c r="W29" s="6">
        <f t="shared" si="21"/>
        <v>440.39999999999975</v>
      </c>
      <c r="X29" s="6"/>
      <c r="Y29" s="6"/>
      <c r="Z29" s="6"/>
      <c r="AA29" s="6"/>
      <c r="AB29" s="6"/>
      <c r="AC29" s="6"/>
      <c r="AD29" s="6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</row>
    <row r="30" spans="2:44" x14ac:dyDescent="0.2">
      <c r="B30" s="2" t="s">
        <v>33</v>
      </c>
      <c r="C30" s="6">
        <v>0</v>
      </c>
      <c r="D30" s="6">
        <v>-0.1</v>
      </c>
      <c r="E30" s="6">
        <v>1.8</v>
      </c>
      <c r="F30" s="6">
        <v>-1.9</v>
      </c>
      <c r="G30" s="6">
        <v>1.8</v>
      </c>
      <c r="H30" s="6">
        <v>1.9</v>
      </c>
      <c r="I30" s="6">
        <v>0.4</v>
      </c>
      <c r="J30" s="6">
        <v>1.7</v>
      </c>
      <c r="K30" s="6">
        <v>3.5</v>
      </c>
      <c r="L30" s="6">
        <v>4.2</v>
      </c>
      <c r="M30" s="6">
        <v>3.3</v>
      </c>
      <c r="N30" s="6">
        <v>2</v>
      </c>
      <c r="O30" s="6">
        <v>5.5</v>
      </c>
      <c r="P30" s="6">
        <v>10.6</v>
      </c>
      <c r="Q30" s="6"/>
      <c r="R30" s="6"/>
      <c r="S30" s="6"/>
      <c r="T30" s="6"/>
      <c r="U30" s="6">
        <v>-0.19999999999999996</v>
      </c>
      <c r="V30" s="6">
        <v>5.8000000000000007</v>
      </c>
      <c r="W30" s="6">
        <v>13</v>
      </c>
      <c r="X30" s="6"/>
      <c r="Y30" s="6"/>
      <c r="Z30" s="6"/>
      <c r="AA30" s="6"/>
      <c r="AB30" s="6"/>
      <c r="AC30" s="6"/>
      <c r="AD30" s="6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</row>
    <row r="31" spans="2:44" x14ac:dyDescent="0.2">
      <c r="B31" s="2" t="s">
        <v>34</v>
      </c>
      <c r="C31" s="6">
        <f>+C29-C30</f>
        <v>18.999999999999993</v>
      </c>
      <c r="D31" s="6">
        <f>+D29-D30</f>
        <v>-96.900000000000048</v>
      </c>
      <c r="E31" s="6">
        <f>+E29-E30</f>
        <v>-37.700000000000081</v>
      </c>
      <c r="F31" s="6">
        <f>+F29-F30</f>
        <v>-92.899999999999949</v>
      </c>
      <c r="G31" s="6">
        <f t="shared" ref="G31:H31" si="22">+G29-G30</f>
        <v>5.1000000000000769</v>
      </c>
      <c r="H31" s="6">
        <f t="shared" si="22"/>
        <v>-3.7000000000000965</v>
      </c>
      <c r="I31" s="6">
        <f t="shared" ref="I31:P31" si="23">+I29-I30</f>
        <v>55.799999999999947</v>
      </c>
      <c r="J31" s="6">
        <f t="shared" si="23"/>
        <v>15.400000000000066</v>
      </c>
      <c r="K31" s="6">
        <f t="shared" si="23"/>
        <v>134.60000000000005</v>
      </c>
      <c r="L31" s="6">
        <f t="shared" si="23"/>
        <v>18.200000000000021</v>
      </c>
      <c r="M31" s="6">
        <f t="shared" si="23"/>
        <v>143.09999999999991</v>
      </c>
      <c r="N31" s="6">
        <f t="shared" si="23"/>
        <v>131.49999999999994</v>
      </c>
      <c r="O31" s="6">
        <f t="shared" si="23"/>
        <v>164.60000000000008</v>
      </c>
      <c r="P31" s="6">
        <f t="shared" si="23"/>
        <v>107.19999999999985</v>
      </c>
      <c r="Q31" s="6"/>
      <c r="R31" s="6"/>
      <c r="S31" s="6"/>
      <c r="T31" s="6">
        <f t="shared" ref="T31:W31" si="24">+T29-T30</f>
        <v>0</v>
      </c>
      <c r="U31" s="6">
        <f t="shared" si="24"/>
        <v>-208.50000000000057</v>
      </c>
      <c r="V31" s="6">
        <f t="shared" si="24"/>
        <v>72.600000000000136</v>
      </c>
      <c r="W31" s="6">
        <f t="shared" si="24"/>
        <v>427.39999999999975</v>
      </c>
      <c r="X31" s="6"/>
      <c r="Y31" s="6"/>
      <c r="Z31" s="6"/>
      <c r="AA31" s="6"/>
      <c r="AB31" s="6"/>
      <c r="AC31" s="6"/>
      <c r="AD31" s="6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</row>
    <row r="32" spans="2:44" x14ac:dyDescent="0.2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</row>
    <row r="33" spans="2:44" x14ac:dyDescent="0.2">
      <c r="B33" s="2" t="s">
        <v>30</v>
      </c>
      <c r="C33" s="9">
        <f t="shared" ref="C33:H33" si="25">+C31/C34</f>
        <v>4.9414874954605587E-2</v>
      </c>
      <c r="D33" s="9">
        <f t="shared" si="25"/>
        <v>-0.25201586226848871</v>
      </c>
      <c r="E33" s="9">
        <f t="shared" si="25"/>
        <v>-9.8049515041507121E-2</v>
      </c>
      <c r="F33" s="9">
        <f t="shared" si="25"/>
        <v>-0.24161273069909781</v>
      </c>
      <c r="G33" s="9">
        <f t="shared" si="25"/>
        <v>1.1005072015432781E-2</v>
      </c>
      <c r="H33" s="9">
        <f t="shared" si="25"/>
        <v>-7.3231130687452396E-3</v>
      </c>
      <c r="I33" s="9">
        <f>+I31/I34</f>
        <v>0.1104048258068074</v>
      </c>
      <c r="J33" s="9">
        <f t="shared" ref="J33:P33" si="26">+J31/J34</f>
        <v>2.9669793367748994E-2</v>
      </c>
      <c r="K33" s="9">
        <f t="shared" si="26"/>
        <v>0.24296635945911133</v>
      </c>
      <c r="L33" s="9">
        <f t="shared" si="26"/>
        <v>3.2769120911237702E-2</v>
      </c>
      <c r="M33" s="9">
        <f t="shared" si="26"/>
        <v>0.25728183001534388</v>
      </c>
      <c r="N33" s="9">
        <f t="shared" si="26"/>
        <v>0.23616971048355681</v>
      </c>
      <c r="O33" s="9">
        <f t="shared" si="26"/>
        <v>0.29137780382562395</v>
      </c>
      <c r="P33" s="9">
        <f t="shared" si="26"/>
        <v>0.18400996742170445</v>
      </c>
      <c r="Q33" s="9"/>
      <c r="R33" s="9"/>
      <c r="S33" s="6"/>
      <c r="T33" s="9" t="e">
        <f t="shared" ref="T33:W33" si="27">+T31/T34</f>
        <v>#DIV/0!</v>
      </c>
      <c r="U33" s="9">
        <f t="shared" si="27"/>
        <v>-0.54226323305448931</v>
      </c>
      <c r="V33" s="9">
        <f t="shared" si="27"/>
        <v>0.14570037888405196</v>
      </c>
      <c r="W33" s="9">
        <f t="shared" si="27"/>
        <v>0.76924913584650645</v>
      </c>
      <c r="X33" s="6"/>
      <c r="Y33" s="6"/>
      <c r="Z33" s="6"/>
      <c r="AA33" s="6"/>
      <c r="AB33" s="6"/>
      <c r="AC33" s="6"/>
      <c r="AD33" s="6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</row>
    <row r="34" spans="2:44" x14ac:dyDescent="0.2">
      <c r="B34" s="2" t="s">
        <v>3</v>
      </c>
      <c r="C34" s="6">
        <v>384.49960700000003</v>
      </c>
      <c r="D34" s="6">
        <v>384.49960700000003</v>
      </c>
      <c r="E34" s="6">
        <v>384.49960700000003</v>
      </c>
      <c r="F34" s="6">
        <v>384.49960700000003</v>
      </c>
      <c r="G34" s="6">
        <v>463.42268300000001</v>
      </c>
      <c r="H34" s="6">
        <v>505.24960700000003</v>
      </c>
      <c r="I34" s="6">
        <v>505.41269</v>
      </c>
      <c r="J34" s="6">
        <v>519.04641900000001</v>
      </c>
      <c r="K34" s="6">
        <v>553.98615800000005</v>
      </c>
      <c r="L34" s="6">
        <v>555.40092300000003</v>
      </c>
      <c r="M34" s="6">
        <v>556.19940199999996</v>
      </c>
      <c r="N34" s="6">
        <v>556.80298600000003</v>
      </c>
      <c r="O34" s="6">
        <v>564.90232900000001</v>
      </c>
      <c r="P34" s="6">
        <v>582.57713699999999</v>
      </c>
      <c r="Q34" s="6"/>
      <c r="R34" s="6"/>
      <c r="S34" s="6"/>
      <c r="T34" s="6"/>
      <c r="U34" s="6">
        <v>384.49960700000003</v>
      </c>
      <c r="V34" s="6">
        <v>498.28284975000003</v>
      </c>
      <c r="W34" s="6">
        <v>555.60673399999996</v>
      </c>
      <c r="X34" s="6"/>
      <c r="Y34" s="6"/>
      <c r="Z34" s="6"/>
      <c r="AA34" s="6"/>
      <c r="AB34" s="6"/>
      <c r="AC34" s="6"/>
      <c r="AD34" s="6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</row>
    <row r="35" spans="2:44" x14ac:dyDescent="0.2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6" spans="2:44" x14ac:dyDescent="0.2">
      <c r="B36" s="2" t="s">
        <v>44</v>
      </c>
      <c r="C36" s="7"/>
      <c r="D36" s="7"/>
      <c r="E36" s="7"/>
      <c r="F36" s="7"/>
      <c r="G36" s="10">
        <f t="shared" ref="G36:H39" si="28">+G8/C8-1</f>
        <v>1.0084033613445342E-2</v>
      </c>
      <c r="H36" s="10">
        <f t="shared" si="28"/>
        <v>8.6956521739129933E-3</v>
      </c>
      <c r="I36" s="10">
        <f t="shared" ref="I36:P36" si="29">+I8/E8-1</f>
        <v>3.874092009685226E-2</v>
      </c>
      <c r="J36" s="10">
        <f t="shared" si="29"/>
        <v>0.15062020082693439</v>
      </c>
      <c r="K36" s="10">
        <f t="shared" si="29"/>
        <v>0.12285080421519678</v>
      </c>
      <c r="L36" s="10">
        <f t="shared" si="29"/>
        <v>0.19051724137931036</v>
      </c>
      <c r="M36" s="10">
        <f t="shared" si="29"/>
        <v>0.23193473193473202</v>
      </c>
      <c r="N36" s="10">
        <f t="shared" si="29"/>
        <v>2.0191649555099334E-2</v>
      </c>
      <c r="O36" s="10">
        <f t="shared" si="29"/>
        <v>0.59175104964188696</v>
      </c>
      <c r="P36" s="10">
        <f t="shared" si="29"/>
        <v>0.20311368573497468</v>
      </c>
      <c r="Q36" s="10"/>
      <c r="R36" s="10"/>
      <c r="S36" s="7"/>
      <c r="T36" s="7"/>
      <c r="U36" s="13" t="e">
        <f t="shared" ref="U36:V36" si="30">+U8/T8-1</f>
        <v>#DIV/0!</v>
      </c>
      <c r="V36" s="13">
        <f t="shared" si="30"/>
        <v>6.5057364546720509E-2</v>
      </c>
      <c r="W36" s="13">
        <f>+W8/V8-1</f>
        <v>0.12440846824408469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</row>
    <row r="37" spans="2:44" x14ac:dyDescent="0.2">
      <c r="B37" s="2" t="s">
        <v>45</v>
      </c>
      <c r="C37" s="7"/>
      <c r="D37" s="7"/>
      <c r="E37" s="7"/>
      <c r="F37" s="7"/>
      <c r="G37" s="10">
        <f t="shared" si="28"/>
        <v>1.1951219512195133E-2</v>
      </c>
      <c r="H37" s="10">
        <f t="shared" si="28"/>
        <v>5.464480874316946E-3</v>
      </c>
      <c r="I37" s="10">
        <f t="shared" ref="I37:P39" si="31">+I9/E9-1</f>
        <v>7.2527472527472492E-2</v>
      </c>
      <c r="J37" s="10">
        <f t="shared" si="31"/>
        <v>8.0510338759348876E-2</v>
      </c>
      <c r="K37" s="10">
        <f t="shared" si="31"/>
        <v>0.12002892263195952</v>
      </c>
      <c r="L37" s="10">
        <f t="shared" si="31"/>
        <v>7.4456521739130421E-2</v>
      </c>
      <c r="M37" s="10">
        <f t="shared" si="31"/>
        <v>0.17663934426229511</v>
      </c>
      <c r="N37" s="10">
        <f t="shared" si="31"/>
        <v>0.40736970684039076</v>
      </c>
      <c r="O37" s="10">
        <f t="shared" si="31"/>
        <v>0.18097697439208082</v>
      </c>
      <c r="P37" s="10">
        <f t="shared" si="31"/>
        <v>0.25619625695498227</v>
      </c>
      <c r="Q37" s="10"/>
      <c r="R37" s="10"/>
      <c r="S37" s="7"/>
      <c r="T37" s="7"/>
      <c r="U37" s="13" t="e">
        <f t="shared" ref="U37:V37" si="32">+U9/T9-1</f>
        <v>#DIV/0!</v>
      </c>
      <c r="V37" s="13">
        <f t="shared" si="32"/>
        <v>4.5384432842904721E-2</v>
      </c>
      <c r="W37" s="13">
        <f>+W9/V9-1</f>
        <v>0.20628795187560289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</row>
    <row r="38" spans="2:44" x14ac:dyDescent="0.2">
      <c r="B38" s="2" t="s">
        <v>46</v>
      </c>
      <c r="C38" s="7"/>
      <c r="D38" s="7"/>
      <c r="E38" s="7"/>
      <c r="F38" s="7"/>
      <c r="G38" s="10">
        <f t="shared" si="28"/>
        <v>0.52</v>
      </c>
      <c r="H38" s="10">
        <f t="shared" si="28"/>
        <v>0.5372340425531914</v>
      </c>
      <c r="I38" s="10">
        <f t="shared" si="31"/>
        <v>0.56499999999999995</v>
      </c>
      <c r="J38" s="10">
        <f t="shared" si="31"/>
        <v>0.5386773547094188</v>
      </c>
      <c r="K38" s="10">
        <f t="shared" si="31"/>
        <v>0.43132220795892162</v>
      </c>
      <c r="L38" s="10">
        <f t="shared" si="31"/>
        <v>0.41937716262975777</v>
      </c>
      <c r="M38" s="10">
        <f t="shared" si="31"/>
        <v>0.47444089456868999</v>
      </c>
      <c r="N38" s="10">
        <f t="shared" si="31"/>
        <v>0.4175566553790051</v>
      </c>
      <c r="O38" s="10">
        <f t="shared" si="31"/>
        <v>0.14977578475336317</v>
      </c>
      <c r="P38" s="10">
        <f t="shared" si="31"/>
        <v>0.35543637250121884</v>
      </c>
      <c r="Q38" s="10"/>
      <c r="R38" s="10"/>
      <c r="S38" s="7"/>
      <c r="T38" s="7"/>
      <c r="U38" s="13" t="e">
        <f t="shared" ref="U38:V38" si="33">+U10/T10-1</f>
        <v>#DIV/0!</v>
      </c>
      <c r="V38" s="13">
        <f t="shared" si="33"/>
        <v>0.5400593471810089</v>
      </c>
      <c r="W38" s="13">
        <f>+W10/V10-1</f>
        <v>0.43499036608863206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</row>
    <row r="39" spans="2:44" x14ac:dyDescent="0.2">
      <c r="B39" s="2" t="s">
        <v>47</v>
      </c>
      <c r="C39" s="7"/>
      <c r="D39" s="7"/>
      <c r="E39" s="7"/>
      <c r="F39" s="7"/>
      <c r="G39" s="10">
        <f t="shared" si="28"/>
        <v>0.35128205128205137</v>
      </c>
      <c r="H39" s="10">
        <f t="shared" si="28"/>
        <v>0.45205479452054798</v>
      </c>
      <c r="I39" s="10">
        <f t="shared" si="31"/>
        <v>0.47058823529411775</v>
      </c>
      <c r="J39" s="10">
        <f t="shared" si="31"/>
        <v>0.52380952380952372</v>
      </c>
      <c r="K39" s="10">
        <f t="shared" si="31"/>
        <v>0.4886148007590132</v>
      </c>
      <c r="L39" s="10">
        <f t="shared" si="31"/>
        <v>0.45754716981132071</v>
      </c>
      <c r="M39" s="10">
        <f t="shared" si="31"/>
        <v>0.53679999999999994</v>
      </c>
      <c r="N39" s="10">
        <f t="shared" si="31"/>
        <v>0.53068181818181803</v>
      </c>
      <c r="O39" s="10">
        <f t="shared" si="31"/>
        <v>0.52581261950286806</v>
      </c>
      <c r="P39" s="10">
        <f t="shared" si="31"/>
        <v>0.6025889967637541</v>
      </c>
      <c r="Q39" s="10"/>
      <c r="R39" s="10"/>
      <c r="S39" s="7"/>
      <c r="T39" s="7"/>
      <c r="U39" s="13" t="e">
        <f t="shared" ref="U39:V39" si="34">+U11/T11-1</f>
        <v>#DIV/0!</v>
      </c>
      <c r="V39" s="13">
        <f t="shared" si="34"/>
        <v>0.45775248933143664</v>
      </c>
      <c r="W39" s="13">
        <f>+W11/V11-1</f>
        <v>0.50839188134270108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</row>
    <row r="40" spans="2:44" x14ac:dyDescent="0.2">
      <c r="B40" s="2" t="s">
        <v>48</v>
      </c>
      <c r="C40" s="7"/>
      <c r="D40" s="7"/>
      <c r="E40" s="7"/>
      <c r="F40" s="7"/>
      <c r="G40" s="10">
        <f t="shared" ref="G40:H43" si="35">+G14/C14-1</f>
        <v>0.45661971830985926</v>
      </c>
      <c r="H40" s="10">
        <f t="shared" si="35"/>
        <v>0.34323432343234317</v>
      </c>
      <c r="I40" s="10">
        <f t="shared" ref="I40:P40" si="36">+I14/E14-1</f>
        <v>0.33676092544987157</v>
      </c>
      <c r="J40" s="10">
        <f t="shared" si="36"/>
        <v>0.33178405434394009</v>
      </c>
      <c r="K40" s="10">
        <f t="shared" si="36"/>
        <v>0.28369754399535863</v>
      </c>
      <c r="L40" s="10">
        <f t="shared" si="36"/>
        <v>0.25036855036855021</v>
      </c>
      <c r="M40" s="10">
        <f t="shared" si="36"/>
        <v>0.31403846153846149</v>
      </c>
      <c r="N40" s="10">
        <f t="shared" si="36"/>
        <v>0.34201342281879188</v>
      </c>
      <c r="O40" s="10">
        <f t="shared" si="36"/>
        <v>0.33323290147634843</v>
      </c>
      <c r="P40" s="10">
        <f t="shared" si="36"/>
        <v>0.32481823540970733</v>
      </c>
      <c r="Q40" s="10"/>
      <c r="R40" s="10"/>
      <c r="S40" s="7"/>
      <c r="T40" s="7"/>
      <c r="U40" s="13" t="e">
        <f t="shared" ref="U40:V40" si="37">+U14/T14-1</f>
        <v>#DIV/0!</v>
      </c>
      <c r="V40" s="13">
        <f t="shared" si="37"/>
        <v>0.36273655378486036</v>
      </c>
      <c r="W40" s="13">
        <f>+W14/V14-1</f>
        <v>0.30455438307980454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</row>
    <row r="41" spans="2:44" x14ac:dyDescent="0.2">
      <c r="B41" s="2" t="s">
        <v>49</v>
      </c>
      <c r="C41" s="7"/>
      <c r="D41" s="7"/>
      <c r="E41" s="7"/>
      <c r="F41" s="7"/>
      <c r="G41" s="10">
        <f t="shared" si="35"/>
        <v>6.5782493368700345E-2</v>
      </c>
      <c r="H41" s="10">
        <f t="shared" si="35"/>
        <v>0.10948905109489049</v>
      </c>
      <c r="I41" s="10">
        <f t="shared" ref="I41:P43" si="38">+I15/E15-1</f>
        <v>7.8787878787878851E-2</v>
      </c>
      <c r="J41" s="10">
        <f t="shared" si="38"/>
        <v>0.13070776255707739</v>
      </c>
      <c r="K41" s="10">
        <f t="shared" si="38"/>
        <v>0.25037332005973112</v>
      </c>
      <c r="L41" s="10">
        <f t="shared" si="38"/>
        <v>0.36085526315789473</v>
      </c>
      <c r="M41" s="10">
        <f t="shared" si="38"/>
        <v>0.35486891385767794</v>
      </c>
      <c r="N41" s="10">
        <f t="shared" si="38"/>
        <v>0.28571428571428581</v>
      </c>
      <c r="O41" s="10">
        <f t="shared" si="38"/>
        <v>0.42038216560509567</v>
      </c>
      <c r="P41" s="10">
        <f t="shared" si="38"/>
        <v>0.3741841914430748</v>
      </c>
      <c r="Q41" s="10"/>
      <c r="R41" s="10"/>
      <c r="S41" s="7"/>
      <c r="T41" s="7"/>
      <c r="U41" s="13" t="e">
        <f t="shared" ref="U41:V41" si="39">+U15/T15-1</f>
        <v>#DIV/0!</v>
      </c>
      <c r="V41" s="13">
        <f t="shared" si="39"/>
        <v>9.7212251734864807E-2</v>
      </c>
      <c r="W41" s="13">
        <f>+W15/V15-1</f>
        <v>0.31056103811133529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</row>
    <row r="42" spans="2:44" x14ac:dyDescent="0.2">
      <c r="B42" s="2" t="s">
        <v>50</v>
      </c>
      <c r="C42" s="7"/>
      <c r="D42" s="7"/>
      <c r="E42" s="7"/>
      <c r="F42" s="7"/>
      <c r="G42" s="10">
        <f t="shared" si="35"/>
        <v>-0.13962264150943393</v>
      </c>
      <c r="H42" s="10">
        <f t="shared" si="35"/>
        <v>1.0714285714285676E-2</v>
      </c>
      <c r="I42" s="10">
        <f t="shared" si="38"/>
        <v>-0.2592592592592593</v>
      </c>
      <c r="J42" s="10">
        <f t="shared" si="38"/>
        <v>0.22144329896907222</v>
      </c>
      <c r="K42" s="10">
        <f t="shared" si="38"/>
        <v>0.11951754385964897</v>
      </c>
      <c r="L42" s="10">
        <f t="shared" si="38"/>
        <v>0.1084805653710248</v>
      </c>
      <c r="M42" s="10">
        <f t="shared" si="38"/>
        <v>0.74750000000000005</v>
      </c>
      <c r="N42" s="10">
        <f t="shared" si="38"/>
        <v>0.13841998649561105</v>
      </c>
      <c r="O42" s="10">
        <f t="shared" si="38"/>
        <v>0.13254978778974857</v>
      </c>
      <c r="P42" s="10">
        <f t="shared" si="38"/>
        <v>0.2429072362129423</v>
      </c>
      <c r="Q42" s="10"/>
      <c r="R42" s="10"/>
      <c r="S42" s="7"/>
      <c r="T42" s="7"/>
      <c r="U42" s="13" t="e">
        <f t="shared" ref="U42:V42" si="40">+U16/T16-1</f>
        <v>#DIV/0!</v>
      </c>
      <c r="V42" s="13">
        <f t="shared" si="40"/>
        <v>-5.1958577217469659E-2</v>
      </c>
      <c r="W42" s="13">
        <f>+W16/V16-1</f>
        <v>0.24116641337386024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</row>
    <row r="43" spans="2:44" x14ac:dyDescent="0.2">
      <c r="B43" s="4" t="s">
        <v>51</v>
      </c>
      <c r="C43" s="11"/>
      <c r="D43" s="11"/>
      <c r="E43" s="11"/>
      <c r="F43" s="11"/>
      <c r="G43" s="12">
        <f t="shared" si="35"/>
        <v>0.13538988860325629</v>
      </c>
      <c r="H43" s="12">
        <f t="shared" si="35"/>
        <v>0.15989729225023352</v>
      </c>
      <c r="I43" s="12">
        <f t="shared" si="38"/>
        <v>0.17405255398491026</v>
      </c>
      <c r="J43" s="12">
        <f t="shared" si="38"/>
        <v>0.23201506591337107</v>
      </c>
      <c r="K43" s="12">
        <f t="shared" si="38"/>
        <v>0.23480083857442358</v>
      </c>
      <c r="L43" s="12">
        <f t="shared" si="38"/>
        <v>0.24401287985510156</v>
      </c>
      <c r="M43" s="12">
        <f t="shared" si="38"/>
        <v>0.29731127197518092</v>
      </c>
      <c r="N43" s="12">
        <f t="shared" si="38"/>
        <v>0.28468358300213992</v>
      </c>
      <c r="O43" s="12">
        <f t="shared" si="38"/>
        <v>0.32122241086587433</v>
      </c>
      <c r="P43" s="12">
        <f t="shared" si="38"/>
        <v>0.32055326377092941</v>
      </c>
      <c r="Q43" s="12"/>
      <c r="R43" s="12"/>
      <c r="S43" s="7"/>
      <c r="T43" s="7"/>
      <c r="U43" s="12" t="e">
        <f t="shared" ref="U43:V43" si="41">+U17/T17-1</f>
        <v>#DIV/0!</v>
      </c>
      <c r="V43" s="12">
        <f t="shared" si="41"/>
        <v>0.17957016204389564</v>
      </c>
      <c r="W43" s="12">
        <f>+W17/V17-1</f>
        <v>0.26868382409768898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</row>
    <row r="44" spans="2:44" x14ac:dyDescent="0.2">
      <c r="B44" s="2" t="s">
        <v>52</v>
      </c>
      <c r="C44" s="10">
        <f t="shared" ref="C44:H44" si="42">+C19/C17</f>
        <v>0.52832524040750262</v>
      </c>
      <c r="D44" s="10">
        <f t="shared" si="42"/>
        <v>0.53291316526610644</v>
      </c>
      <c r="E44" s="10">
        <f t="shared" si="42"/>
        <v>0.51010320006937815</v>
      </c>
      <c r="F44" s="10">
        <f t="shared" si="42"/>
        <v>0.52406779661016956</v>
      </c>
      <c r="G44" s="10">
        <f t="shared" si="42"/>
        <v>0.5434800838574424</v>
      </c>
      <c r="H44" s="10">
        <f t="shared" si="42"/>
        <v>0.55473938418192792</v>
      </c>
      <c r="I44" s="10">
        <f t="shared" ref="I44:N44" si="43">+I19/I17</f>
        <v>0.55200177278770868</v>
      </c>
      <c r="J44" s="10">
        <f t="shared" si="43"/>
        <v>0.56099052277590955</v>
      </c>
      <c r="K44" s="10">
        <f t="shared" si="43"/>
        <v>0.57799660441426148</v>
      </c>
      <c r="L44" s="10">
        <f t="shared" si="43"/>
        <v>0.58472862573808948</v>
      </c>
      <c r="M44" s="10">
        <f t="shared" si="43"/>
        <v>0.56835392586687916</v>
      </c>
      <c r="N44" s="10">
        <f t="shared" si="43"/>
        <v>0.5768882966065394</v>
      </c>
      <c r="O44" s="10">
        <f t="shared" ref="O44:P44" si="44">+O19/O17</f>
        <v>0.59902338730403504</v>
      </c>
      <c r="P44" s="10">
        <f t="shared" si="44"/>
        <v>0.6563763322307975</v>
      </c>
      <c r="Q44" s="10"/>
      <c r="R44" s="10"/>
      <c r="S44" s="7"/>
      <c r="T44" s="10" t="e">
        <f t="shared" ref="T44:W44" si="45">+T19/T17</f>
        <v>#DIV/0!</v>
      </c>
      <c r="U44" s="10">
        <f t="shared" ref="U44:V44" si="46">+U19/U17</f>
        <v>0.52314424413701932</v>
      </c>
      <c r="V44" s="10">
        <f t="shared" si="46"/>
        <v>0.55340443620063373</v>
      </c>
      <c r="W44" s="10">
        <f t="shared" si="45"/>
        <v>0.57633029758459986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</row>
    <row r="45" spans="2:44" x14ac:dyDescent="0.2">
      <c r="B45" s="2" t="s">
        <v>53</v>
      </c>
      <c r="C45" s="10">
        <f t="shared" ref="C45:H45" si="47">+C23/C17</f>
        <v>0.12415500333238121</v>
      </c>
      <c r="D45" s="10">
        <f t="shared" si="47"/>
        <v>8.7535014005601722E-3</v>
      </c>
      <c r="E45" s="10">
        <f t="shared" si="47"/>
        <v>9.0798716503338761E-2</v>
      </c>
      <c r="F45" s="10">
        <f t="shared" si="47"/>
        <v>4.5047080979284407E-2</v>
      </c>
      <c r="G45" s="10">
        <f t="shared" si="47"/>
        <v>9.1404612159329199E-2</v>
      </c>
      <c r="H45" s="10">
        <f t="shared" si="47"/>
        <v>-8.5530287784263345E-3</v>
      </c>
      <c r="I45" s="10">
        <f t="shared" ref="I45:N45" si="48">+I23/I17</f>
        <v>0.13052149505096763</v>
      </c>
      <c r="J45" s="10">
        <f t="shared" si="48"/>
        <v>0.11837358605930912</v>
      </c>
      <c r="K45" s="10">
        <f t="shared" si="48"/>
        <v>0.14546689303904928</v>
      </c>
      <c r="L45" s="10">
        <f t="shared" si="48"/>
        <v>3.5347407587155238E-2</v>
      </c>
      <c r="M45" s="10">
        <f t="shared" si="48"/>
        <v>0.12292888458691563</v>
      </c>
      <c r="N45" s="10">
        <f t="shared" si="48"/>
        <v>0.10851458759697299</v>
      </c>
      <c r="O45" s="10">
        <f t="shared" ref="O45:P45" si="49">+O23/O17</f>
        <v>0.16504754561809307</v>
      </c>
      <c r="P45" s="10">
        <f t="shared" si="49"/>
        <v>0.11742006615214985</v>
      </c>
      <c r="Q45" s="10"/>
      <c r="R45" s="10"/>
      <c r="S45" s="7"/>
      <c r="T45" s="10" t="e">
        <f t="shared" ref="T45:W45" si="50">+T23/T17</f>
        <v>#DIV/0!</v>
      </c>
      <c r="U45" s="10">
        <f t="shared" ref="U45:V45" si="51">+U23/U17</f>
        <v>6.891993527360564E-2</v>
      </c>
      <c r="V45" s="10">
        <f t="shared" si="51"/>
        <v>9.0965298709328402E-2</v>
      </c>
      <c r="W45" s="10">
        <f t="shared" si="50"/>
        <v>0.10688069202887512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</row>
    <row r="46" spans="2:44" x14ac:dyDescent="0.2">
      <c r="B46" s="2" t="s">
        <v>54</v>
      </c>
      <c r="C46" s="10">
        <f t="shared" ref="C46:H46" si="52">+C28/C27</f>
        <v>0.58333333333333348</v>
      </c>
      <c r="D46" s="10">
        <f t="shared" si="52"/>
        <v>-5.6644880174291916E-2</v>
      </c>
      <c r="E46" s="10">
        <f t="shared" si="52"/>
        <v>-9.878787878787632</v>
      </c>
      <c r="F46" s="10">
        <f t="shared" si="52"/>
        <v>-0.72363636363636419</v>
      </c>
      <c r="G46" s="10">
        <f t="shared" si="52"/>
        <v>0.54304635761589126</v>
      </c>
      <c r="H46" s="10">
        <f t="shared" si="52"/>
        <v>0.96648044692737256</v>
      </c>
      <c r="I46" s="10">
        <f t="shared" ref="I46:N46" si="53">+I28/I27</f>
        <v>0.56400310318076052</v>
      </c>
      <c r="J46" s="10">
        <f t="shared" si="53"/>
        <v>0.75881523272214313</v>
      </c>
      <c r="K46" s="10">
        <f t="shared" si="53"/>
        <v>0.30111336032388658</v>
      </c>
      <c r="L46" s="10">
        <f t="shared" si="53"/>
        <v>-2.7522935779816491E-2</v>
      </c>
      <c r="M46" s="10">
        <f t="shared" si="53"/>
        <v>0.25948406676783015</v>
      </c>
      <c r="N46" s="10">
        <f t="shared" si="53"/>
        <v>0.35631629701060763</v>
      </c>
      <c r="O46" s="10">
        <f t="shared" ref="O46:P46" si="54">+O28/O27</f>
        <v>0.29301745635910215</v>
      </c>
      <c r="P46" s="10">
        <f t="shared" si="54"/>
        <v>0.26741293532338334</v>
      </c>
      <c r="Q46" s="10"/>
      <c r="R46" s="10"/>
      <c r="S46" s="7"/>
      <c r="T46" s="10" t="e">
        <f t="shared" ref="T46:W46" si="55">+T28/T27</f>
        <v>#DIV/0!</v>
      </c>
      <c r="U46" s="10">
        <f t="shared" ref="U46:V46" si="56">+U28/U27</f>
        <v>-0.99712918660286554</v>
      </c>
      <c r="V46" s="10">
        <f t="shared" si="56"/>
        <v>0.51364764267990026</v>
      </c>
      <c r="W46" s="10">
        <f t="shared" si="55"/>
        <v>0.29479583666933556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</row>
    <row r="47" spans="2:44" x14ac:dyDescent="0.2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</row>
    <row r="48" spans="2:44" x14ac:dyDescent="0.2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</row>
    <row r="49" spans="3:44" x14ac:dyDescent="0.2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</row>
    <row r="50" spans="3:44" x14ac:dyDescent="0.2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spans="3:44" x14ac:dyDescent="0.2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</row>
    <row r="52" spans="3:44" x14ac:dyDescent="0.2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pans="3:44" x14ac:dyDescent="0.2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spans="3:44" x14ac:dyDescent="0.2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spans="3:44" x14ac:dyDescent="0.2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spans="3:44" x14ac:dyDescent="0.2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</row>
    <row r="57" spans="3:44" x14ac:dyDescent="0.2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spans="3:44" x14ac:dyDescent="0.2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</row>
    <row r="59" spans="3:44" x14ac:dyDescent="0.2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</row>
    <row r="60" spans="3:44" x14ac:dyDescent="0.2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</row>
    <row r="61" spans="3:44" x14ac:dyDescent="0.2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spans="3:44" x14ac:dyDescent="0.2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spans="3:44" x14ac:dyDescent="0.2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spans="3:44" x14ac:dyDescent="0.2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spans="3:44" x14ac:dyDescent="0.2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</row>
    <row r="66" spans="3:44" x14ac:dyDescent="0.2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</row>
    <row r="67" spans="3:44" x14ac:dyDescent="0.2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</row>
    <row r="68" spans="3:44" x14ac:dyDescent="0.2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</row>
    <row r="69" spans="3:44" x14ac:dyDescent="0.2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</row>
    <row r="70" spans="3:44" x14ac:dyDescent="0.2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</row>
    <row r="71" spans="3:44" x14ac:dyDescent="0.2"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</row>
    <row r="72" spans="3:44" x14ac:dyDescent="0.2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</row>
    <row r="73" spans="3:44" x14ac:dyDescent="0.2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</row>
    <row r="74" spans="3:44" x14ac:dyDescent="0.2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</row>
    <row r="75" spans="3:44" x14ac:dyDescent="0.2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</row>
    <row r="76" spans="3:44" x14ac:dyDescent="0.2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</row>
    <row r="77" spans="3:44" x14ac:dyDescent="0.2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</row>
    <row r="78" spans="3:44" x14ac:dyDescent="0.2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</row>
    <row r="79" spans="3:44" x14ac:dyDescent="0.2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</row>
    <row r="80" spans="3:44" x14ac:dyDescent="0.2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</row>
    <row r="81" spans="3:44" x14ac:dyDescent="0.2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</row>
    <row r="82" spans="3:44" x14ac:dyDescent="0.2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</row>
    <row r="83" spans="3:44" x14ac:dyDescent="0.2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</row>
    <row r="84" spans="3:44" x14ac:dyDescent="0.2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</row>
    <row r="85" spans="3:44" x14ac:dyDescent="0.2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</row>
    <row r="86" spans="3:44" x14ac:dyDescent="0.2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</row>
    <row r="87" spans="3:44" x14ac:dyDescent="0.2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</row>
    <row r="88" spans="3:44" x14ac:dyDescent="0.2"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</row>
    <row r="89" spans="3:44" x14ac:dyDescent="0.2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</row>
    <row r="90" spans="3:44" x14ac:dyDescent="0.2"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</row>
    <row r="91" spans="3:44" x14ac:dyDescent="0.2"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</row>
    <row r="92" spans="3:44" x14ac:dyDescent="0.2"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</row>
    <row r="93" spans="3:44" x14ac:dyDescent="0.2"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</row>
    <row r="94" spans="3:44" x14ac:dyDescent="0.2"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</row>
    <row r="95" spans="3:44" x14ac:dyDescent="0.2"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</row>
    <row r="96" spans="3:44" x14ac:dyDescent="0.2"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</row>
    <row r="97" spans="3:44" x14ac:dyDescent="0.2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</row>
    <row r="98" spans="3:44" x14ac:dyDescent="0.2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</row>
    <row r="99" spans="3:44" x14ac:dyDescent="0.2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</row>
    <row r="100" spans="3:44" x14ac:dyDescent="0.2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</row>
    <row r="101" spans="3:44" x14ac:dyDescent="0.2"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</row>
    <row r="102" spans="3:44" x14ac:dyDescent="0.2"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</row>
    <row r="103" spans="3:44" x14ac:dyDescent="0.2"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</row>
    <row r="104" spans="3:44" x14ac:dyDescent="0.2"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</row>
    <row r="105" spans="3:44" x14ac:dyDescent="0.2"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</row>
    <row r="106" spans="3:44" x14ac:dyDescent="0.2"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</row>
    <row r="107" spans="3:44" x14ac:dyDescent="0.2"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</row>
    <row r="108" spans="3:44" x14ac:dyDescent="0.2"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</row>
    <row r="109" spans="3:44" x14ac:dyDescent="0.2"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</row>
    <row r="110" spans="3:44" x14ac:dyDescent="0.2"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</row>
    <row r="111" spans="3:44" x14ac:dyDescent="0.2"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</row>
    <row r="112" spans="3:44" x14ac:dyDescent="0.2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</row>
    <row r="113" spans="3:44" x14ac:dyDescent="0.2"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</row>
    <row r="114" spans="3:44" x14ac:dyDescent="0.2"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spans="3:44" x14ac:dyDescent="0.2"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</row>
    <row r="116" spans="3:44" x14ac:dyDescent="0.2"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</row>
    <row r="117" spans="3:44" x14ac:dyDescent="0.2"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</row>
    <row r="118" spans="3:44" x14ac:dyDescent="0.2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</row>
    <row r="119" spans="3:44" x14ac:dyDescent="0.2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</row>
    <row r="120" spans="3:44" x14ac:dyDescent="0.2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</row>
    <row r="121" spans="3:44" x14ac:dyDescent="0.2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</row>
    <row r="122" spans="3:44" x14ac:dyDescent="0.2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</row>
    <row r="123" spans="3:44" x14ac:dyDescent="0.2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</row>
    <row r="124" spans="3:44" x14ac:dyDescent="0.2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</row>
    <row r="125" spans="3:44" x14ac:dyDescent="0.2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</row>
    <row r="126" spans="3:44" x14ac:dyDescent="0.2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</row>
    <row r="127" spans="3:44" x14ac:dyDescent="0.2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</row>
    <row r="128" spans="3:44" x14ac:dyDescent="0.2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</row>
    <row r="129" spans="3:44" x14ac:dyDescent="0.2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</row>
    <row r="130" spans="3:44" x14ac:dyDescent="0.2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</row>
    <row r="131" spans="3:44" x14ac:dyDescent="0.2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</row>
    <row r="132" spans="3:44" x14ac:dyDescent="0.2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</row>
    <row r="133" spans="3:44" x14ac:dyDescent="0.2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</row>
    <row r="134" spans="3:44" x14ac:dyDescent="0.2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</row>
    <row r="135" spans="3:44" x14ac:dyDescent="0.2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</row>
    <row r="136" spans="3:44" x14ac:dyDescent="0.2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</row>
    <row r="137" spans="3:44" x14ac:dyDescent="0.2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</row>
    <row r="138" spans="3:44" x14ac:dyDescent="0.2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</row>
    <row r="139" spans="3:44" x14ac:dyDescent="0.2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</row>
    <row r="140" spans="3:44" x14ac:dyDescent="0.2"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</row>
    <row r="141" spans="3:44" x14ac:dyDescent="0.2"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</row>
    <row r="142" spans="3:44" x14ac:dyDescent="0.2"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</row>
    <row r="143" spans="3:44" x14ac:dyDescent="0.2"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</row>
    <row r="144" spans="3:44" x14ac:dyDescent="0.2"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</row>
    <row r="145" spans="3:44" x14ac:dyDescent="0.2"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</row>
    <row r="146" spans="3:44" x14ac:dyDescent="0.2"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</row>
    <row r="147" spans="3:44" x14ac:dyDescent="0.2"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</row>
    <row r="148" spans="3:44" x14ac:dyDescent="0.2"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</row>
    <row r="149" spans="3:44" x14ac:dyDescent="0.2"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</row>
    <row r="150" spans="3:44" x14ac:dyDescent="0.2"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</row>
    <row r="151" spans="3:44" x14ac:dyDescent="0.2"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</row>
    <row r="152" spans="3:44" x14ac:dyDescent="0.2"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</row>
    <row r="153" spans="3:44" x14ac:dyDescent="0.2"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</row>
    <row r="154" spans="3:44" x14ac:dyDescent="0.2"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</row>
    <row r="155" spans="3:44" x14ac:dyDescent="0.2"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</row>
    <row r="156" spans="3:44" x14ac:dyDescent="0.2"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</row>
    <row r="157" spans="3:44" x14ac:dyDescent="0.2"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</row>
    <row r="158" spans="3:44" x14ac:dyDescent="0.2"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</row>
    <row r="159" spans="3:44" x14ac:dyDescent="0.2"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</row>
    <row r="160" spans="3:44" x14ac:dyDescent="0.2"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</row>
    <row r="161" spans="3:44" x14ac:dyDescent="0.2"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</row>
    <row r="162" spans="3:44" x14ac:dyDescent="0.2"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</row>
    <row r="163" spans="3:44" x14ac:dyDescent="0.2"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</row>
    <row r="164" spans="3:44" x14ac:dyDescent="0.2"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</row>
    <row r="165" spans="3:44" x14ac:dyDescent="0.2"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</row>
    <row r="166" spans="3:44" x14ac:dyDescent="0.2"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</row>
    <row r="167" spans="3:44" x14ac:dyDescent="0.2"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</row>
    <row r="168" spans="3:44" x14ac:dyDescent="0.2"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</row>
    <row r="169" spans="3:44" x14ac:dyDescent="0.2"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</row>
    <row r="170" spans="3:44" x14ac:dyDescent="0.2"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</row>
    <row r="171" spans="3:44" x14ac:dyDescent="0.2"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</row>
    <row r="172" spans="3:44" x14ac:dyDescent="0.2"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</row>
    <row r="173" spans="3:44" x14ac:dyDescent="0.2"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</row>
    <row r="174" spans="3:44" x14ac:dyDescent="0.2"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</row>
    <row r="175" spans="3:44" x14ac:dyDescent="0.2"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</row>
    <row r="176" spans="3:44" x14ac:dyDescent="0.2"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</row>
    <row r="177" spans="3:44" x14ac:dyDescent="0.2"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</row>
    <row r="178" spans="3:44" x14ac:dyDescent="0.2"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</row>
    <row r="179" spans="3:44" x14ac:dyDescent="0.2"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</row>
    <row r="180" spans="3:44" x14ac:dyDescent="0.2"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</row>
    <row r="181" spans="3:44" x14ac:dyDescent="0.2"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</row>
    <row r="182" spans="3:44" x14ac:dyDescent="0.2"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</row>
    <row r="183" spans="3:44" x14ac:dyDescent="0.2"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</row>
    <row r="184" spans="3:44" x14ac:dyDescent="0.2"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</row>
    <row r="185" spans="3:44" x14ac:dyDescent="0.2"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</row>
    <row r="186" spans="3:44" x14ac:dyDescent="0.2"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</row>
    <row r="187" spans="3:44" x14ac:dyDescent="0.2"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</row>
    <row r="188" spans="3:44" x14ac:dyDescent="0.2"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</row>
    <row r="189" spans="3:44" x14ac:dyDescent="0.2"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</row>
    <row r="190" spans="3:44" x14ac:dyDescent="0.2"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</row>
    <row r="191" spans="3:44" x14ac:dyDescent="0.2"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</row>
    <row r="192" spans="3:44" x14ac:dyDescent="0.2"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</row>
    <row r="193" spans="3:44" x14ac:dyDescent="0.2"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</row>
    <row r="194" spans="3:44" x14ac:dyDescent="0.2"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</row>
    <row r="195" spans="3:44" x14ac:dyDescent="0.2"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</row>
    <row r="196" spans="3:44" x14ac:dyDescent="0.2"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</row>
    <row r="197" spans="3:44" x14ac:dyDescent="0.2"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</row>
    <row r="198" spans="3:44" x14ac:dyDescent="0.2"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</row>
    <row r="199" spans="3:44" x14ac:dyDescent="0.2"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</row>
    <row r="200" spans="3:44" x14ac:dyDescent="0.2"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</row>
    <row r="201" spans="3:44" x14ac:dyDescent="0.2"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</row>
    <row r="202" spans="3:44" x14ac:dyDescent="0.2"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</row>
    <row r="203" spans="3:44" x14ac:dyDescent="0.2"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</row>
    <row r="204" spans="3:44" x14ac:dyDescent="0.2"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</row>
    <row r="205" spans="3:44" x14ac:dyDescent="0.2"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</row>
    <row r="206" spans="3:44" x14ac:dyDescent="0.2"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</row>
    <row r="207" spans="3:44" x14ac:dyDescent="0.2"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</row>
    <row r="208" spans="3:44" x14ac:dyDescent="0.2"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</row>
    <row r="209" spans="3:44" x14ac:dyDescent="0.2"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</row>
    <row r="210" spans="3:44" x14ac:dyDescent="0.2"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</row>
    <row r="211" spans="3:44" x14ac:dyDescent="0.2"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</row>
    <row r="212" spans="3:44" x14ac:dyDescent="0.2"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</row>
    <row r="213" spans="3:44" x14ac:dyDescent="0.2"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</row>
    <row r="214" spans="3:44" x14ac:dyDescent="0.2"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</row>
    <row r="215" spans="3:44" x14ac:dyDescent="0.2"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</row>
    <row r="216" spans="3:44" x14ac:dyDescent="0.2"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</row>
    <row r="217" spans="3:44" x14ac:dyDescent="0.2"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</row>
    <row r="218" spans="3:44" x14ac:dyDescent="0.2"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</row>
    <row r="219" spans="3:44" x14ac:dyDescent="0.2"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</row>
    <row r="220" spans="3:44" x14ac:dyDescent="0.2"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</row>
    <row r="221" spans="3:44" x14ac:dyDescent="0.2"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</row>
    <row r="222" spans="3:44" x14ac:dyDescent="0.2"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</row>
    <row r="223" spans="3:44" x14ac:dyDescent="0.2"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</row>
    <row r="224" spans="3:44" x14ac:dyDescent="0.2"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</row>
    <row r="225" spans="3:44" x14ac:dyDescent="0.2"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</row>
    <row r="226" spans="3:44" x14ac:dyDescent="0.2"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</row>
    <row r="227" spans="3:44" x14ac:dyDescent="0.2"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</row>
    <row r="228" spans="3:44" x14ac:dyDescent="0.2"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</row>
    <row r="229" spans="3:44" x14ac:dyDescent="0.2"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</row>
    <row r="230" spans="3:44" x14ac:dyDescent="0.2"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</row>
    <row r="231" spans="3:44" x14ac:dyDescent="0.2"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</row>
    <row r="232" spans="3:44" x14ac:dyDescent="0.2"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</row>
    <row r="233" spans="3:44" x14ac:dyDescent="0.2"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</row>
    <row r="234" spans="3:44" x14ac:dyDescent="0.2"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</row>
    <row r="235" spans="3:44" x14ac:dyDescent="0.2"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</row>
    <row r="236" spans="3:44" x14ac:dyDescent="0.2"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</row>
    <row r="237" spans="3:44" x14ac:dyDescent="0.2"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</row>
    <row r="238" spans="3:44" x14ac:dyDescent="0.2"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</row>
    <row r="239" spans="3:44" x14ac:dyDescent="0.2"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</row>
    <row r="240" spans="3:44" x14ac:dyDescent="0.2"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</row>
    <row r="241" spans="3:44" x14ac:dyDescent="0.2"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</row>
    <row r="242" spans="3:44" x14ac:dyDescent="0.2"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</row>
    <row r="243" spans="3:44" x14ac:dyDescent="0.2"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</row>
    <row r="244" spans="3:44" x14ac:dyDescent="0.2"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</row>
    <row r="245" spans="3:44" x14ac:dyDescent="0.2"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</row>
    <row r="246" spans="3:44" x14ac:dyDescent="0.2"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</row>
    <row r="247" spans="3:44" x14ac:dyDescent="0.2"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</row>
    <row r="248" spans="3:44" x14ac:dyDescent="0.2"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</row>
    <row r="249" spans="3:44" x14ac:dyDescent="0.2"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</row>
    <row r="250" spans="3:44" x14ac:dyDescent="0.2"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</row>
    <row r="251" spans="3:44" x14ac:dyDescent="0.2"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</row>
    <row r="252" spans="3:44" x14ac:dyDescent="0.2"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</row>
  </sheetData>
  <hyperlinks>
    <hyperlink ref="A1" location="Main!A1" display="Main" xr:uid="{C876414E-677F-42BC-8905-4ED809C95C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2025-02-21T17:13:39Z</dcterms:created>
  <dcterms:modified xsi:type="dcterms:W3CDTF">2026-08-18T15:04:31Z</dcterms:modified>
</cp:coreProperties>
</file>