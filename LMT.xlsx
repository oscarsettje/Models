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21235A6F-41C1-4F5A-9BDB-CFD63D9E0E70}" xr6:coauthVersionLast="47" xr6:coauthVersionMax="47" xr10:uidLastSave="{00000000-0000-0000-0000-000000000000}"/>
  <bookViews>
    <workbookView xWindow="19095" yWindow="0" windowWidth="19410" windowHeight="20925" xr2:uid="{EA792E1E-3BA0-4584-A29C-9504A225675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5" i="2" l="1"/>
  <c r="R53" i="2"/>
  <c r="R54" i="2" s="1"/>
  <c r="S68" i="2"/>
  <c r="Q68" i="2"/>
  <c r="P68" i="2"/>
  <c r="O68" i="2"/>
  <c r="N68" i="2"/>
  <c r="M68" i="2"/>
  <c r="S65" i="2"/>
  <c r="R65" i="2"/>
  <c r="S61" i="2"/>
  <c r="S66" i="2" s="1"/>
  <c r="R61" i="2"/>
  <c r="R66" i="2" s="1"/>
  <c r="R68" i="2" s="1"/>
  <c r="T55" i="2"/>
  <c r="S53" i="2"/>
  <c r="S54" i="2" s="1"/>
  <c r="S48" i="2"/>
  <c r="S55" i="2" s="1"/>
  <c r="R48" i="2"/>
  <c r="K6" i="1"/>
  <c r="S15" i="2"/>
  <c r="Q15" i="2"/>
  <c r="R15" i="2"/>
  <c r="S29" i="2"/>
  <c r="S26" i="2"/>
  <c r="S28" i="2" s="1"/>
  <c r="S37" i="2"/>
  <c r="R29" i="2"/>
  <c r="R26" i="2"/>
  <c r="R28" i="2" s="1"/>
  <c r="P65" i="2"/>
  <c r="O65" i="2"/>
  <c r="N65" i="2"/>
  <c r="M65" i="2"/>
  <c r="L65" i="2"/>
  <c r="Q65" i="2"/>
  <c r="P61" i="2"/>
  <c r="O61" i="2"/>
  <c r="N61" i="2"/>
  <c r="M61" i="2"/>
  <c r="L61" i="2"/>
  <c r="Q61" i="2"/>
  <c r="P54" i="2"/>
  <c r="O54" i="2"/>
  <c r="N54" i="2"/>
  <c r="M54" i="2"/>
  <c r="L54" i="2"/>
  <c r="Q54" i="2"/>
  <c r="Q48" i="2"/>
  <c r="Q55" i="2" s="1"/>
  <c r="P48" i="2"/>
  <c r="O48" i="2"/>
  <c r="N48" i="2"/>
  <c r="M48" i="2"/>
  <c r="L48" i="2"/>
  <c r="O29" i="2"/>
  <c r="P29" i="2"/>
  <c r="Q29" i="2"/>
  <c r="O25" i="2"/>
  <c r="P25" i="2"/>
  <c r="Q25" i="2"/>
  <c r="N26" i="2"/>
  <c r="N28" i="2" s="1"/>
  <c r="N30" i="2" s="1"/>
  <c r="N32" i="2" s="1"/>
  <c r="M24" i="2"/>
  <c r="M26" i="2" s="1"/>
  <c r="M28" i="2" s="1"/>
  <c r="M30" i="2" s="1"/>
  <c r="M32" i="2" s="1"/>
  <c r="L24" i="2"/>
  <c r="L26" i="2" s="1"/>
  <c r="L28" i="2" s="1"/>
  <c r="L30" i="2" s="1"/>
  <c r="L32" i="2" s="1"/>
  <c r="K4" i="1"/>
  <c r="Q66" i="2" l="1"/>
  <c r="O66" i="2"/>
  <c r="P66" i="2"/>
  <c r="K7" i="1"/>
  <c r="S38" i="2"/>
  <c r="S30" i="2"/>
  <c r="S39" i="2"/>
  <c r="L55" i="2"/>
  <c r="O55" i="2"/>
  <c r="P55" i="2"/>
  <c r="O37" i="2"/>
  <c r="M38" i="2"/>
  <c r="Q37" i="2"/>
  <c r="N38" i="2"/>
  <c r="M37" i="2"/>
  <c r="N37" i="2"/>
  <c r="M39" i="2"/>
  <c r="N39" i="2"/>
  <c r="P37" i="2"/>
  <c r="L66" i="2"/>
  <c r="L68" i="2" s="1"/>
  <c r="M66" i="2"/>
  <c r="N66" i="2"/>
  <c r="Q26" i="2"/>
  <c r="M55" i="2"/>
  <c r="N55" i="2"/>
  <c r="R30" i="2"/>
  <c r="R39" i="2"/>
  <c r="M40" i="2"/>
  <c r="R37" i="2"/>
  <c r="R38" i="2"/>
  <c r="N40" i="2"/>
  <c r="P26" i="2"/>
  <c r="O26" i="2"/>
  <c r="S40" i="2" l="1"/>
  <c r="S32" i="2"/>
  <c r="S34" i="2" s="1"/>
  <c r="Q28" i="2"/>
  <c r="Q38" i="2"/>
  <c r="O28" i="2"/>
  <c r="O38" i="2"/>
  <c r="P28" i="2"/>
  <c r="P38" i="2"/>
  <c r="R40" i="2"/>
  <c r="R32" i="2"/>
  <c r="R34" i="2" s="1"/>
  <c r="Q30" i="2" l="1"/>
  <c r="Q39" i="2"/>
  <c r="P30" i="2"/>
  <c r="P39" i="2"/>
  <c r="O30" i="2"/>
  <c r="O39" i="2"/>
  <c r="Q32" i="2" l="1"/>
  <c r="Q34" i="2" s="1"/>
  <c r="Q40" i="2"/>
  <c r="O32" i="2"/>
  <c r="O34" i="2" s="1"/>
  <c r="O40" i="2"/>
  <c r="P32" i="2"/>
  <c r="P34" i="2" s="1"/>
  <c r="P40" i="2"/>
</calcChain>
</file>

<file path=xl/sharedStrings.xml><?xml version="1.0" encoding="utf-8"?>
<sst xmlns="http://schemas.openxmlformats.org/spreadsheetml/2006/main" count="140" uniqueCount="130">
  <si>
    <t xml:space="preserve">Lockhead Martin </t>
  </si>
  <si>
    <t>LMT</t>
  </si>
  <si>
    <t>in Mio USD</t>
  </si>
  <si>
    <t>Price</t>
  </si>
  <si>
    <t>Shares</t>
  </si>
  <si>
    <t>MC</t>
  </si>
  <si>
    <t>Cash</t>
  </si>
  <si>
    <t>Debt</t>
  </si>
  <si>
    <t>EV</t>
  </si>
  <si>
    <t>Main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</si>
  <si>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</si>
  <si>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</si>
  <si>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</si>
  <si>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</si>
  <si>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</si>
  <si>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</si>
  <si>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</si>
  <si>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</si>
  <si>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</t>
  </si>
  <si>
    <t>Products</t>
  </si>
  <si>
    <t>Services</t>
  </si>
  <si>
    <t>Aeronautics:</t>
  </si>
  <si>
    <t>tactical airlifter</t>
  </si>
  <si>
    <t>fighter</t>
  </si>
  <si>
    <t>stealth fighter</t>
  </si>
  <si>
    <t>largest program 26% of net sales, 64% of segment sales</t>
  </si>
  <si>
    <t>Segments</t>
  </si>
  <si>
    <t>Missles and Fire Control</t>
  </si>
  <si>
    <t>air and missle defense systems</t>
  </si>
  <si>
    <t>-F-35 Lighting II</t>
  </si>
  <si>
    <t>-C-130 Hercules</t>
  </si>
  <si>
    <t>-F-16 Fighting Falcon</t>
  </si>
  <si>
    <t>-F-22 Raptor</t>
  </si>
  <si>
    <t>-Patriot Advanced Capability 3 and Terminal Altitude Area Defense</t>
  </si>
  <si>
    <t>-Multiple Rocket Launch System, Precision Strike Missles,  Joint Air-to-Surface Standoff Missile,</t>
  </si>
  <si>
    <t xml:space="preserve"> Long Range Anti-Ship Missile  and Hellfire tactical and strike missile programs.</t>
  </si>
  <si>
    <t>Precison Strike Weapons</t>
  </si>
  <si>
    <t>-Apache Fire Control System, Sniper Advanced Targeted Pod, Infrared Search and Track</t>
  </si>
  <si>
    <t>Targeting systems</t>
  </si>
  <si>
    <t>FY18</t>
  </si>
  <si>
    <t>FY19</t>
  </si>
  <si>
    <t>FY20</t>
  </si>
  <si>
    <t>FY21</t>
  </si>
  <si>
    <t>FY22</t>
  </si>
  <si>
    <t>FY23</t>
  </si>
  <si>
    <t>FY24</t>
  </si>
  <si>
    <t>Aeronaumatics</t>
  </si>
  <si>
    <t>Rotary and Mission Systems</t>
  </si>
  <si>
    <t>Space</t>
  </si>
  <si>
    <t>COGS</t>
  </si>
  <si>
    <t>Gross Profit</t>
  </si>
  <si>
    <t xml:space="preserve">Other Income </t>
  </si>
  <si>
    <t>Operating Profit</t>
  </si>
  <si>
    <t>Interest Income</t>
  </si>
  <si>
    <t>Pretax Income</t>
  </si>
  <si>
    <t>Income Tax</t>
  </si>
  <si>
    <t>Net Income</t>
  </si>
  <si>
    <t>-Special Operations Forces Global Logistics Support Services</t>
  </si>
  <si>
    <t>Logistic Services to U.S. Army</t>
  </si>
  <si>
    <t xml:space="preserve">-Hypersonics Program </t>
  </si>
  <si>
    <t>Hypersonic weapon systems for U.S. military and Air-Force</t>
  </si>
  <si>
    <t xml:space="preserve">-Javelin Program </t>
  </si>
  <si>
    <t>One-person portable platform anti-tank und multiple target weapon system</t>
  </si>
  <si>
    <t xml:space="preserve">-Sikorsky helicopter program related to Black Hawk, Seahawk etc </t>
  </si>
  <si>
    <t>Transport mission for U.S. Marine Helicopters</t>
  </si>
  <si>
    <t>-Imtegrated Warfare Systems and Sensor for example Aegis Combat System</t>
  </si>
  <si>
    <t>Weapon System for U.S. Marine and other international  Battleships for open sea combat</t>
  </si>
  <si>
    <t>-C6ISR Programs and C2BMC</t>
  </si>
  <si>
    <t>Air operation  Missile Defense System and undersea combat programs</t>
  </si>
  <si>
    <t>-Training and Logistic services</t>
  </si>
  <si>
    <t>Provide Simulators and training programs for U.S. Military and other Militaries</t>
  </si>
  <si>
    <t>-Next Gen OPIR</t>
  </si>
  <si>
    <t>Worldwide missiles warning systems</t>
  </si>
  <si>
    <t>-Trident II D5 FBM</t>
  </si>
  <si>
    <t xml:space="preserve">Submarine launched ballistic missiles </t>
  </si>
  <si>
    <t xml:space="preserve">-The Orion Multi-purpose Crew Vehicle </t>
  </si>
  <si>
    <t xml:space="preserve">Spacecraft for NASA </t>
  </si>
  <si>
    <t>-Next Generation Interceptor</t>
  </si>
  <si>
    <t>Missile Defense</t>
  </si>
  <si>
    <t>-Global Positioning System III</t>
  </si>
  <si>
    <t>GPS Satelite System</t>
  </si>
  <si>
    <t>-Hypersonics System</t>
  </si>
  <si>
    <t>Hypersonic strike weapons</t>
  </si>
  <si>
    <t>Transport Layer Program</t>
  </si>
  <si>
    <t>space coomunications</t>
  </si>
  <si>
    <t>Backlog Aeronaumatics</t>
  </si>
  <si>
    <t>Backlog MMS</t>
  </si>
  <si>
    <t>Missiles and Fire Control</t>
  </si>
  <si>
    <t>Backlog RMS</t>
  </si>
  <si>
    <t>Backlog Space</t>
  </si>
  <si>
    <t>Backlog Total</t>
  </si>
  <si>
    <t>Revenue Growth</t>
  </si>
  <si>
    <t>Gross Margin</t>
  </si>
  <si>
    <t>Operating Margin</t>
  </si>
  <si>
    <t>Tax Rate</t>
  </si>
  <si>
    <t>Balance Sheets</t>
  </si>
  <si>
    <t>x</t>
  </si>
  <si>
    <t>Cash and Cash Equivalents</t>
  </si>
  <si>
    <t>Receivables</t>
  </si>
  <si>
    <t>Contract Assets</t>
  </si>
  <si>
    <t>Inventories</t>
  </si>
  <si>
    <t>Other</t>
  </si>
  <si>
    <t>Current Assets</t>
  </si>
  <si>
    <t>PP&amp;E</t>
  </si>
  <si>
    <t>Goodwill</t>
  </si>
  <si>
    <t>Intangibles</t>
  </si>
  <si>
    <t>Defferd Taxes</t>
  </si>
  <si>
    <t>Non-Current Assets</t>
  </si>
  <si>
    <t>Assets</t>
  </si>
  <si>
    <t>Accounts Payable</t>
  </si>
  <si>
    <t>Contract Liabilties</t>
  </si>
  <si>
    <t>Current Debt</t>
  </si>
  <si>
    <t>Current Liabilties</t>
  </si>
  <si>
    <t>Accrued Pension Liabilties</t>
  </si>
  <si>
    <t>Accrued Expenses</t>
  </si>
  <si>
    <t>Non Current Liabilties</t>
  </si>
  <si>
    <t>Liabilities</t>
  </si>
  <si>
    <t>Equity</t>
  </si>
  <si>
    <t>Equity &amp; Liabilties</t>
  </si>
  <si>
    <t>EPS</t>
  </si>
  <si>
    <t>IR</t>
  </si>
  <si>
    <t>Aircraft Deliveries</t>
  </si>
  <si>
    <t>F-35</t>
  </si>
  <si>
    <t>F-16</t>
  </si>
  <si>
    <t>C130J</t>
  </si>
  <si>
    <t>Government Helicopter</t>
  </si>
  <si>
    <t>Commercial Helicopter</t>
  </si>
  <si>
    <t>International Helicpoter</t>
  </si>
  <si>
    <t>FY25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</si>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</sst>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;\(#,##0\)"/>
    <numFmt numFmtId="166" formatCode="#,##0.00;\(#,##0.00\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29">
    <xf numFmtId="0" fontId="0" fillId="0" borderId="0" xfId="0"/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7" fillId="0" borderId="0" xfId="1" applyFont="1"/>
    <xf numFmtId="0" fontId="6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8" fillId="0" borderId="4" xfId="0" applyFont="1" applyBorder="1"/>
    <xf numFmtId="0" fontId="3" fillId="0" borderId="5" xfId="0" applyFont="1" applyBorder="1"/>
    <xf numFmtId="0" fontId="3" fillId="0" borderId="4" xfId="0" quotePrefix="1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 applyAlignment="1">
      <alignment horizontal="center"/>
    </xf>
    <xf numFmtId="0" fontId="9" fillId="0" borderId="0" xfId="0" applyFont="1"/>
    <xf numFmtId="165" fontId="3" fillId="0" borderId="0" xfId="0" applyNumberFormat="1" applyFont="1"/>
    <xf numFmtId="165" fontId="6" fillId="0" borderId="0" xfId="0" applyNumberFormat="1" applyFont="1"/>
    <xf numFmtId="9" fontId="3" fillId="0" borderId="0" xfId="2" applyFont="1"/>
    <xf numFmtId="0" fontId="2" fillId="0" borderId="0" xfId="0" applyFont="1"/>
    <xf numFmtId="165" fontId="2" fillId="0" borderId="0" xfId="0" applyNumberFormat="1" applyFont="1"/>
    <xf numFmtId="9" fontId="6" fillId="0" borderId="0" xfId="2" applyFont="1"/>
    <xf numFmtId="0" fontId="1" fillId="0" borderId="0" xfId="0" applyFont="1" applyAlignment="1">
      <alignment horizontal="right"/>
    </xf>
    <xf numFmtId="166" fontId="2" fillId="0" borderId="0" xfId="0" applyNumberFormat="1" applyFont="1"/>
    <xf numFmtId="166" fontId="3" fillId="0" borderId="0" xfId="0" applyNumberFormat="1" applyFont="1"/>
    <xf numFmtId="0" fontId="1" fillId="0" borderId="0" xfId="0" applyFont="1"/>
    <xf numFmtId="0" fontId="8" fillId="0" borderId="0" xfId="0" applyFont="1"/>
    <xf numFmtId="165" fontId="1" fillId="0" borderId="0" xfId="0" applyNumberFormat="1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nvestors.lockheedmartin.com/" TargetMode="External"/><Relationship Id="rId1" Type="http://schemas.openxmlformats.org/officeDocument/2006/relationships/hyperlink" Target="https://www.sec.gov/edgar/browse/?CIK=936468&amp;owner=exclu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8FC46-0B49-4B94-B3CC-6630A63E4D0B}">
  <dimension ref="A1:Q35"/>
  <sheetViews>
    <sheetView tabSelected="1" zoomScale="200" zoomScaleNormal="200" workbookViewId="0">
      <selection activeCell="A3" sqref="A3"/>
    </sheetView>
  </sheetViews>
  <sheetFormatPr defaultRowHeight="12.75" x14ac:dyDescent="0.2"/>
  <cols>
    <col min="1" max="1" width="5.5703125" style="2" customWidth="1"/>
    <col min="2" max="16384" width="9.140625" style="2"/>
  </cols>
  <sheetData>
    <row r="1" spans="1:17" x14ac:dyDescent="0.2">
      <c r="A1" s="1" t="s">
        <v>0</v>
      </c>
    </row>
    <row r="2" spans="1:17" x14ac:dyDescent="0.2">
      <c r="A2" s="2" t="s">
        <v>2</v>
      </c>
      <c r="J2" s="2" t="s">
        <v>3</v>
      </c>
      <c r="K2" s="2">
        <v>639</v>
      </c>
    </row>
    <row r="3" spans="1:17" x14ac:dyDescent="0.2">
      <c r="C3" s="4" t="s">
        <v>120</v>
      </c>
      <c r="D3" s="4" t="s">
        <v>1</v>
      </c>
      <c r="J3" s="2" t="s">
        <v>4</v>
      </c>
      <c r="K3" s="21">
        <v>232.7</v>
      </c>
      <c r="L3" s="23" t="s">
        <v>129</v>
      </c>
    </row>
    <row r="4" spans="1:17" x14ac:dyDescent="0.2">
      <c r="J4" s="2" t="s">
        <v>5</v>
      </c>
      <c r="K4" s="17">
        <f>K2*K3</f>
        <v>148695.29999999999</v>
      </c>
    </row>
    <row r="5" spans="1:17" x14ac:dyDescent="0.2">
      <c r="J5" s="2" t="s">
        <v>6</v>
      </c>
      <c r="K5" s="17">
        <v>4121</v>
      </c>
      <c r="L5" s="23" t="s">
        <v>129</v>
      </c>
    </row>
    <row r="6" spans="1:17" x14ac:dyDescent="0.2">
      <c r="J6" s="2" t="s">
        <v>7</v>
      </c>
      <c r="K6" s="17">
        <f>1168+20532</f>
        <v>21700</v>
      </c>
      <c r="L6" s="23" t="s">
        <v>129</v>
      </c>
    </row>
    <row r="7" spans="1:17" x14ac:dyDescent="0.2">
      <c r="J7" s="2" t="s">
        <v>8</v>
      </c>
      <c r="K7" s="17">
        <f>K4-K5+K6</f>
        <v>166274.29999999999</v>
      </c>
    </row>
    <row r="9" spans="1:17" x14ac:dyDescent="0.2">
      <c r="B9" s="5" t="s">
        <v>26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</row>
    <row r="10" spans="1:17" x14ac:dyDescent="0.2">
      <c r="B10" s="8" t="s">
        <v>21</v>
      </c>
      <c r="Q10" s="9"/>
    </row>
    <row r="11" spans="1:17" x14ac:dyDescent="0.2">
      <c r="B11" s="10" t="s">
        <v>29</v>
      </c>
      <c r="D11" s="2" t="s">
        <v>24</v>
      </c>
      <c r="F11" s="2" t="s">
        <v>25</v>
      </c>
      <c r="Q11" s="9"/>
    </row>
    <row r="12" spans="1:17" x14ac:dyDescent="0.2">
      <c r="B12" s="10" t="s">
        <v>30</v>
      </c>
      <c r="D12" s="2" t="s">
        <v>22</v>
      </c>
      <c r="Q12" s="9"/>
    </row>
    <row r="13" spans="1:17" x14ac:dyDescent="0.2">
      <c r="B13" s="10" t="s">
        <v>31</v>
      </c>
      <c r="D13" s="2" t="s">
        <v>23</v>
      </c>
      <c r="Q13" s="9"/>
    </row>
    <row r="14" spans="1:17" x14ac:dyDescent="0.2">
      <c r="B14" s="10" t="s">
        <v>32</v>
      </c>
      <c r="D14" s="2" t="s">
        <v>24</v>
      </c>
      <c r="Q14" s="9"/>
    </row>
    <row r="15" spans="1:17" x14ac:dyDescent="0.2">
      <c r="B15" s="8" t="s">
        <v>27</v>
      </c>
      <c r="Q15" s="9"/>
    </row>
    <row r="16" spans="1:17" x14ac:dyDescent="0.2">
      <c r="B16" s="10" t="s">
        <v>33</v>
      </c>
      <c r="J16" s="2" t="s">
        <v>28</v>
      </c>
      <c r="Q16" s="9"/>
    </row>
    <row r="17" spans="2:17" x14ac:dyDescent="0.2">
      <c r="B17" s="10" t="s">
        <v>34</v>
      </c>
      <c r="Q17" s="9"/>
    </row>
    <row r="18" spans="2:17" x14ac:dyDescent="0.2">
      <c r="B18" s="11" t="s">
        <v>35</v>
      </c>
      <c r="J18" s="2" t="s">
        <v>36</v>
      </c>
      <c r="Q18" s="9"/>
    </row>
    <row r="19" spans="2:17" x14ac:dyDescent="0.2">
      <c r="B19" s="10" t="s">
        <v>37</v>
      </c>
      <c r="J19" s="2" t="s">
        <v>38</v>
      </c>
      <c r="Q19" s="9"/>
    </row>
    <row r="20" spans="2:17" x14ac:dyDescent="0.2">
      <c r="B20" s="10" t="s">
        <v>57</v>
      </c>
      <c r="J20" s="2" t="s">
        <v>58</v>
      </c>
      <c r="Q20" s="9"/>
    </row>
    <row r="21" spans="2:17" x14ac:dyDescent="0.2">
      <c r="B21" s="10" t="s">
        <v>59</v>
      </c>
      <c r="E21" s="2" t="s">
        <v>60</v>
      </c>
      <c r="Q21" s="9"/>
    </row>
    <row r="22" spans="2:17" x14ac:dyDescent="0.2">
      <c r="B22" s="10" t="s">
        <v>61</v>
      </c>
      <c r="E22" s="2" t="s">
        <v>62</v>
      </c>
      <c r="Q22" s="9"/>
    </row>
    <row r="23" spans="2:17" x14ac:dyDescent="0.2">
      <c r="B23" s="8" t="s">
        <v>47</v>
      </c>
      <c r="Q23" s="9"/>
    </row>
    <row r="24" spans="2:17" x14ac:dyDescent="0.2">
      <c r="B24" s="10" t="s">
        <v>63</v>
      </c>
      <c r="I24" s="2" t="s">
        <v>64</v>
      </c>
      <c r="Q24" s="9"/>
    </row>
    <row r="25" spans="2:17" x14ac:dyDescent="0.2">
      <c r="B25" s="10" t="s">
        <v>65</v>
      </c>
      <c r="I25" s="2" t="s">
        <v>66</v>
      </c>
      <c r="Q25" s="9"/>
    </row>
    <row r="26" spans="2:17" x14ac:dyDescent="0.2">
      <c r="B26" s="10" t="s">
        <v>67</v>
      </c>
      <c r="F26" s="2" t="s">
        <v>68</v>
      </c>
      <c r="Q26" s="9"/>
    </row>
    <row r="27" spans="2:17" x14ac:dyDescent="0.2">
      <c r="B27" s="10" t="s">
        <v>69</v>
      </c>
      <c r="F27" s="2" t="s">
        <v>70</v>
      </c>
      <c r="Q27" s="9"/>
    </row>
    <row r="28" spans="2:17" x14ac:dyDescent="0.2">
      <c r="B28" s="8" t="s">
        <v>48</v>
      </c>
      <c r="Q28" s="9"/>
    </row>
    <row r="29" spans="2:17" x14ac:dyDescent="0.2">
      <c r="B29" s="10" t="s">
        <v>71</v>
      </c>
      <c r="F29" s="2" t="s">
        <v>72</v>
      </c>
      <c r="Q29" s="9"/>
    </row>
    <row r="30" spans="2:17" x14ac:dyDescent="0.2">
      <c r="B30" s="10" t="s">
        <v>73</v>
      </c>
      <c r="F30" s="2" t="s">
        <v>74</v>
      </c>
      <c r="Q30" s="9"/>
    </row>
    <row r="31" spans="2:17" x14ac:dyDescent="0.2">
      <c r="B31" s="10" t="s">
        <v>75</v>
      </c>
      <c r="F31" s="2" t="s">
        <v>76</v>
      </c>
      <c r="Q31" s="9"/>
    </row>
    <row r="32" spans="2:17" x14ac:dyDescent="0.2">
      <c r="B32" s="10" t="s">
        <v>77</v>
      </c>
      <c r="F32" s="2" t="s">
        <v>78</v>
      </c>
      <c r="Q32" s="9"/>
    </row>
    <row r="33" spans="2:17" x14ac:dyDescent="0.2">
      <c r="B33" s="10" t="s">
        <v>79</v>
      </c>
      <c r="F33" s="2" t="s">
        <v>80</v>
      </c>
      <c r="Q33" s="9"/>
    </row>
    <row r="34" spans="2:17" x14ac:dyDescent="0.2">
      <c r="B34" s="10" t="s">
        <v>81</v>
      </c>
      <c r="F34" s="2" t="s">
        <v>82</v>
      </c>
      <c r="Q34" s="9"/>
    </row>
    <row r="35" spans="2:17" x14ac:dyDescent="0.2">
      <c r="B35" s="12" t="s">
        <v>83</v>
      </c>
      <c r="C35" s="13"/>
      <c r="D35" s="13"/>
      <c r="E35" s="13"/>
      <c r="F35" s="13" t="s">
        <v>84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4"/>
    </row>
  </sheetData>
  <hyperlinks>
    <hyperlink ref="D3" r:id="rId1" display="SEC" xr:uid="{65F0FF9F-F09A-4FF2-95F2-D5B451855853}"/>
    <hyperlink ref="C3" r:id="rId2" display="LMT" xr:uid="{1E9D84AC-F519-4293-B725-B0C8DF6D5E75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CA57-4E24-4CA5-A0F0-6B7F19F9F5C3}">
  <dimension ref="A1:T68"/>
  <sheetViews>
    <sheetView zoomScale="200" zoomScaleNormal="200" workbookViewId="0">
      <pane xSplit="2" ySplit="2" topLeftCell="N7" activePane="bottomRight" state="frozen"/>
      <selection pane="topRight" activeCell="C1" sqref="C1"/>
      <selection pane="bottomLeft" activeCell="A3" sqref="A3"/>
      <selection pane="bottomRight" activeCell="S35" sqref="S35"/>
    </sheetView>
  </sheetViews>
  <sheetFormatPr defaultRowHeight="12.75" x14ac:dyDescent="0.2"/>
  <cols>
    <col min="1" max="1" width="4.7109375" style="2" bestFit="1" customWidth="1"/>
    <col min="2" max="2" width="23.42578125" style="2" bestFit="1" customWidth="1"/>
    <col min="3" max="11" width="9.140625" style="17"/>
    <col min="12" max="16" width="9.42578125" style="17" bestFit="1" customWidth="1"/>
    <col min="17" max="17" width="10.140625" style="17" bestFit="1" customWidth="1"/>
    <col min="18" max="16384" width="9.140625" style="17"/>
  </cols>
  <sheetData>
    <row r="1" spans="1:19" s="2" customFormat="1" x14ac:dyDescent="0.2">
      <c r="A1" s="4" t="s">
        <v>9</v>
      </c>
      <c r="Q1" s="17"/>
    </row>
    <row r="2" spans="1:19" s="2" customFormat="1" x14ac:dyDescent="0.2"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23" t="s">
        <v>44</v>
      </c>
      <c r="R2" s="3" t="s">
        <v>45</v>
      </c>
      <c r="S2" s="23" t="s">
        <v>128</v>
      </c>
    </row>
    <row r="3" spans="1:19" x14ac:dyDescent="0.2">
      <c r="B3" s="27" t="s">
        <v>121</v>
      </c>
    </row>
    <row r="4" spans="1:19" x14ac:dyDescent="0.2">
      <c r="B4" s="26" t="s">
        <v>122</v>
      </c>
      <c r="R4" s="17">
        <v>110</v>
      </c>
      <c r="S4" s="17">
        <v>191</v>
      </c>
    </row>
    <row r="5" spans="1:19" x14ac:dyDescent="0.2">
      <c r="B5" s="26" t="s">
        <v>123</v>
      </c>
      <c r="R5" s="17">
        <v>16</v>
      </c>
      <c r="S5" s="17">
        <v>16</v>
      </c>
    </row>
    <row r="6" spans="1:19" x14ac:dyDescent="0.2">
      <c r="B6" s="26" t="s">
        <v>124</v>
      </c>
      <c r="R6" s="17">
        <v>21</v>
      </c>
      <c r="S6" s="17">
        <v>2</v>
      </c>
    </row>
    <row r="7" spans="1:19" x14ac:dyDescent="0.2">
      <c r="B7" s="26" t="s">
        <v>125</v>
      </c>
      <c r="R7" s="17">
        <v>72</v>
      </c>
      <c r="S7" s="17">
        <v>90</v>
      </c>
    </row>
    <row r="8" spans="1:19" x14ac:dyDescent="0.2">
      <c r="B8" s="26" t="s">
        <v>126</v>
      </c>
      <c r="R8" s="17">
        <v>1</v>
      </c>
      <c r="S8" s="17">
        <v>2</v>
      </c>
    </row>
    <row r="9" spans="1:19" x14ac:dyDescent="0.2">
      <c r="B9" s="26" t="s">
        <v>127</v>
      </c>
      <c r="R9" s="17">
        <v>17</v>
      </c>
      <c r="S9" s="17">
        <v>17</v>
      </c>
    </row>
    <row r="10" spans="1:19" x14ac:dyDescent="0.2">
      <c r="B10" s="26"/>
    </row>
    <row r="11" spans="1:19" x14ac:dyDescent="0.2">
      <c r="B11" s="2" t="s">
        <v>85</v>
      </c>
      <c r="Q11" s="17">
        <v>60156</v>
      </c>
      <c r="R11" s="17">
        <v>62763</v>
      </c>
      <c r="S11" s="17">
        <v>59435</v>
      </c>
    </row>
    <row r="12" spans="1:19" x14ac:dyDescent="0.2">
      <c r="B12" s="2" t="s">
        <v>86</v>
      </c>
      <c r="Q12" s="17">
        <v>32229</v>
      </c>
      <c r="R12" s="17">
        <v>38783</v>
      </c>
      <c r="S12" s="17">
        <v>46650</v>
      </c>
    </row>
    <row r="13" spans="1:19" x14ac:dyDescent="0.2">
      <c r="B13" s="2" t="s">
        <v>88</v>
      </c>
      <c r="Q13" s="17">
        <v>37726</v>
      </c>
      <c r="R13" s="17">
        <v>38117</v>
      </c>
      <c r="S13" s="17">
        <v>47715</v>
      </c>
    </row>
    <row r="14" spans="1:19" x14ac:dyDescent="0.2">
      <c r="B14" s="2" t="s">
        <v>89</v>
      </c>
      <c r="Q14" s="17">
        <v>30456</v>
      </c>
      <c r="R14" s="17">
        <v>36377</v>
      </c>
      <c r="S14" s="17">
        <v>39822</v>
      </c>
    </row>
    <row r="15" spans="1:19" x14ac:dyDescent="0.2">
      <c r="B15" s="2" t="s">
        <v>90</v>
      </c>
      <c r="Q15" s="17">
        <f>SUM(Q11:Q14)</f>
        <v>160567</v>
      </c>
      <c r="R15" s="17">
        <f>SUM(R11:R14)</f>
        <v>176040</v>
      </c>
      <c r="S15" s="17">
        <f>SUM(S11:S14)</f>
        <v>193622</v>
      </c>
    </row>
    <row r="18" spans="1:19" x14ac:dyDescent="0.2">
      <c r="B18" s="2" t="s">
        <v>46</v>
      </c>
      <c r="O18" s="17">
        <v>26748</v>
      </c>
      <c r="P18" s="17">
        <v>26987</v>
      </c>
      <c r="Q18" s="17">
        <v>27474</v>
      </c>
      <c r="R18" s="17">
        <v>28618</v>
      </c>
      <c r="S18" s="17">
        <v>30257</v>
      </c>
    </row>
    <row r="19" spans="1:19" x14ac:dyDescent="0.2">
      <c r="B19" s="2" t="s">
        <v>87</v>
      </c>
      <c r="O19" s="17">
        <v>11693</v>
      </c>
      <c r="P19" s="17">
        <v>11317</v>
      </c>
      <c r="Q19" s="17">
        <v>11253</v>
      </c>
      <c r="R19" s="17">
        <v>12682</v>
      </c>
      <c r="S19" s="17">
        <v>14450</v>
      </c>
    </row>
    <row r="20" spans="1:19" x14ac:dyDescent="0.2">
      <c r="B20" s="2" t="s">
        <v>47</v>
      </c>
      <c r="O20" s="17">
        <v>16789</v>
      </c>
      <c r="P20" s="17">
        <v>16148</v>
      </c>
      <c r="Q20" s="17">
        <v>16239</v>
      </c>
      <c r="R20" s="17">
        <v>17264</v>
      </c>
      <c r="S20" s="17">
        <v>17312</v>
      </c>
    </row>
    <row r="21" spans="1:19" x14ac:dyDescent="0.2">
      <c r="B21" s="2" t="s">
        <v>48</v>
      </c>
      <c r="O21" s="17">
        <v>11814</v>
      </c>
      <c r="P21" s="17">
        <v>11532</v>
      </c>
      <c r="Q21" s="17">
        <v>12605</v>
      </c>
      <c r="R21" s="17">
        <v>12479</v>
      </c>
      <c r="S21" s="17">
        <v>13029</v>
      </c>
    </row>
    <row r="22" spans="1:19" x14ac:dyDescent="0.2">
      <c r="B22" s="2" t="s">
        <v>19</v>
      </c>
      <c r="O22" s="17">
        <v>56435</v>
      </c>
      <c r="P22" s="17">
        <v>55466</v>
      </c>
      <c r="Q22" s="17">
        <v>56265</v>
      </c>
      <c r="R22" s="17">
        <v>59277</v>
      </c>
    </row>
    <row r="23" spans="1:19" x14ac:dyDescent="0.2">
      <c r="B23" s="2" t="s">
        <v>20</v>
      </c>
      <c r="O23" s="17">
        <v>10609</v>
      </c>
      <c r="P23" s="17">
        <v>10518</v>
      </c>
      <c r="Q23" s="17">
        <v>11306</v>
      </c>
      <c r="R23" s="17">
        <v>11766</v>
      </c>
    </row>
    <row r="24" spans="1:19" x14ac:dyDescent="0.2">
      <c r="B24" s="1" t="s">
        <v>18</v>
      </c>
      <c r="L24" s="18">
        <f t="shared" ref="L24:M24" si="0">SUM(L22:L23)</f>
        <v>0</v>
      </c>
      <c r="M24" s="18">
        <f t="shared" si="0"/>
        <v>0</v>
      </c>
      <c r="N24" s="18">
        <v>0</v>
      </c>
      <c r="O24" s="18">
        <v>67044</v>
      </c>
      <c r="P24" s="18">
        <v>65984</v>
      </c>
      <c r="Q24" s="18">
        <v>67571</v>
      </c>
      <c r="R24" s="18">
        <v>71043</v>
      </c>
      <c r="S24" s="18">
        <v>75048</v>
      </c>
    </row>
    <row r="25" spans="1:19" x14ac:dyDescent="0.2">
      <c r="B25" s="2" t="s">
        <v>49</v>
      </c>
      <c r="O25" s="17">
        <f>50017+9434+36-1504</f>
        <v>57983</v>
      </c>
      <c r="P25" s="17">
        <f>49357+9252+100-1012</f>
        <v>57697</v>
      </c>
      <c r="Q25" s="17">
        <f>50206+10027+92-1233</f>
        <v>59092</v>
      </c>
      <c r="R25" s="17">
        <v>64113</v>
      </c>
      <c r="S25" s="17">
        <v>67429</v>
      </c>
    </row>
    <row r="26" spans="1:19" s="21" customFormat="1" x14ac:dyDescent="0.2">
      <c r="A26" s="2"/>
      <c r="B26" s="20" t="s">
        <v>50</v>
      </c>
      <c r="L26" s="21">
        <f t="shared" ref="L26:P26" si="1">L24-L25</f>
        <v>0</v>
      </c>
      <c r="M26" s="21">
        <f t="shared" si="1"/>
        <v>0</v>
      </c>
      <c r="N26" s="21">
        <f t="shared" si="1"/>
        <v>0</v>
      </c>
      <c r="O26" s="21">
        <f t="shared" si="1"/>
        <v>9061</v>
      </c>
      <c r="P26" s="21">
        <f t="shared" si="1"/>
        <v>8287</v>
      </c>
      <c r="Q26" s="17">
        <f>Q24-Q25</f>
        <v>8479</v>
      </c>
      <c r="R26" s="21">
        <f>R24-R25</f>
        <v>6930</v>
      </c>
      <c r="S26" s="21">
        <f>S24-S25</f>
        <v>7619</v>
      </c>
    </row>
    <row r="27" spans="1:19" x14ac:dyDescent="0.2">
      <c r="B27" s="2" t="s">
        <v>51</v>
      </c>
      <c r="O27" s="17">
        <v>62</v>
      </c>
      <c r="P27" s="17">
        <v>61</v>
      </c>
      <c r="Q27" s="17">
        <v>28</v>
      </c>
      <c r="R27" s="17">
        <v>83</v>
      </c>
      <c r="S27" s="17">
        <v>112</v>
      </c>
    </row>
    <row r="28" spans="1:19" s="21" customFormat="1" x14ac:dyDescent="0.2">
      <c r="A28" s="2"/>
      <c r="B28" s="20" t="s">
        <v>52</v>
      </c>
      <c r="L28" s="21">
        <f t="shared" ref="L28:P28" si="2">L26+L27</f>
        <v>0</v>
      </c>
      <c r="M28" s="21">
        <f t="shared" si="2"/>
        <v>0</v>
      </c>
      <c r="N28" s="21">
        <f t="shared" si="2"/>
        <v>0</v>
      </c>
      <c r="O28" s="21">
        <f t="shared" si="2"/>
        <v>9123</v>
      </c>
      <c r="P28" s="21">
        <f t="shared" si="2"/>
        <v>8348</v>
      </c>
      <c r="Q28" s="17">
        <f>Q26+Q27</f>
        <v>8507</v>
      </c>
      <c r="R28" s="21">
        <f>R26+R27</f>
        <v>7013</v>
      </c>
      <c r="S28" s="21">
        <f>S26+S27</f>
        <v>7731</v>
      </c>
    </row>
    <row r="29" spans="1:19" x14ac:dyDescent="0.2">
      <c r="B29" s="2" t="s">
        <v>53</v>
      </c>
      <c r="O29" s="17">
        <f>-569-1292+288</f>
        <v>-1573</v>
      </c>
      <c r="P29" s="17">
        <f>-623-971-74</f>
        <v>-1668</v>
      </c>
      <c r="Q29" s="17">
        <f>-916+443+64</f>
        <v>-409</v>
      </c>
      <c r="R29" s="17">
        <f>-1036+62+181</f>
        <v>-793</v>
      </c>
      <c r="S29" s="17">
        <f>-1118-874+183</f>
        <v>-1809</v>
      </c>
    </row>
    <row r="30" spans="1:19" x14ac:dyDescent="0.2">
      <c r="B30" s="2" t="s">
        <v>54</v>
      </c>
      <c r="L30" s="17">
        <f t="shared" ref="L30:P30" si="3">L28+L29</f>
        <v>0</v>
      </c>
      <c r="M30" s="17">
        <f t="shared" si="3"/>
        <v>0</v>
      </c>
      <c r="N30" s="17">
        <f t="shared" si="3"/>
        <v>0</v>
      </c>
      <c r="O30" s="17">
        <f t="shared" si="3"/>
        <v>7550</v>
      </c>
      <c r="P30" s="17">
        <f t="shared" si="3"/>
        <v>6680</v>
      </c>
      <c r="Q30" s="17">
        <f>Q28+Q29</f>
        <v>8098</v>
      </c>
      <c r="R30" s="17">
        <f>R28+R29</f>
        <v>6220</v>
      </c>
      <c r="S30" s="17">
        <f>S28+S29</f>
        <v>5922</v>
      </c>
    </row>
    <row r="31" spans="1:19" x14ac:dyDescent="0.2">
      <c r="B31" s="2" t="s">
        <v>55</v>
      </c>
      <c r="O31" s="17">
        <v>1235</v>
      </c>
      <c r="P31" s="17">
        <v>948</v>
      </c>
      <c r="Q31" s="17">
        <v>1178</v>
      </c>
      <c r="R31" s="17">
        <v>884</v>
      </c>
      <c r="S31" s="17">
        <v>905</v>
      </c>
    </row>
    <row r="32" spans="1:19" s="21" customFormat="1" x14ac:dyDescent="0.2">
      <c r="A32" s="2"/>
      <c r="B32" s="20" t="s">
        <v>56</v>
      </c>
      <c r="L32" s="21">
        <f t="shared" ref="L32:P32" si="4">L30-L31</f>
        <v>0</v>
      </c>
      <c r="M32" s="21">
        <f t="shared" si="4"/>
        <v>0</v>
      </c>
      <c r="N32" s="21">
        <f t="shared" si="4"/>
        <v>0</v>
      </c>
      <c r="O32" s="21">
        <f t="shared" si="4"/>
        <v>6315</v>
      </c>
      <c r="P32" s="21">
        <f t="shared" si="4"/>
        <v>5732</v>
      </c>
      <c r="Q32" s="17">
        <f>Q30-Q31</f>
        <v>6920</v>
      </c>
      <c r="R32" s="21">
        <f>R30-R31</f>
        <v>5336</v>
      </c>
      <c r="S32" s="21">
        <f>S30-S31</f>
        <v>5017</v>
      </c>
    </row>
    <row r="33" spans="1:20" s="21" customFormat="1" x14ac:dyDescent="0.2">
      <c r="A33" s="2"/>
      <c r="B33" s="20"/>
      <c r="Q33" s="17"/>
    </row>
    <row r="34" spans="1:20" s="21" customFormat="1" x14ac:dyDescent="0.2">
      <c r="A34" s="2"/>
      <c r="B34" s="20" t="s">
        <v>119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 t="e">
        <f t="shared" ref="O34:Q34" si="5">+O32/O35</f>
        <v>#DIV/0!</v>
      </c>
      <c r="P34" s="24">
        <f t="shared" si="5"/>
        <v>21.736822146378461</v>
      </c>
      <c r="Q34" s="25">
        <f t="shared" si="5"/>
        <v>27.646823811426287</v>
      </c>
      <c r="R34" s="24">
        <f>+R32/R35</f>
        <v>22.39194292908099</v>
      </c>
      <c r="S34" s="24">
        <f>+S32/S35</f>
        <v>21.559948431456814</v>
      </c>
    </row>
    <row r="35" spans="1:20" s="21" customFormat="1" x14ac:dyDescent="0.2">
      <c r="A35" s="2"/>
      <c r="B35" s="20" t="s">
        <v>4</v>
      </c>
      <c r="P35" s="21">
        <v>263.7</v>
      </c>
      <c r="Q35" s="17">
        <v>250.3</v>
      </c>
      <c r="R35" s="21">
        <v>238.3</v>
      </c>
      <c r="S35" s="21">
        <v>232.7</v>
      </c>
    </row>
    <row r="37" spans="1:20" x14ac:dyDescent="0.2">
      <c r="B37" s="1" t="s">
        <v>91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 t="e">
        <f t="shared" ref="M37:P37" si="6">M24/L24-1</f>
        <v>#DIV/0!</v>
      </c>
      <c r="N37" s="22" t="e">
        <f t="shared" si="6"/>
        <v>#DIV/0!</v>
      </c>
      <c r="O37" s="22" t="e">
        <f t="shared" si="6"/>
        <v>#DIV/0!</v>
      </c>
      <c r="P37" s="22">
        <f t="shared" si="6"/>
        <v>-1.5810512499254248E-2</v>
      </c>
      <c r="Q37" s="22">
        <f>Q24/P24-1</f>
        <v>2.4051285160038738E-2</v>
      </c>
      <c r="R37" s="22">
        <f>R24/Q24-1</f>
        <v>5.1382989744120922E-2</v>
      </c>
      <c r="S37" s="22">
        <f>S24/R24-1</f>
        <v>5.6374308517376903E-2</v>
      </c>
    </row>
    <row r="38" spans="1:20" x14ac:dyDescent="0.2">
      <c r="B38" s="2" t="s">
        <v>92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 t="e">
        <f t="shared" ref="M38:P38" si="7">M26/M24</f>
        <v>#DIV/0!</v>
      </c>
      <c r="N38" s="19" t="e">
        <f t="shared" si="7"/>
        <v>#DIV/0!</v>
      </c>
      <c r="O38" s="19">
        <f t="shared" si="7"/>
        <v>0.13515005071296463</v>
      </c>
      <c r="P38" s="19">
        <f t="shared" si="7"/>
        <v>0.12559105237633367</v>
      </c>
      <c r="Q38" s="19">
        <f>Q26/Q24</f>
        <v>0.125482825472466</v>
      </c>
      <c r="R38" s="19">
        <f>R26/R24</f>
        <v>9.7546556310966592E-2</v>
      </c>
      <c r="S38" s="19">
        <f>S26/S24</f>
        <v>0.10152169278328536</v>
      </c>
    </row>
    <row r="39" spans="1:20" x14ac:dyDescent="0.2">
      <c r="B39" s="2" t="s">
        <v>93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 t="e">
        <f t="shared" ref="M39:P39" si="8">M28/M24</f>
        <v>#DIV/0!</v>
      </c>
      <c r="N39" s="19" t="e">
        <f t="shared" si="8"/>
        <v>#DIV/0!</v>
      </c>
      <c r="O39" s="19">
        <f t="shared" si="8"/>
        <v>0.13607481653839271</v>
      </c>
      <c r="P39" s="19">
        <f t="shared" si="8"/>
        <v>0.12651551891367604</v>
      </c>
      <c r="Q39" s="19">
        <f>Q28/Q24</f>
        <v>0.12589720442201535</v>
      </c>
      <c r="R39" s="19">
        <f>R28/R24</f>
        <v>9.8714862829553926E-2</v>
      </c>
      <c r="S39" s="19">
        <f>S28/S24</f>
        <v>0.10301407099456347</v>
      </c>
    </row>
    <row r="40" spans="1:20" x14ac:dyDescent="0.2">
      <c r="B40" s="2" t="s">
        <v>94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 t="e">
        <f t="shared" ref="M40:P40" si="9">M31/M30</f>
        <v>#DIV/0!</v>
      </c>
      <c r="N40" s="19" t="e">
        <f t="shared" si="9"/>
        <v>#DIV/0!</v>
      </c>
      <c r="O40" s="19">
        <f t="shared" si="9"/>
        <v>0.16357615894039734</v>
      </c>
      <c r="P40" s="19">
        <f t="shared" si="9"/>
        <v>0.14191616766467066</v>
      </c>
      <c r="Q40" s="19">
        <f>Q31/Q30</f>
        <v>0.14546801679427018</v>
      </c>
      <c r="R40" s="19">
        <f>R31/R30</f>
        <v>0.14212218649517686</v>
      </c>
      <c r="S40" s="19">
        <f>S31/S30</f>
        <v>0.15281999324552517</v>
      </c>
    </row>
    <row r="42" spans="1:20" x14ac:dyDescent="0.2">
      <c r="A42" s="15" t="s">
        <v>96</v>
      </c>
      <c r="B42" s="16" t="s">
        <v>95</v>
      </c>
    </row>
    <row r="43" spans="1:20" x14ac:dyDescent="0.2">
      <c r="B43" s="2" t="s">
        <v>97</v>
      </c>
      <c r="P43" s="17">
        <v>2547</v>
      </c>
      <c r="Q43" s="17">
        <v>1442</v>
      </c>
      <c r="R43" s="17">
        <v>2483</v>
      </c>
      <c r="S43" s="17">
        <v>4121</v>
      </c>
    </row>
    <row r="44" spans="1:20" x14ac:dyDescent="0.2">
      <c r="B44" s="2" t="s">
        <v>98</v>
      </c>
      <c r="P44" s="17">
        <v>2505</v>
      </c>
      <c r="Q44" s="17">
        <v>2132</v>
      </c>
      <c r="R44" s="17">
        <v>2351</v>
      </c>
      <c r="S44" s="17">
        <v>3901</v>
      </c>
    </row>
    <row r="45" spans="1:20" x14ac:dyDescent="0.2">
      <c r="B45" s="2" t="s">
        <v>99</v>
      </c>
      <c r="P45" s="17">
        <v>12318</v>
      </c>
      <c r="Q45" s="17">
        <v>13183</v>
      </c>
      <c r="R45" s="17">
        <v>12957</v>
      </c>
      <c r="S45" s="17">
        <v>13001</v>
      </c>
    </row>
    <row r="46" spans="1:20" x14ac:dyDescent="0.2">
      <c r="B46" s="2" t="s">
        <v>100</v>
      </c>
      <c r="P46" s="17">
        <v>3088</v>
      </c>
      <c r="Q46" s="17">
        <v>3132</v>
      </c>
      <c r="R46" s="17">
        <v>3474</v>
      </c>
      <c r="S46" s="17">
        <v>3524</v>
      </c>
    </row>
    <row r="47" spans="1:20" x14ac:dyDescent="0.2">
      <c r="B47" s="2" t="s">
        <v>101</v>
      </c>
      <c r="P47" s="17">
        <v>533</v>
      </c>
      <c r="Q47" s="17">
        <v>632</v>
      </c>
      <c r="R47" s="17">
        <v>584</v>
      </c>
      <c r="S47" s="17">
        <v>815</v>
      </c>
    </row>
    <row r="48" spans="1:20" x14ac:dyDescent="0.2">
      <c r="B48" s="26" t="s">
        <v>102</v>
      </c>
      <c r="C48" s="28"/>
      <c r="D48" s="28"/>
      <c r="E48" s="28"/>
      <c r="F48" s="28"/>
      <c r="G48" s="28"/>
      <c r="H48" s="28"/>
      <c r="I48" s="28"/>
      <c r="J48" s="28"/>
      <c r="K48" s="28"/>
      <c r="L48" s="28">
        <f t="shared" ref="L48:P48" si="10">SUM(L43:L47)</f>
        <v>0</v>
      </c>
      <c r="M48" s="28">
        <f t="shared" si="10"/>
        <v>0</v>
      </c>
      <c r="N48" s="28">
        <f t="shared" si="10"/>
        <v>0</v>
      </c>
      <c r="O48" s="28">
        <f t="shared" si="10"/>
        <v>0</v>
      </c>
      <c r="P48" s="28">
        <f t="shared" si="10"/>
        <v>20991</v>
      </c>
      <c r="Q48" s="28">
        <f>SUM(Q43:Q47)</f>
        <v>20521</v>
      </c>
      <c r="R48" s="28">
        <f t="shared" ref="R48:S48" si="11">SUM(R43:R47)</f>
        <v>21849</v>
      </c>
      <c r="S48" s="28">
        <f t="shared" si="11"/>
        <v>25362</v>
      </c>
      <c r="T48" s="18"/>
    </row>
    <row r="49" spans="2:20" x14ac:dyDescent="0.2">
      <c r="B49" s="2" t="s">
        <v>103</v>
      </c>
      <c r="P49" s="17">
        <v>7975</v>
      </c>
      <c r="Q49" s="17">
        <v>8370</v>
      </c>
      <c r="R49" s="17">
        <v>8726</v>
      </c>
      <c r="S49" s="17">
        <v>8875</v>
      </c>
    </row>
    <row r="50" spans="2:20" x14ac:dyDescent="0.2">
      <c r="B50" s="2" t="s">
        <v>104</v>
      </c>
      <c r="P50" s="17">
        <v>10780</v>
      </c>
      <c r="Q50" s="17">
        <v>10799</v>
      </c>
      <c r="R50" s="17">
        <v>11067</v>
      </c>
      <c r="S50" s="17">
        <v>11314</v>
      </c>
    </row>
    <row r="51" spans="2:20" x14ac:dyDescent="0.2">
      <c r="B51" s="2" t="s">
        <v>105</v>
      </c>
      <c r="P51" s="17">
        <v>2459</v>
      </c>
      <c r="Q51" s="17">
        <v>2212</v>
      </c>
      <c r="R51" s="17">
        <v>2015</v>
      </c>
      <c r="S51" s="17">
        <v>1887</v>
      </c>
    </row>
    <row r="52" spans="2:20" x14ac:dyDescent="0.2">
      <c r="B52" s="2" t="s">
        <v>106</v>
      </c>
      <c r="P52" s="17">
        <v>3744</v>
      </c>
      <c r="Q52" s="17">
        <v>2953</v>
      </c>
      <c r="R52" s="17">
        <v>3557</v>
      </c>
      <c r="S52" s="17">
        <v>2975</v>
      </c>
    </row>
    <row r="53" spans="2:20" x14ac:dyDescent="0.2">
      <c r="B53" s="2" t="s">
        <v>101</v>
      </c>
      <c r="P53" s="17">
        <v>6931</v>
      </c>
      <c r="Q53" s="17">
        <v>7601</v>
      </c>
      <c r="R53" s="17">
        <f>1866+6537</f>
        <v>8403</v>
      </c>
      <c r="S53" s="28">
        <f>2417+7010</f>
        <v>9427</v>
      </c>
    </row>
    <row r="54" spans="2:20" x14ac:dyDescent="0.2">
      <c r="B54" s="26" t="s">
        <v>107</v>
      </c>
      <c r="C54" s="28"/>
      <c r="D54" s="28"/>
      <c r="E54" s="28"/>
      <c r="F54" s="28"/>
      <c r="G54" s="28"/>
      <c r="H54" s="28"/>
      <c r="I54" s="28"/>
      <c r="J54" s="28"/>
      <c r="K54" s="28"/>
      <c r="L54" s="28">
        <f t="shared" ref="L54:P54" si="12">SUM(L49:L53)</f>
        <v>0</v>
      </c>
      <c r="M54" s="28">
        <f t="shared" si="12"/>
        <v>0</v>
      </c>
      <c r="N54" s="28">
        <f t="shared" si="12"/>
        <v>0</v>
      </c>
      <c r="O54" s="28">
        <f t="shared" si="12"/>
        <v>0</v>
      </c>
      <c r="P54" s="28">
        <f t="shared" si="12"/>
        <v>31889</v>
      </c>
      <c r="Q54" s="28">
        <f>SUM(Q49:Q53)</f>
        <v>31935</v>
      </c>
      <c r="R54" s="28">
        <f t="shared" ref="R54:S54" si="13">SUM(R49:R53)</f>
        <v>33768</v>
      </c>
      <c r="S54" s="28">
        <f t="shared" si="13"/>
        <v>34478</v>
      </c>
    </row>
    <row r="55" spans="2:20" x14ac:dyDescent="0.2">
      <c r="B55" s="1" t="s">
        <v>108</v>
      </c>
      <c r="L55" s="18">
        <f>L48+L54</f>
        <v>0</v>
      </c>
      <c r="M55" s="18">
        <f>M48+M54</f>
        <v>0</v>
      </c>
      <c r="N55" s="18">
        <f>N48+N54</f>
        <v>0</v>
      </c>
      <c r="O55" s="18">
        <f>O48+O54</f>
        <v>0</v>
      </c>
      <c r="P55" s="18">
        <f>P48+P54</f>
        <v>52880</v>
      </c>
      <c r="Q55" s="18">
        <f t="shared" ref="Q55:T55" si="14">Q48+Q54</f>
        <v>52456</v>
      </c>
      <c r="R55" s="18">
        <f t="shared" si="14"/>
        <v>55617</v>
      </c>
      <c r="S55" s="18">
        <f t="shared" si="14"/>
        <v>59840</v>
      </c>
      <c r="T55" s="18">
        <f t="shared" si="14"/>
        <v>0</v>
      </c>
    </row>
    <row r="56" spans="2:20" x14ac:dyDescent="0.2">
      <c r="B56" s="2" t="s">
        <v>109</v>
      </c>
      <c r="P56" s="17">
        <v>2117</v>
      </c>
      <c r="Q56" s="17">
        <v>2312</v>
      </c>
      <c r="R56" s="17">
        <v>2222</v>
      </c>
      <c r="S56" s="17">
        <v>3630</v>
      </c>
    </row>
    <row r="57" spans="2:20" x14ac:dyDescent="0.2">
      <c r="B57" s="2" t="s">
        <v>114</v>
      </c>
      <c r="P57" s="17">
        <v>3075</v>
      </c>
      <c r="Q57" s="17">
        <v>3133</v>
      </c>
      <c r="R57" s="17">
        <v>3125</v>
      </c>
      <c r="S57" s="17">
        <v>3184</v>
      </c>
    </row>
    <row r="58" spans="2:20" x14ac:dyDescent="0.2">
      <c r="B58" s="2" t="s">
        <v>110</v>
      </c>
      <c r="P58" s="17">
        <v>8488</v>
      </c>
      <c r="Q58" s="17">
        <v>9190</v>
      </c>
      <c r="R58" s="17">
        <v>9795</v>
      </c>
      <c r="S58" s="17">
        <v>11440</v>
      </c>
    </row>
    <row r="59" spans="2:20" x14ac:dyDescent="0.2">
      <c r="B59" s="2" t="s">
        <v>111</v>
      </c>
      <c r="P59" s="17">
        <v>118</v>
      </c>
      <c r="Q59" s="17">
        <v>168</v>
      </c>
      <c r="R59" s="17">
        <v>643</v>
      </c>
      <c r="S59" s="17">
        <v>1168</v>
      </c>
    </row>
    <row r="60" spans="2:20" x14ac:dyDescent="0.2">
      <c r="B60" s="2" t="s">
        <v>101</v>
      </c>
      <c r="P60" s="17">
        <v>2089</v>
      </c>
      <c r="Q60" s="17">
        <v>2134</v>
      </c>
      <c r="R60" s="17">
        <v>3635</v>
      </c>
      <c r="S60" s="17">
        <v>3913</v>
      </c>
    </row>
    <row r="61" spans="2:20" x14ac:dyDescent="0.2">
      <c r="B61" s="26" t="s">
        <v>112</v>
      </c>
      <c r="C61" s="28"/>
      <c r="D61" s="28"/>
      <c r="E61" s="28"/>
      <c r="F61" s="28"/>
      <c r="G61" s="28"/>
      <c r="H61" s="28"/>
      <c r="I61" s="28"/>
      <c r="J61" s="28"/>
      <c r="K61" s="28"/>
      <c r="L61" s="28">
        <f t="shared" ref="L61:P61" si="15">SUM(L56:L60)</f>
        <v>0</v>
      </c>
      <c r="M61" s="28">
        <f t="shared" si="15"/>
        <v>0</v>
      </c>
      <c r="N61" s="28">
        <f t="shared" si="15"/>
        <v>0</v>
      </c>
      <c r="O61" s="28">
        <f t="shared" si="15"/>
        <v>0</v>
      </c>
      <c r="P61" s="28">
        <f t="shared" si="15"/>
        <v>15887</v>
      </c>
      <c r="Q61" s="28">
        <f>SUM(Q56:Q60)</f>
        <v>16937</v>
      </c>
      <c r="R61" s="28">
        <f>SUM(R56:R60)</f>
        <v>19420</v>
      </c>
      <c r="S61" s="28">
        <f>SUM(S56:S60)</f>
        <v>23335</v>
      </c>
    </row>
    <row r="62" spans="2:20" x14ac:dyDescent="0.2">
      <c r="B62" s="2" t="s">
        <v>7</v>
      </c>
      <c r="P62" s="17">
        <v>15429</v>
      </c>
      <c r="Q62" s="17">
        <v>17291</v>
      </c>
      <c r="R62" s="17">
        <v>19627</v>
      </c>
      <c r="S62" s="17">
        <v>20532</v>
      </c>
    </row>
    <row r="63" spans="2:20" x14ac:dyDescent="0.2">
      <c r="B63" s="2" t="s">
        <v>113</v>
      </c>
      <c r="P63" s="17">
        <v>5472</v>
      </c>
      <c r="Q63" s="17">
        <v>6162</v>
      </c>
      <c r="R63" s="17">
        <v>4791</v>
      </c>
      <c r="S63" s="17">
        <v>3915</v>
      </c>
    </row>
    <row r="64" spans="2:20" x14ac:dyDescent="0.2">
      <c r="B64" s="2" t="s">
        <v>101</v>
      </c>
      <c r="P64" s="17">
        <v>6826</v>
      </c>
      <c r="Q64" s="17">
        <v>5231</v>
      </c>
      <c r="R64" s="17">
        <v>5446</v>
      </c>
      <c r="S64" s="17">
        <v>5337</v>
      </c>
    </row>
    <row r="65" spans="2:19" x14ac:dyDescent="0.2">
      <c r="B65" s="2" t="s">
        <v>115</v>
      </c>
      <c r="L65" s="18">
        <f t="shared" ref="L65:P65" si="16">SUM(L62:L64)</f>
        <v>0</v>
      </c>
      <c r="M65" s="18">
        <f t="shared" si="16"/>
        <v>0</v>
      </c>
      <c r="N65" s="18">
        <f t="shared" si="16"/>
        <v>0</v>
      </c>
      <c r="O65" s="18">
        <f t="shared" si="16"/>
        <v>0</v>
      </c>
      <c r="P65" s="28">
        <f t="shared" si="16"/>
        <v>27727</v>
      </c>
      <c r="Q65" s="17">
        <f>SUM(Q62:Q64)</f>
        <v>28684</v>
      </c>
      <c r="R65" s="17">
        <f>SUM(R62:R64)</f>
        <v>29864</v>
      </c>
      <c r="S65" s="17">
        <f>SUM(S62:S64)</f>
        <v>29784</v>
      </c>
    </row>
    <row r="66" spans="2:19" x14ac:dyDescent="0.2">
      <c r="B66" s="1" t="s">
        <v>116</v>
      </c>
      <c r="L66" s="18">
        <f>L61+L65</f>
        <v>0</v>
      </c>
      <c r="M66" s="18">
        <f>M61+M65</f>
        <v>0</v>
      </c>
      <c r="N66" s="18">
        <f>N61+N65</f>
        <v>0</v>
      </c>
      <c r="O66" s="18">
        <f t="shared" ref="O66:S66" si="17">O61+O65</f>
        <v>0</v>
      </c>
      <c r="P66" s="18">
        <f t="shared" si="17"/>
        <v>43614</v>
      </c>
      <c r="Q66" s="18">
        <f t="shared" si="17"/>
        <v>45621</v>
      </c>
      <c r="R66" s="18">
        <f t="shared" si="17"/>
        <v>49284</v>
      </c>
      <c r="S66" s="18">
        <f t="shared" si="17"/>
        <v>53119</v>
      </c>
    </row>
    <row r="67" spans="2:19" x14ac:dyDescent="0.2">
      <c r="B67" s="2" t="s">
        <v>117</v>
      </c>
      <c r="P67" s="17">
        <v>9266</v>
      </c>
      <c r="Q67" s="17">
        <v>6835</v>
      </c>
      <c r="R67" s="17">
        <v>6333</v>
      </c>
      <c r="S67" s="17">
        <v>6721</v>
      </c>
    </row>
    <row r="68" spans="2:19" x14ac:dyDescent="0.2">
      <c r="B68" s="1" t="s">
        <v>118</v>
      </c>
      <c r="L68" s="18">
        <f>L66+L67</f>
        <v>0</v>
      </c>
      <c r="M68" s="18">
        <f t="shared" ref="M68:S68" si="18">M66+M67</f>
        <v>0</v>
      </c>
      <c r="N68" s="18">
        <f t="shared" si="18"/>
        <v>0</v>
      </c>
      <c r="O68" s="18">
        <f t="shared" si="18"/>
        <v>0</v>
      </c>
      <c r="P68" s="18">
        <f t="shared" si="18"/>
        <v>52880</v>
      </c>
      <c r="Q68" s="18">
        <f t="shared" si="18"/>
        <v>52456</v>
      </c>
      <c r="R68" s="18">
        <f t="shared" si="18"/>
        <v>55617</v>
      </c>
      <c r="S68" s="18">
        <f t="shared" si="18"/>
        <v>59840</v>
      </c>
    </row>
  </sheetData>
  <hyperlinks>
    <hyperlink ref="A1" location="Main!A1" display="Main" xr:uid="{D291865D-AF1E-435E-8001-721FE7FD44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2024-08-24T07:50:16Z</dcterms:created>
  <dcterms:modified xsi:type="dcterms:W3CDTF">2026-03-20T10:48:24Z</dcterms:modified>
</cp:coreProperties>
</file>