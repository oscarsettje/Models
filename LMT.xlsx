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3B09F17-B3B0-40C3-98EE-DB66C521A3A4}" xr6:coauthVersionLast="47" xr6:coauthVersionMax="47" xr10:uidLastSave="{00000000-0000-0000-0000-000000000000}"/>
  <bookViews>
    <workbookView xWindow="19095" yWindow="0" windowWidth="19410" windowHeight="20925" activeTab="1" xr2:uid="{EA792E1E-3BA0-4584-A29C-9504A225675A}"/>
  </bookViews>
  <sheets>
    <sheet name="Main" sheetId="1" r:id="rId1"/>
    <sheet name="Finacial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6" i="2" l="1"/>
  <c r="P26" i="2"/>
  <c r="O26" i="2"/>
  <c r="R26" i="2"/>
  <c r="R21" i="2"/>
  <c r="R18" i="2"/>
  <c r="R20" i="2" s="1"/>
  <c r="P59" i="2"/>
  <c r="O59" i="2"/>
  <c r="N59" i="2"/>
  <c r="M59" i="2"/>
  <c r="L59" i="2"/>
  <c r="Q59" i="2"/>
  <c r="P55" i="2"/>
  <c r="O55" i="2"/>
  <c r="N55" i="2"/>
  <c r="M55" i="2"/>
  <c r="L55" i="2"/>
  <c r="Q55" i="2"/>
  <c r="Q61" i="2" s="1"/>
  <c r="Q65" i="2" s="1"/>
  <c r="P46" i="2"/>
  <c r="O46" i="2"/>
  <c r="N46" i="2"/>
  <c r="M46" i="2"/>
  <c r="L46" i="2"/>
  <c r="L48" i="2" s="1"/>
  <c r="Q46" i="2"/>
  <c r="Q40" i="2"/>
  <c r="Q48" i="2" s="1"/>
  <c r="P40" i="2"/>
  <c r="P48" i="2" s="1"/>
  <c r="O40" i="2"/>
  <c r="O48" i="2" s="1"/>
  <c r="N40" i="2"/>
  <c r="M40" i="2"/>
  <c r="L40" i="2"/>
  <c r="Q8" i="2"/>
  <c r="O21" i="2"/>
  <c r="P21" i="2"/>
  <c r="Q21" i="2"/>
  <c r="O17" i="2"/>
  <c r="P17" i="2"/>
  <c r="Q17" i="2"/>
  <c r="P16" i="2"/>
  <c r="O16" i="2"/>
  <c r="N16" i="2"/>
  <c r="N18" i="2" s="1"/>
  <c r="N20" i="2" s="1"/>
  <c r="N22" i="2" s="1"/>
  <c r="N24" i="2" s="1"/>
  <c r="M16" i="2"/>
  <c r="M18" i="2" s="1"/>
  <c r="M20" i="2" s="1"/>
  <c r="M22" i="2" s="1"/>
  <c r="M24" i="2" s="1"/>
  <c r="L16" i="2"/>
  <c r="L18" i="2" s="1"/>
  <c r="L20" i="2" s="1"/>
  <c r="L22" i="2" s="1"/>
  <c r="L24" i="2" s="1"/>
  <c r="Q16" i="2"/>
  <c r="K6" i="1"/>
  <c r="K4" i="1"/>
  <c r="K7" i="1" s="1"/>
  <c r="O29" i="2" l="1"/>
  <c r="M30" i="2"/>
  <c r="Q29" i="2"/>
  <c r="N30" i="2"/>
  <c r="M29" i="2"/>
  <c r="N29" i="2"/>
  <c r="M31" i="2"/>
  <c r="N31" i="2"/>
  <c r="P29" i="2"/>
  <c r="L61" i="2"/>
  <c r="L65" i="2" s="1"/>
  <c r="M61" i="2"/>
  <c r="M65" i="2" s="1"/>
  <c r="N61" i="2"/>
  <c r="N65" i="2" s="1"/>
  <c r="Q18" i="2"/>
  <c r="M48" i="2"/>
  <c r="O61" i="2"/>
  <c r="O65" i="2" s="1"/>
  <c r="N48" i="2"/>
  <c r="R22" i="2"/>
  <c r="R31" i="2"/>
  <c r="M32" i="2"/>
  <c r="R29" i="2"/>
  <c r="R30" i="2"/>
  <c r="P61" i="2"/>
  <c r="P65" i="2" s="1"/>
  <c r="N32" i="2"/>
  <c r="P18" i="2"/>
  <c r="O18" i="2"/>
  <c r="Q20" i="2" l="1"/>
  <c r="Q30" i="2"/>
  <c r="O20" i="2"/>
  <c r="O30" i="2"/>
  <c r="P20" i="2"/>
  <c r="P30" i="2"/>
  <c r="R32" i="2"/>
  <c r="R24" i="2"/>
  <c r="Q22" i="2" l="1"/>
  <c r="Q31" i="2"/>
  <c r="P22" i="2"/>
  <c r="P31" i="2"/>
  <c r="O22" i="2"/>
  <c r="O31" i="2"/>
  <c r="Q24" i="2" l="1"/>
  <c r="Q32" i="2"/>
  <c r="O24" i="2"/>
  <c r="O32" i="2"/>
  <c r="P24" i="2"/>
  <c r="P32" i="2"/>
</calcChain>
</file>

<file path=xl/sharedStrings.xml><?xml version="1.0" encoding="utf-8"?>
<sst xmlns="http://schemas.openxmlformats.org/spreadsheetml/2006/main" count="134" uniqueCount="122">
  <si>
    <t xml:space="preserve">Lockhead Martin </t>
  </si>
  <si>
    <t>LMT</t>
  </si>
  <si>
    <t>in Mio USD</t>
  </si>
  <si>
    <t>SEC</t>
  </si>
  <si>
    <t>Price</t>
  </si>
  <si>
    <t>Shares</t>
  </si>
  <si>
    <t>MC</t>
  </si>
  <si>
    <t>Cash</t>
  </si>
  <si>
    <t>Debt</t>
  </si>
  <si>
    <t>EV</t>
  </si>
  <si>
    <t>Main</t>
  </si>
  <si>
    <t>Income Statment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</si>
  <si>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</si>
  <si>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</si>
  <si>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</si>
  <si>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</si>
  <si>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</si>
  <si>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</si>
  <si>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</si>
  <si>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</si>
  <si>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</t>
  </si>
  <si>
    <t>Products</t>
  </si>
  <si>
    <t>Services</t>
  </si>
  <si>
    <t>Aeronautics:</t>
  </si>
  <si>
    <t>tactical airlifter</t>
  </si>
  <si>
    <t>fighter</t>
  </si>
  <si>
    <t>stealth fighter</t>
  </si>
  <si>
    <t>largest program 26% of net sales, 64% of segment sales</t>
  </si>
  <si>
    <t>Segments</t>
  </si>
  <si>
    <t>Missles and Fire Control</t>
  </si>
  <si>
    <t>air and missle defense systems</t>
  </si>
  <si>
    <t>-F-35 Lighting II</t>
  </si>
  <si>
    <t>-C-130 Hercules</t>
  </si>
  <si>
    <t>-F-16 Fighting Falcon</t>
  </si>
  <si>
    <t>-F-22 Raptor</t>
  </si>
  <si>
    <t>-Patriot Advanced Capability 3 and Terminal Altitude Area Defense</t>
  </si>
  <si>
    <t>-Multiple Rocket Launch System, Precision Strike Missles,  Joint Air-to-Surface Standoff Missile,</t>
  </si>
  <si>
    <t xml:space="preserve"> Long Range Anti-Ship Missile  and Hellfire tactical and strike missile programs.</t>
  </si>
  <si>
    <t>Precison Strike Weapons</t>
  </si>
  <si>
    <t>-Apache Fire Control System, Sniper Advanced Targeted Pod, Infrared Search and Track</t>
  </si>
  <si>
    <t>Targeting systems</t>
  </si>
  <si>
    <t>FY18</t>
  </si>
  <si>
    <t>FY19</t>
  </si>
  <si>
    <t>FY20</t>
  </si>
  <si>
    <t>FY21</t>
  </si>
  <si>
    <t>FY22</t>
  </si>
  <si>
    <t>FY23</t>
  </si>
  <si>
    <t>FY24</t>
  </si>
  <si>
    <t>Aeronaumatics</t>
  </si>
  <si>
    <t>Rotary and Mission Systems</t>
  </si>
  <si>
    <t>Space</t>
  </si>
  <si>
    <t>COGS</t>
  </si>
  <si>
    <t>Gross Profit</t>
  </si>
  <si>
    <t xml:space="preserve">Other Income </t>
  </si>
  <si>
    <t>Operating Profit</t>
  </si>
  <si>
    <t>Interest Income</t>
  </si>
  <si>
    <t>Pretax Income</t>
  </si>
  <si>
    <t>Income Tax</t>
  </si>
  <si>
    <t>Net Income</t>
  </si>
  <si>
    <t>-Special Operations Forces Global Logistics Support Services</t>
  </si>
  <si>
    <t>Logistic Services to U.S. Army</t>
  </si>
  <si>
    <t xml:space="preserve">-Hypersonics Program </t>
  </si>
  <si>
    <t>Hypersonic weapon systems for U.S. military and Air-Force</t>
  </si>
  <si>
    <t xml:space="preserve">-Javelin Program </t>
  </si>
  <si>
    <t>One-person portable platform anti-tank und multiple target weapon system</t>
  </si>
  <si>
    <t xml:space="preserve">-Sikorsky helicopter program related to Black Hawk, Seahawk etc </t>
  </si>
  <si>
    <t>Transport mission for U.S. Marine Helicopters</t>
  </si>
  <si>
    <t>-Imtegrated Warfare Systems and Sensor for example Aegis Combat System</t>
  </si>
  <si>
    <t>Weapon System for U.S. Marine and other international  Battleships for open sea combat</t>
  </si>
  <si>
    <t>-C6ISR Programs and C2BMC</t>
  </si>
  <si>
    <t>Air operation  Missile Defense System and undersea combat programs</t>
  </si>
  <si>
    <t>-Training and Logistic services</t>
  </si>
  <si>
    <t>Provide Simulators and training programs for U.S. Military and other Militaries</t>
  </si>
  <si>
    <t>-Next Gen OPIR</t>
  </si>
  <si>
    <t>Worldwide missiles warning systems</t>
  </si>
  <si>
    <t>-Trident II D5 FBM</t>
  </si>
  <si>
    <t xml:space="preserve">Submarine launched ballistic missiles </t>
  </si>
  <si>
    <t xml:space="preserve">-The Orion Multi-purpose Crew Vehicle </t>
  </si>
  <si>
    <t xml:space="preserve">Spacecraft for NASA </t>
  </si>
  <si>
    <t>-Next Generation Interceptor</t>
  </si>
  <si>
    <t>Missile Defense</t>
  </si>
  <si>
    <t>-Global Positioning System III</t>
  </si>
  <si>
    <t>GPS Satelite System</t>
  </si>
  <si>
    <t>-Hypersonics System</t>
  </si>
  <si>
    <t>Hypersonic strike weapons</t>
  </si>
  <si>
    <t>Transport Layer Program</t>
  </si>
  <si>
    <t>space coomunications</t>
  </si>
  <si>
    <t>Backlog Aeronaumatics</t>
  </si>
  <si>
    <t>Backlog MMS</t>
  </si>
  <si>
    <t>Missiles and Fire Control</t>
  </si>
  <si>
    <t>Backlog RMS</t>
  </si>
  <si>
    <t>Backlog Space</t>
  </si>
  <si>
    <t>Backlog Total</t>
  </si>
  <si>
    <t>Revenue Growth</t>
  </si>
  <si>
    <t>Gross Margin</t>
  </si>
  <si>
    <t>Operating Margin</t>
  </si>
  <si>
    <t>Tax Rate</t>
  </si>
  <si>
    <t>Balance Sheets</t>
  </si>
  <si>
    <t>x</t>
  </si>
  <si>
    <t>Cash and Cash Equivalents</t>
  </si>
  <si>
    <t>Receivables</t>
  </si>
  <si>
    <t>Contract Assets</t>
  </si>
  <si>
    <t>Inventories</t>
  </si>
  <si>
    <t>Other</t>
  </si>
  <si>
    <t>Current Assets</t>
  </si>
  <si>
    <t>PP&amp;E</t>
  </si>
  <si>
    <t>Goodwill</t>
  </si>
  <si>
    <t>Intangibles</t>
  </si>
  <si>
    <t>Defferd Taxes</t>
  </si>
  <si>
    <t>Non-Current Assets</t>
  </si>
  <si>
    <t>Assets</t>
  </si>
  <si>
    <t>Accounts Payable</t>
  </si>
  <si>
    <t>Contract Liabilties</t>
  </si>
  <si>
    <t>Current Debt</t>
  </si>
  <si>
    <t>Current Liabilties</t>
  </si>
  <si>
    <t>Accrued Pension Liabilties</t>
  </si>
  <si>
    <t>Accrued Expenses</t>
  </si>
  <si>
    <t>Non Current Liabilties</t>
  </si>
  <si>
    <t>Liabilities</t>
  </si>
  <si>
    <t>Equity</t>
  </si>
  <si>
    <t>Equity &amp; Liabilties</t>
  </si>
  <si>
    <t>EPS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</si>
</sst>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;\(#,##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u/>
      <sz val="10"/>
      <color theme="1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25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0" fontId="5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7" fillId="0" borderId="4" xfId="0" applyFont="1" applyBorder="1"/>
    <xf numFmtId="0" fontId="2" fillId="0" borderId="5" xfId="0" applyFont="1" applyBorder="1"/>
    <xf numFmtId="0" fontId="2" fillId="0" borderId="4" xfId="0" quotePrefix="1" applyFont="1" applyBorder="1"/>
    <xf numFmtId="0" fontId="2" fillId="0" borderId="4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0" xfId="0" applyFont="1" applyAlignment="1">
      <alignment horizontal="center"/>
    </xf>
    <xf numFmtId="0" fontId="8" fillId="0" borderId="0" xfId="0" applyFont="1"/>
    <xf numFmtId="165" fontId="2" fillId="0" borderId="0" xfId="0" applyNumberFormat="1" applyFont="1"/>
    <xf numFmtId="165" fontId="5" fillId="0" borderId="0" xfId="0" applyNumberFormat="1" applyFont="1"/>
    <xf numFmtId="9" fontId="2" fillId="0" borderId="0" xfId="2" applyFont="1"/>
    <xf numFmtId="0" fontId="1" fillId="0" borderId="0" xfId="0" applyFont="1"/>
    <xf numFmtId="165" fontId="1" fillId="0" borderId="0" xfId="0" applyNumberFormat="1" applyFont="1"/>
    <xf numFmtId="164" fontId="1" fillId="0" borderId="0" xfId="0" applyNumberFormat="1" applyFont="1"/>
    <xf numFmtId="9" fontId="5" fillId="0" borderId="0" xfId="2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sec.gov/edgar/browse/?CIK=936468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8FC46-0B49-4B94-B3CC-6630A63E4D0B}">
  <dimension ref="A1:Q35"/>
  <sheetViews>
    <sheetView topLeftCell="C1" zoomScale="200" zoomScaleNormal="200" workbookViewId="0">
      <selection activeCell="K9" sqref="K9"/>
    </sheetView>
  </sheetViews>
  <sheetFormatPr defaultRowHeight="12.75" x14ac:dyDescent="0.2"/>
  <cols>
    <col min="1" max="1" width="5.5703125" style="2" customWidth="1"/>
    <col min="2" max="10" width="9.140625" style="2"/>
    <col min="11" max="11" width="10.140625" style="2" bestFit="1" customWidth="1"/>
    <col min="12" max="16384" width="9.140625" style="2"/>
  </cols>
  <sheetData>
    <row r="1" spans="1:17" x14ac:dyDescent="0.2">
      <c r="A1" s="1" t="s">
        <v>0</v>
      </c>
    </row>
    <row r="2" spans="1:17" x14ac:dyDescent="0.2">
      <c r="A2" s="2" t="s">
        <v>2</v>
      </c>
      <c r="J2" s="2" t="s">
        <v>4</v>
      </c>
      <c r="K2" s="3">
        <v>652.46</v>
      </c>
    </row>
    <row r="3" spans="1:17" x14ac:dyDescent="0.2">
      <c r="C3" s="2" t="s">
        <v>1</v>
      </c>
      <c r="J3" s="2" t="s">
        <v>5</v>
      </c>
      <c r="K3" s="3">
        <v>238.358003</v>
      </c>
      <c r="L3" s="4" t="s">
        <v>17</v>
      </c>
    </row>
    <row r="4" spans="1:17" x14ac:dyDescent="0.2">
      <c r="C4" s="5" t="s">
        <v>3</v>
      </c>
      <c r="J4" s="2" t="s">
        <v>6</v>
      </c>
      <c r="K4" s="3">
        <f>K2*K3</f>
        <v>155519.06263738</v>
      </c>
    </row>
    <row r="5" spans="1:17" x14ac:dyDescent="0.2">
      <c r="J5" s="2" t="s">
        <v>7</v>
      </c>
      <c r="K5" s="3">
        <v>2523</v>
      </c>
      <c r="L5" s="4" t="s">
        <v>17</v>
      </c>
    </row>
    <row r="6" spans="1:17" x14ac:dyDescent="0.2">
      <c r="J6" s="2" t="s">
        <v>8</v>
      </c>
      <c r="K6" s="3">
        <f>0.142+19115</f>
        <v>19115.142</v>
      </c>
      <c r="L6" s="4" t="s">
        <v>17</v>
      </c>
    </row>
    <row r="7" spans="1:17" x14ac:dyDescent="0.2">
      <c r="J7" s="2" t="s">
        <v>9</v>
      </c>
      <c r="K7" s="3">
        <f>K4-K5+K6</f>
        <v>172111.20463738</v>
      </c>
    </row>
    <row r="9" spans="1:17" x14ac:dyDescent="0.2">
      <c r="B9" s="6" t="s">
        <v>28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8"/>
    </row>
    <row r="10" spans="1:17" x14ac:dyDescent="0.2">
      <c r="B10" s="9" t="s">
        <v>23</v>
      </c>
      <c r="Q10" s="10"/>
    </row>
    <row r="11" spans="1:17" x14ac:dyDescent="0.2">
      <c r="B11" s="11" t="s">
        <v>31</v>
      </c>
      <c r="D11" s="2" t="s">
        <v>26</v>
      </c>
      <c r="F11" s="2" t="s">
        <v>27</v>
      </c>
      <c r="Q11" s="10"/>
    </row>
    <row r="12" spans="1:17" x14ac:dyDescent="0.2">
      <c r="B12" s="11" t="s">
        <v>32</v>
      </c>
      <c r="D12" s="2" t="s">
        <v>24</v>
      </c>
      <c r="Q12" s="10"/>
    </row>
    <row r="13" spans="1:17" x14ac:dyDescent="0.2">
      <c r="B13" s="11" t="s">
        <v>33</v>
      </c>
      <c r="D13" s="2" t="s">
        <v>25</v>
      </c>
      <c r="Q13" s="10"/>
    </row>
    <row r="14" spans="1:17" x14ac:dyDescent="0.2">
      <c r="B14" s="11" t="s">
        <v>34</v>
      </c>
      <c r="D14" s="2" t="s">
        <v>26</v>
      </c>
      <c r="Q14" s="10"/>
    </row>
    <row r="15" spans="1:17" x14ac:dyDescent="0.2">
      <c r="B15" s="9" t="s">
        <v>29</v>
      </c>
      <c r="Q15" s="10"/>
    </row>
    <row r="16" spans="1:17" x14ac:dyDescent="0.2">
      <c r="B16" s="11" t="s">
        <v>35</v>
      </c>
      <c r="J16" s="2" t="s">
        <v>30</v>
      </c>
      <c r="Q16" s="10"/>
    </row>
    <row r="17" spans="2:17" x14ac:dyDescent="0.2">
      <c r="B17" s="11" t="s">
        <v>36</v>
      </c>
      <c r="Q17" s="10"/>
    </row>
    <row r="18" spans="2:17" x14ac:dyDescent="0.2">
      <c r="B18" s="12" t="s">
        <v>37</v>
      </c>
      <c r="J18" s="2" t="s">
        <v>38</v>
      </c>
      <c r="Q18" s="10"/>
    </row>
    <row r="19" spans="2:17" x14ac:dyDescent="0.2">
      <c r="B19" s="11" t="s">
        <v>39</v>
      </c>
      <c r="J19" s="2" t="s">
        <v>40</v>
      </c>
      <c r="Q19" s="10"/>
    </row>
    <row r="20" spans="2:17" x14ac:dyDescent="0.2">
      <c r="B20" s="11" t="s">
        <v>59</v>
      </c>
      <c r="J20" s="2" t="s">
        <v>60</v>
      </c>
      <c r="Q20" s="10"/>
    </row>
    <row r="21" spans="2:17" x14ac:dyDescent="0.2">
      <c r="B21" s="11" t="s">
        <v>61</v>
      </c>
      <c r="E21" s="2" t="s">
        <v>62</v>
      </c>
      <c r="Q21" s="10"/>
    </row>
    <row r="22" spans="2:17" x14ac:dyDescent="0.2">
      <c r="B22" s="11" t="s">
        <v>63</v>
      </c>
      <c r="E22" s="2" t="s">
        <v>64</v>
      </c>
      <c r="Q22" s="10"/>
    </row>
    <row r="23" spans="2:17" x14ac:dyDescent="0.2">
      <c r="B23" s="9" t="s">
        <v>49</v>
      </c>
      <c r="Q23" s="10"/>
    </row>
    <row r="24" spans="2:17" x14ac:dyDescent="0.2">
      <c r="B24" s="11" t="s">
        <v>65</v>
      </c>
      <c r="I24" s="2" t="s">
        <v>66</v>
      </c>
      <c r="Q24" s="10"/>
    </row>
    <row r="25" spans="2:17" x14ac:dyDescent="0.2">
      <c r="B25" s="11" t="s">
        <v>67</v>
      </c>
      <c r="I25" s="2" t="s">
        <v>68</v>
      </c>
      <c r="Q25" s="10"/>
    </row>
    <row r="26" spans="2:17" x14ac:dyDescent="0.2">
      <c r="B26" s="11" t="s">
        <v>69</v>
      </c>
      <c r="F26" s="2" t="s">
        <v>70</v>
      </c>
      <c r="Q26" s="10"/>
    </row>
    <row r="27" spans="2:17" x14ac:dyDescent="0.2">
      <c r="B27" s="11" t="s">
        <v>71</v>
      </c>
      <c r="F27" s="2" t="s">
        <v>72</v>
      </c>
      <c r="Q27" s="10"/>
    </row>
    <row r="28" spans="2:17" x14ac:dyDescent="0.2">
      <c r="B28" s="9" t="s">
        <v>50</v>
      </c>
      <c r="Q28" s="10"/>
    </row>
    <row r="29" spans="2:17" x14ac:dyDescent="0.2">
      <c r="B29" s="11" t="s">
        <v>73</v>
      </c>
      <c r="F29" s="2" t="s">
        <v>74</v>
      </c>
      <c r="Q29" s="10"/>
    </row>
    <row r="30" spans="2:17" x14ac:dyDescent="0.2">
      <c r="B30" s="11" t="s">
        <v>75</v>
      </c>
      <c r="F30" s="2" t="s">
        <v>76</v>
      </c>
      <c r="Q30" s="10"/>
    </row>
    <row r="31" spans="2:17" x14ac:dyDescent="0.2">
      <c r="B31" s="11" t="s">
        <v>77</v>
      </c>
      <c r="F31" s="2" t="s">
        <v>78</v>
      </c>
      <c r="Q31" s="10"/>
    </row>
    <row r="32" spans="2:17" x14ac:dyDescent="0.2">
      <c r="B32" s="11" t="s">
        <v>79</v>
      </c>
      <c r="F32" s="2" t="s">
        <v>80</v>
      </c>
      <c r="Q32" s="10"/>
    </row>
    <row r="33" spans="2:17" x14ac:dyDescent="0.2">
      <c r="B33" s="11" t="s">
        <v>81</v>
      </c>
      <c r="F33" s="2" t="s">
        <v>82</v>
      </c>
      <c r="Q33" s="10"/>
    </row>
    <row r="34" spans="2:17" x14ac:dyDescent="0.2">
      <c r="B34" s="11" t="s">
        <v>83</v>
      </c>
      <c r="F34" s="2" t="s">
        <v>84</v>
      </c>
      <c r="Q34" s="10"/>
    </row>
    <row r="35" spans="2:17" x14ac:dyDescent="0.2">
      <c r="B35" s="13" t="s">
        <v>85</v>
      </c>
      <c r="C35" s="14"/>
      <c r="D35" s="14"/>
      <c r="E35" s="14"/>
      <c r="F35" s="14" t="s">
        <v>86</v>
      </c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5"/>
    </row>
  </sheetData>
  <hyperlinks>
    <hyperlink ref="C4" r:id="rId1" xr:uid="{65F0FF9F-F09A-4FF2-95F2-D5B451855853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25CA57-4E24-4CA5-A0F0-6B7F19F9F5C3}">
  <dimension ref="A1:T308"/>
  <sheetViews>
    <sheetView tabSelected="1" zoomScale="200" zoomScaleNormal="200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R4" sqref="R4"/>
    </sheetView>
  </sheetViews>
  <sheetFormatPr defaultRowHeight="12.75" x14ac:dyDescent="0.2"/>
  <cols>
    <col min="1" max="1" width="4.7109375" style="2" bestFit="1" customWidth="1"/>
    <col min="2" max="2" width="23.42578125" style="2" bestFit="1" customWidth="1"/>
    <col min="3" max="11" width="9.140625" style="2"/>
    <col min="12" max="16" width="9.42578125" style="2" bestFit="1" customWidth="1"/>
    <col min="17" max="17" width="10.140625" style="2" bestFit="1" customWidth="1"/>
    <col min="18" max="16384" width="9.140625" style="2"/>
  </cols>
  <sheetData>
    <row r="1" spans="1:20" x14ac:dyDescent="0.2">
      <c r="A1" s="5" t="s">
        <v>10</v>
      </c>
    </row>
    <row r="2" spans="1:20" x14ac:dyDescent="0.2">
      <c r="C2" s="4" t="s">
        <v>12</v>
      </c>
      <c r="D2" s="4" t="s">
        <v>13</v>
      </c>
      <c r="E2" s="4" t="s">
        <v>14</v>
      </c>
      <c r="F2" s="4" t="s">
        <v>15</v>
      </c>
      <c r="G2" s="4" t="s">
        <v>16</v>
      </c>
      <c r="H2" s="4" t="s">
        <v>17</v>
      </c>
      <c r="I2" s="4" t="s">
        <v>18</v>
      </c>
      <c r="J2" s="4" t="s">
        <v>19</v>
      </c>
      <c r="L2" s="4" t="s">
        <v>41</v>
      </c>
      <c r="M2" s="4" t="s">
        <v>42</v>
      </c>
      <c r="N2" s="4" t="s">
        <v>43</v>
      </c>
      <c r="O2" s="4" t="s">
        <v>44</v>
      </c>
      <c r="P2" s="4" t="s">
        <v>45</v>
      </c>
      <c r="Q2" s="4" t="s">
        <v>46</v>
      </c>
      <c r="R2" s="4" t="s">
        <v>47</v>
      </c>
    </row>
    <row r="3" spans="1:20" x14ac:dyDescent="0.2">
      <c r="A3" s="16" t="s">
        <v>98</v>
      </c>
      <c r="B3" s="17" t="s">
        <v>11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0" x14ac:dyDescent="0.2">
      <c r="B4" s="2" t="s">
        <v>87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>
        <v>60156</v>
      </c>
      <c r="R4" s="3"/>
      <c r="S4" s="3"/>
      <c r="T4" s="3"/>
    </row>
    <row r="5" spans="1:20" x14ac:dyDescent="0.2">
      <c r="B5" s="2" t="s">
        <v>88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>
        <v>32229</v>
      </c>
      <c r="R5" s="3"/>
      <c r="S5" s="3"/>
      <c r="T5" s="3"/>
    </row>
    <row r="6" spans="1:20" x14ac:dyDescent="0.2">
      <c r="B6" s="2" t="s">
        <v>90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>
        <v>37726</v>
      </c>
      <c r="R6" s="3"/>
      <c r="S6" s="3"/>
      <c r="T6" s="3"/>
    </row>
    <row r="7" spans="1:20" x14ac:dyDescent="0.2">
      <c r="B7" s="2" t="s">
        <v>91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>
        <v>30456</v>
      </c>
      <c r="R7" s="3"/>
      <c r="S7" s="3"/>
      <c r="T7" s="3"/>
    </row>
    <row r="8" spans="1:20" x14ac:dyDescent="0.2">
      <c r="B8" s="2" t="s">
        <v>92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>
        <f>SUM(Q4:Q7)</f>
        <v>160567</v>
      </c>
      <c r="R8" s="3"/>
      <c r="S8" s="3"/>
      <c r="T8" s="3"/>
    </row>
    <row r="9" spans="1:20" x14ac:dyDescent="0.2"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</row>
    <row r="10" spans="1:20" x14ac:dyDescent="0.2">
      <c r="B10" s="2" t="s">
        <v>48</v>
      </c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>
        <v>26748</v>
      </c>
      <c r="P10" s="18">
        <v>26987</v>
      </c>
      <c r="Q10" s="18">
        <v>27474</v>
      </c>
      <c r="R10" s="18">
        <v>28618</v>
      </c>
      <c r="S10" s="3"/>
      <c r="T10" s="3"/>
    </row>
    <row r="11" spans="1:20" x14ac:dyDescent="0.2">
      <c r="B11" s="2" t="s">
        <v>89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>
        <v>11693</v>
      </c>
      <c r="P11" s="18">
        <v>11317</v>
      </c>
      <c r="Q11" s="18">
        <v>11253</v>
      </c>
      <c r="R11" s="18">
        <v>12682</v>
      </c>
      <c r="S11" s="3"/>
      <c r="T11" s="3"/>
    </row>
    <row r="12" spans="1:20" x14ac:dyDescent="0.2">
      <c r="B12" s="2" t="s">
        <v>49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>
        <v>16789</v>
      </c>
      <c r="P12" s="18">
        <v>16148</v>
      </c>
      <c r="Q12" s="18">
        <v>16239</v>
      </c>
      <c r="R12" s="18">
        <v>17264</v>
      </c>
      <c r="S12" s="3"/>
      <c r="T12" s="3"/>
    </row>
    <row r="13" spans="1:20" x14ac:dyDescent="0.2">
      <c r="B13" s="2" t="s">
        <v>50</v>
      </c>
      <c r="C13" s="18"/>
      <c r="D13" s="18"/>
      <c r="E13" s="18"/>
      <c r="F13" s="18"/>
      <c r="G13" s="18"/>
      <c r="I13" s="18"/>
      <c r="J13" s="18"/>
      <c r="K13" s="18"/>
      <c r="L13" s="18"/>
      <c r="M13" s="18"/>
      <c r="N13" s="18"/>
      <c r="O13" s="18">
        <v>11814</v>
      </c>
      <c r="P13" s="18">
        <v>11532</v>
      </c>
      <c r="Q13" s="18">
        <v>12605</v>
      </c>
      <c r="R13" s="18">
        <v>12479</v>
      </c>
      <c r="S13" s="3"/>
      <c r="T13" s="3"/>
    </row>
    <row r="14" spans="1:20" x14ac:dyDescent="0.2">
      <c r="B14" s="2" t="s">
        <v>21</v>
      </c>
      <c r="C14" s="18"/>
      <c r="D14" s="18"/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>
        <v>56435</v>
      </c>
      <c r="P14" s="18">
        <v>55466</v>
      </c>
      <c r="Q14" s="18">
        <v>56265</v>
      </c>
      <c r="R14" s="18">
        <v>59277</v>
      </c>
      <c r="S14" s="3"/>
      <c r="T14" s="3"/>
    </row>
    <row r="15" spans="1:20" x14ac:dyDescent="0.2">
      <c r="B15" s="2" t="s">
        <v>22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>
        <v>10609</v>
      </c>
      <c r="P15" s="18">
        <v>10518</v>
      </c>
      <c r="Q15" s="18">
        <v>11306</v>
      </c>
      <c r="R15" s="18">
        <v>11766</v>
      </c>
      <c r="S15" s="3"/>
      <c r="T15" s="3"/>
    </row>
    <row r="16" spans="1:20" x14ac:dyDescent="0.2">
      <c r="B16" s="1" t="s">
        <v>20</v>
      </c>
      <c r="C16" s="18"/>
      <c r="D16" s="18"/>
      <c r="E16" s="18"/>
      <c r="F16" s="18"/>
      <c r="G16" s="18"/>
      <c r="H16" s="18"/>
      <c r="I16" s="18"/>
      <c r="J16" s="18"/>
      <c r="K16" s="18"/>
      <c r="L16" s="19">
        <f t="shared" ref="L16:P16" si="0">SUM(L14:L15)</f>
        <v>0</v>
      </c>
      <c r="M16" s="19">
        <f t="shared" si="0"/>
        <v>0</v>
      </c>
      <c r="N16" s="19">
        <f t="shared" si="0"/>
        <v>0</v>
      </c>
      <c r="O16" s="19">
        <f t="shared" si="0"/>
        <v>67044</v>
      </c>
      <c r="P16" s="19">
        <f t="shared" si="0"/>
        <v>65984</v>
      </c>
      <c r="Q16" s="19">
        <f>SUM(Q14:Q15)</f>
        <v>67571</v>
      </c>
      <c r="R16" s="19">
        <v>71043</v>
      </c>
      <c r="S16" s="3"/>
      <c r="T16" s="3"/>
    </row>
    <row r="17" spans="1:20" x14ac:dyDescent="0.2">
      <c r="B17" s="2" t="s">
        <v>51</v>
      </c>
      <c r="C17" s="18"/>
      <c r="D17" s="18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>
        <f>50017+9434+36-1504</f>
        <v>57983</v>
      </c>
      <c r="P17" s="18">
        <f>49357+9252+100-1012</f>
        <v>57697</v>
      </c>
      <c r="Q17" s="18">
        <f>50206+10027+92-1233</f>
        <v>59092</v>
      </c>
      <c r="R17" s="18">
        <v>64113</v>
      </c>
      <c r="S17" s="3"/>
      <c r="T17" s="3"/>
    </row>
    <row r="18" spans="1:20" s="21" customFormat="1" x14ac:dyDescent="0.2">
      <c r="A18" s="2"/>
      <c r="B18" s="21" t="s">
        <v>52</v>
      </c>
      <c r="C18" s="22"/>
      <c r="D18" s="22"/>
      <c r="E18" s="22"/>
      <c r="F18" s="22"/>
      <c r="G18" s="22"/>
      <c r="H18" s="22"/>
      <c r="I18" s="22"/>
      <c r="J18" s="22"/>
      <c r="K18" s="22"/>
      <c r="L18" s="22">
        <f t="shared" ref="L18:P18" si="1">L16-L17</f>
        <v>0</v>
      </c>
      <c r="M18" s="22">
        <f t="shared" si="1"/>
        <v>0</v>
      </c>
      <c r="N18" s="22">
        <f t="shared" si="1"/>
        <v>0</v>
      </c>
      <c r="O18" s="22">
        <f t="shared" si="1"/>
        <v>9061</v>
      </c>
      <c r="P18" s="22">
        <f t="shared" si="1"/>
        <v>8287</v>
      </c>
      <c r="Q18" s="22">
        <f>Q16-Q17</f>
        <v>8479</v>
      </c>
      <c r="R18" s="22">
        <f>R16-R17</f>
        <v>6930</v>
      </c>
      <c r="S18" s="23"/>
      <c r="T18" s="23"/>
    </row>
    <row r="19" spans="1:20" x14ac:dyDescent="0.2">
      <c r="B19" s="2" t="s">
        <v>53</v>
      </c>
      <c r="C19" s="18"/>
      <c r="D19" s="18"/>
      <c r="E19" s="18"/>
      <c r="F19" s="18"/>
      <c r="G19" s="18"/>
      <c r="H19" s="18"/>
      <c r="I19" s="18"/>
      <c r="J19" s="18"/>
      <c r="K19" s="18"/>
      <c r="L19" s="18"/>
      <c r="M19" s="18"/>
      <c r="N19" s="18"/>
      <c r="O19" s="18">
        <v>62</v>
      </c>
      <c r="P19" s="18">
        <v>61</v>
      </c>
      <c r="Q19" s="18">
        <v>28</v>
      </c>
      <c r="R19" s="18">
        <v>83</v>
      </c>
      <c r="S19" s="3"/>
      <c r="T19" s="3"/>
    </row>
    <row r="20" spans="1:20" s="21" customFormat="1" x14ac:dyDescent="0.2">
      <c r="A20" s="2"/>
      <c r="B20" s="21" t="s">
        <v>54</v>
      </c>
      <c r="C20" s="22"/>
      <c r="D20" s="22"/>
      <c r="E20" s="22"/>
      <c r="F20" s="22"/>
      <c r="G20" s="22"/>
      <c r="H20" s="22"/>
      <c r="I20" s="22"/>
      <c r="J20" s="22"/>
      <c r="K20" s="22"/>
      <c r="L20" s="22">
        <f t="shared" ref="L20:P20" si="2">L18+L19</f>
        <v>0</v>
      </c>
      <c r="M20" s="22">
        <f t="shared" si="2"/>
        <v>0</v>
      </c>
      <c r="N20" s="22">
        <f t="shared" si="2"/>
        <v>0</v>
      </c>
      <c r="O20" s="22">
        <f t="shared" si="2"/>
        <v>9123</v>
      </c>
      <c r="P20" s="22">
        <f t="shared" si="2"/>
        <v>8348</v>
      </c>
      <c r="Q20" s="22">
        <f>Q18+Q19</f>
        <v>8507</v>
      </c>
      <c r="R20" s="22">
        <f>R18+R19</f>
        <v>7013</v>
      </c>
      <c r="S20" s="23"/>
      <c r="T20" s="23"/>
    </row>
    <row r="21" spans="1:20" x14ac:dyDescent="0.2">
      <c r="B21" s="2" t="s">
        <v>55</v>
      </c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>
        <f>-569-1292+288</f>
        <v>-1573</v>
      </c>
      <c r="P21" s="18">
        <f>-623-971-74</f>
        <v>-1668</v>
      </c>
      <c r="Q21" s="18">
        <f>-916+443+64</f>
        <v>-409</v>
      </c>
      <c r="R21" s="18">
        <f>-1036+62+181</f>
        <v>-793</v>
      </c>
      <c r="S21" s="3"/>
      <c r="T21" s="3"/>
    </row>
    <row r="22" spans="1:20" x14ac:dyDescent="0.2">
      <c r="B22" s="2" t="s">
        <v>56</v>
      </c>
      <c r="C22" s="18"/>
      <c r="D22" s="18"/>
      <c r="E22" s="18"/>
      <c r="F22" s="18"/>
      <c r="G22" s="18"/>
      <c r="H22" s="18"/>
      <c r="I22" s="18"/>
      <c r="J22" s="18"/>
      <c r="K22" s="18"/>
      <c r="L22" s="18">
        <f t="shared" ref="L22:P22" si="3">L20+L21</f>
        <v>0</v>
      </c>
      <c r="M22" s="18">
        <f t="shared" si="3"/>
        <v>0</v>
      </c>
      <c r="N22" s="18">
        <f t="shared" si="3"/>
        <v>0</v>
      </c>
      <c r="O22" s="18">
        <f t="shared" si="3"/>
        <v>7550</v>
      </c>
      <c r="P22" s="18">
        <f t="shared" si="3"/>
        <v>6680</v>
      </c>
      <c r="Q22" s="18">
        <f>Q20+Q21</f>
        <v>8098</v>
      </c>
      <c r="R22" s="18">
        <f>R20+R21</f>
        <v>6220</v>
      </c>
      <c r="S22" s="3"/>
      <c r="T22" s="3"/>
    </row>
    <row r="23" spans="1:20" x14ac:dyDescent="0.2">
      <c r="B23" s="2" t="s">
        <v>57</v>
      </c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>
        <v>1235</v>
      </c>
      <c r="P23" s="18">
        <v>948</v>
      </c>
      <c r="Q23" s="18">
        <v>1178</v>
      </c>
      <c r="R23" s="18">
        <v>884</v>
      </c>
      <c r="S23" s="3"/>
      <c r="T23" s="3"/>
    </row>
    <row r="24" spans="1:20" s="21" customFormat="1" x14ac:dyDescent="0.2">
      <c r="A24" s="2"/>
      <c r="B24" s="21" t="s">
        <v>58</v>
      </c>
      <c r="C24" s="22"/>
      <c r="D24" s="22"/>
      <c r="E24" s="22"/>
      <c r="F24" s="22"/>
      <c r="G24" s="22"/>
      <c r="H24" s="22"/>
      <c r="I24" s="22"/>
      <c r="J24" s="22"/>
      <c r="K24" s="22"/>
      <c r="L24" s="22">
        <f t="shared" ref="L24:P24" si="4">L22-L23</f>
        <v>0</v>
      </c>
      <c r="M24" s="22">
        <f t="shared" si="4"/>
        <v>0</v>
      </c>
      <c r="N24" s="22">
        <f t="shared" si="4"/>
        <v>0</v>
      </c>
      <c r="O24" s="22">
        <f t="shared" si="4"/>
        <v>6315</v>
      </c>
      <c r="P24" s="22">
        <f t="shared" si="4"/>
        <v>5732</v>
      </c>
      <c r="Q24" s="22">
        <f>Q22-Q23</f>
        <v>6920</v>
      </c>
      <c r="R24" s="22">
        <f>R22-R23</f>
        <v>5336</v>
      </c>
      <c r="S24" s="23"/>
      <c r="T24" s="23"/>
    </row>
    <row r="25" spans="1:20" s="21" customFormat="1" x14ac:dyDescent="0.2">
      <c r="A25" s="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3"/>
      <c r="T25" s="23"/>
    </row>
    <row r="26" spans="1:20" s="21" customFormat="1" x14ac:dyDescent="0.2">
      <c r="A26" s="2"/>
      <c r="B26" s="21" t="s">
        <v>121</v>
      </c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3" t="e">
        <f t="shared" ref="O26:Q26" si="5">+O24/O27</f>
        <v>#DIV/0!</v>
      </c>
      <c r="P26" s="23">
        <f t="shared" si="5"/>
        <v>21.736822146378461</v>
      </c>
      <c r="Q26" s="23">
        <f t="shared" si="5"/>
        <v>27.646823811426287</v>
      </c>
      <c r="R26" s="23">
        <f>+R24/R27</f>
        <v>22.39194292908099</v>
      </c>
      <c r="S26" s="23"/>
      <c r="T26" s="23"/>
    </row>
    <row r="27" spans="1:20" s="21" customFormat="1" x14ac:dyDescent="0.2">
      <c r="A27" s="2"/>
      <c r="B27" s="21" t="s">
        <v>5</v>
      </c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>
        <v>263.7</v>
      </c>
      <c r="Q27" s="22">
        <v>250.3</v>
      </c>
      <c r="R27" s="22">
        <v>238.3</v>
      </c>
      <c r="S27" s="23"/>
      <c r="T27" s="23"/>
    </row>
    <row r="28" spans="1:20" x14ac:dyDescent="0.2"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3"/>
      <c r="T28" s="3"/>
    </row>
    <row r="29" spans="1:20" x14ac:dyDescent="0.2">
      <c r="B29" s="1" t="s">
        <v>93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24" t="e">
        <f t="shared" ref="M29:P29" si="6">M16/L16-1</f>
        <v>#DIV/0!</v>
      </c>
      <c r="N29" s="24" t="e">
        <f t="shared" si="6"/>
        <v>#DIV/0!</v>
      </c>
      <c r="O29" s="24" t="e">
        <f t="shared" si="6"/>
        <v>#DIV/0!</v>
      </c>
      <c r="P29" s="24">
        <f t="shared" si="6"/>
        <v>-1.5810512499254248E-2</v>
      </c>
      <c r="Q29" s="24">
        <f>Q16/P16-1</f>
        <v>2.4051285160038738E-2</v>
      </c>
      <c r="R29" s="24">
        <f>R16/Q16-1</f>
        <v>5.1382989744120922E-2</v>
      </c>
      <c r="S29" s="3"/>
      <c r="T29" s="3"/>
    </row>
    <row r="30" spans="1:20" x14ac:dyDescent="0.2">
      <c r="B30" s="2" t="s">
        <v>94</v>
      </c>
      <c r="C30" s="18"/>
      <c r="D30" s="18"/>
      <c r="E30" s="18"/>
      <c r="F30" s="18"/>
      <c r="G30" s="18"/>
      <c r="H30" s="18"/>
      <c r="I30" s="18"/>
      <c r="J30" s="18"/>
      <c r="K30" s="18"/>
      <c r="L30" s="18"/>
      <c r="M30" s="20" t="e">
        <f t="shared" ref="M30:P30" si="7">M18/M16</f>
        <v>#DIV/0!</v>
      </c>
      <c r="N30" s="20" t="e">
        <f t="shared" si="7"/>
        <v>#DIV/0!</v>
      </c>
      <c r="O30" s="20">
        <f t="shared" si="7"/>
        <v>0.13515005071296463</v>
      </c>
      <c r="P30" s="20">
        <f t="shared" si="7"/>
        <v>0.12559105237633367</v>
      </c>
      <c r="Q30" s="20">
        <f>Q18/Q16</f>
        <v>0.125482825472466</v>
      </c>
      <c r="R30" s="20">
        <f>R18/R16</f>
        <v>9.7546556310966592E-2</v>
      </c>
      <c r="S30" s="3"/>
      <c r="T30" s="3"/>
    </row>
    <row r="31" spans="1:20" x14ac:dyDescent="0.2">
      <c r="B31" s="2" t="s">
        <v>95</v>
      </c>
      <c r="C31" s="18"/>
      <c r="D31" s="18"/>
      <c r="E31" s="18"/>
      <c r="F31" s="18"/>
      <c r="G31" s="18"/>
      <c r="H31" s="18"/>
      <c r="I31" s="18"/>
      <c r="J31" s="18"/>
      <c r="K31" s="18"/>
      <c r="L31" s="18"/>
      <c r="M31" s="20" t="e">
        <f t="shared" ref="M31:P31" si="8">M20/M16</f>
        <v>#DIV/0!</v>
      </c>
      <c r="N31" s="20" t="e">
        <f t="shared" si="8"/>
        <v>#DIV/0!</v>
      </c>
      <c r="O31" s="20">
        <f t="shared" si="8"/>
        <v>0.13607481653839271</v>
      </c>
      <c r="P31" s="20">
        <f t="shared" si="8"/>
        <v>0.12651551891367604</v>
      </c>
      <c r="Q31" s="20">
        <f>Q20/Q16</f>
        <v>0.12589720442201535</v>
      </c>
      <c r="R31" s="20">
        <f>R20/R16</f>
        <v>9.8714862829553926E-2</v>
      </c>
      <c r="S31" s="3"/>
      <c r="T31" s="3"/>
    </row>
    <row r="32" spans="1:20" x14ac:dyDescent="0.2">
      <c r="B32" s="2" t="s">
        <v>96</v>
      </c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20" t="e">
        <f t="shared" ref="M32:P32" si="9">M23/M22</f>
        <v>#DIV/0!</v>
      </c>
      <c r="N32" s="20" t="e">
        <f t="shared" si="9"/>
        <v>#DIV/0!</v>
      </c>
      <c r="O32" s="20">
        <f t="shared" si="9"/>
        <v>0.16357615894039734</v>
      </c>
      <c r="P32" s="20">
        <f t="shared" si="9"/>
        <v>0.14191616766467066</v>
      </c>
      <c r="Q32" s="20">
        <f>Q23/Q22</f>
        <v>0.14546801679427018</v>
      </c>
      <c r="R32" s="20">
        <f>R23/R22</f>
        <v>0.14212218649517686</v>
      </c>
      <c r="S32" s="3"/>
      <c r="T32" s="3"/>
    </row>
    <row r="33" spans="1:20" x14ac:dyDescent="0.2"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3"/>
      <c r="T33" s="3"/>
    </row>
    <row r="34" spans="1:20" x14ac:dyDescent="0.2">
      <c r="A34" s="16" t="s">
        <v>98</v>
      </c>
      <c r="B34" s="17" t="s">
        <v>97</v>
      </c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3"/>
      <c r="T34" s="3"/>
    </row>
    <row r="35" spans="1:20" x14ac:dyDescent="0.2">
      <c r="B35" s="2" t="s">
        <v>99</v>
      </c>
      <c r="C35" s="18"/>
      <c r="D35" s="18"/>
      <c r="E35" s="18"/>
      <c r="F35" s="18"/>
      <c r="G35" s="18"/>
      <c r="H35" s="18"/>
      <c r="I35" s="18"/>
      <c r="J35" s="18"/>
      <c r="K35" s="18"/>
      <c r="L35" s="18"/>
      <c r="M35" s="18"/>
      <c r="N35" s="18"/>
      <c r="O35" s="18"/>
      <c r="P35" s="18">
        <v>2547</v>
      </c>
      <c r="Q35" s="18">
        <v>1442</v>
      </c>
      <c r="R35" s="18"/>
      <c r="S35" s="3"/>
      <c r="T35" s="3"/>
    </row>
    <row r="36" spans="1:20" x14ac:dyDescent="0.2">
      <c r="B36" s="2" t="s">
        <v>100</v>
      </c>
      <c r="C36" s="18"/>
      <c r="D36" s="18"/>
      <c r="E36" s="18"/>
      <c r="F36" s="18"/>
      <c r="G36" s="18"/>
      <c r="H36" s="18"/>
      <c r="I36" s="18"/>
      <c r="J36" s="18"/>
      <c r="K36" s="18"/>
      <c r="L36" s="18"/>
      <c r="M36" s="18"/>
      <c r="N36" s="18"/>
      <c r="O36" s="18"/>
      <c r="P36" s="18">
        <v>2505</v>
      </c>
      <c r="Q36" s="18">
        <v>2132</v>
      </c>
      <c r="R36" s="18"/>
      <c r="S36" s="3"/>
      <c r="T36" s="3"/>
    </row>
    <row r="37" spans="1:20" x14ac:dyDescent="0.2">
      <c r="B37" s="2" t="s">
        <v>101</v>
      </c>
      <c r="C37" s="18"/>
      <c r="D37" s="18"/>
      <c r="E37" s="18"/>
      <c r="F37" s="18"/>
      <c r="G37" s="18"/>
      <c r="H37" s="18"/>
      <c r="I37" s="18"/>
      <c r="J37" s="18"/>
      <c r="K37" s="18"/>
      <c r="L37" s="18"/>
      <c r="M37" s="18"/>
      <c r="N37" s="18"/>
      <c r="O37" s="18"/>
      <c r="P37" s="18">
        <v>12318</v>
      </c>
      <c r="Q37" s="18">
        <v>13183</v>
      </c>
      <c r="R37" s="18"/>
      <c r="S37" s="3"/>
      <c r="T37" s="3"/>
    </row>
    <row r="38" spans="1:20" x14ac:dyDescent="0.2">
      <c r="B38" s="2" t="s">
        <v>102</v>
      </c>
      <c r="C38" s="18"/>
      <c r="D38" s="18"/>
      <c r="E38" s="18"/>
      <c r="F38" s="18"/>
      <c r="G38" s="18"/>
      <c r="H38" s="18"/>
      <c r="I38" s="18"/>
      <c r="J38" s="18"/>
      <c r="K38" s="18"/>
      <c r="L38" s="18"/>
      <c r="M38" s="18"/>
      <c r="N38" s="18"/>
      <c r="O38" s="18"/>
      <c r="P38" s="18">
        <v>3088</v>
      </c>
      <c r="Q38" s="18">
        <v>3132</v>
      </c>
      <c r="R38" s="18"/>
      <c r="S38" s="3"/>
      <c r="T38" s="3"/>
    </row>
    <row r="39" spans="1:20" x14ac:dyDescent="0.2">
      <c r="B39" s="2" t="s">
        <v>103</v>
      </c>
      <c r="C39" s="18"/>
      <c r="D39" s="18"/>
      <c r="E39" s="18"/>
      <c r="F39" s="18"/>
      <c r="G39" s="18"/>
      <c r="H39" s="18"/>
      <c r="I39" s="18"/>
      <c r="J39" s="18"/>
      <c r="K39" s="18"/>
      <c r="L39" s="18"/>
      <c r="M39" s="18"/>
      <c r="N39" s="18"/>
      <c r="O39" s="18"/>
      <c r="P39" s="18">
        <v>533</v>
      </c>
      <c r="Q39" s="18">
        <v>632</v>
      </c>
      <c r="R39" s="18"/>
      <c r="S39" s="3"/>
      <c r="T39" s="3"/>
    </row>
    <row r="40" spans="1:20" x14ac:dyDescent="0.2">
      <c r="B40" s="1" t="s">
        <v>104</v>
      </c>
      <c r="C40" s="18"/>
      <c r="D40" s="18"/>
      <c r="E40" s="18"/>
      <c r="F40" s="18"/>
      <c r="G40" s="18"/>
      <c r="H40" s="18"/>
      <c r="I40" s="18"/>
      <c r="J40" s="18"/>
      <c r="K40" s="18"/>
      <c r="L40" s="19">
        <f t="shared" ref="L40:P40" si="10">SUM(L35:L39)</f>
        <v>0</v>
      </c>
      <c r="M40" s="19">
        <f t="shared" si="10"/>
        <v>0</v>
      </c>
      <c r="N40" s="19">
        <f t="shared" si="10"/>
        <v>0</v>
      </c>
      <c r="O40" s="19">
        <f t="shared" si="10"/>
        <v>0</v>
      </c>
      <c r="P40" s="19">
        <f t="shared" si="10"/>
        <v>20991</v>
      </c>
      <c r="Q40" s="19">
        <f>SUM(Q35:Q39)</f>
        <v>20521</v>
      </c>
      <c r="R40" s="18"/>
      <c r="S40" s="3"/>
      <c r="T40" s="3"/>
    </row>
    <row r="41" spans="1:20" x14ac:dyDescent="0.2">
      <c r="B41" s="2" t="s">
        <v>105</v>
      </c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8"/>
      <c r="O41" s="18"/>
      <c r="P41" s="18">
        <v>7975</v>
      </c>
      <c r="Q41" s="18">
        <v>8370</v>
      </c>
      <c r="R41" s="18"/>
      <c r="S41" s="3"/>
      <c r="T41" s="3"/>
    </row>
    <row r="42" spans="1:20" x14ac:dyDescent="0.2">
      <c r="B42" s="2" t="s">
        <v>106</v>
      </c>
      <c r="C42" s="18"/>
      <c r="D42" s="18"/>
      <c r="E42" s="18"/>
      <c r="F42" s="18"/>
      <c r="G42" s="18"/>
      <c r="H42" s="18"/>
      <c r="I42" s="18"/>
      <c r="J42" s="18"/>
      <c r="K42" s="18"/>
      <c r="L42" s="18"/>
      <c r="M42" s="18"/>
      <c r="N42" s="18"/>
      <c r="O42" s="18"/>
      <c r="P42" s="18">
        <v>10780</v>
      </c>
      <c r="Q42" s="18">
        <v>10799</v>
      </c>
      <c r="R42" s="18"/>
      <c r="S42" s="3"/>
      <c r="T42" s="3"/>
    </row>
    <row r="43" spans="1:20" x14ac:dyDescent="0.2">
      <c r="B43" s="2" t="s">
        <v>107</v>
      </c>
      <c r="C43" s="18"/>
      <c r="D43" s="18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>
        <v>2459</v>
      </c>
      <c r="Q43" s="18">
        <v>2212</v>
      </c>
      <c r="R43" s="18"/>
      <c r="S43" s="3"/>
      <c r="T43" s="3"/>
    </row>
    <row r="44" spans="1:20" x14ac:dyDescent="0.2">
      <c r="B44" s="2" t="s">
        <v>108</v>
      </c>
      <c r="C44" s="18"/>
      <c r="D44" s="18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>
        <v>3744</v>
      </c>
      <c r="Q44" s="18">
        <v>2953</v>
      </c>
      <c r="R44" s="18"/>
      <c r="S44" s="3"/>
      <c r="T44" s="3"/>
    </row>
    <row r="45" spans="1:20" x14ac:dyDescent="0.2">
      <c r="B45" s="2" t="s">
        <v>103</v>
      </c>
      <c r="C45" s="18"/>
      <c r="D45" s="18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>
        <v>6931</v>
      </c>
      <c r="Q45" s="18">
        <v>7601</v>
      </c>
      <c r="R45" s="18"/>
      <c r="S45" s="3"/>
      <c r="T45" s="3"/>
    </row>
    <row r="46" spans="1:20" x14ac:dyDescent="0.2">
      <c r="B46" s="1" t="s">
        <v>109</v>
      </c>
      <c r="C46" s="18"/>
      <c r="D46" s="18"/>
      <c r="E46" s="18"/>
      <c r="F46" s="18"/>
      <c r="G46" s="18"/>
      <c r="H46" s="18"/>
      <c r="I46" s="18"/>
      <c r="J46" s="18"/>
      <c r="K46" s="18"/>
      <c r="L46" s="19">
        <f t="shared" ref="L46:P46" si="11">SUM(L41:L45)</f>
        <v>0</v>
      </c>
      <c r="M46" s="19">
        <f t="shared" si="11"/>
        <v>0</v>
      </c>
      <c r="N46" s="19">
        <f t="shared" si="11"/>
        <v>0</v>
      </c>
      <c r="O46" s="19">
        <f t="shared" si="11"/>
        <v>0</v>
      </c>
      <c r="P46" s="19">
        <f t="shared" si="11"/>
        <v>31889</v>
      </c>
      <c r="Q46" s="19">
        <f>SUM(Q41:Q45)</f>
        <v>31935</v>
      </c>
      <c r="R46" s="18"/>
      <c r="S46" s="3"/>
      <c r="T46" s="3"/>
    </row>
    <row r="47" spans="1:20" x14ac:dyDescent="0.2">
      <c r="C47" s="18"/>
      <c r="D47" s="18"/>
      <c r="E47" s="18"/>
      <c r="F47" s="18"/>
      <c r="G47" s="18"/>
      <c r="H47" s="18"/>
      <c r="I47" s="18"/>
      <c r="J47" s="18"/>
      <c r="K47" s="18"/>
      <c r="L47" s="18"/>
      <c r="M47" s="18"/>
      <c r="N47" s="18"/>
      <c r="O47" s="18"/>
      <c r="P47" s="18"/>
      <c r="R47" s="18"/>
      <c r="S47" s="3"/>
      <c r="T47" s="3"/>
    </row>
    <row r="48" spans="1:20" x14ac:dyDescent="0.2">
      <c r="B48" s="1" t="s">
        <v>110</v>
      </c>
      <c r="C48" s="18"/>
      <c r="D48" s="18"/>
      <c r="E48" s="18"/>
      <c r="F48" s="18"/>
      <c r="G48" s="18"/>
      <c r="H48" s="18"/>
      <c r="I48" s="18"/>
      <c r="J48" s="18"/>
      <c r="K48" s="18"/>
      <c r="L48" s="19">
        <f t="shared" ref="L48:P48" si="12">L40+L46</f>
        <v>0</v>
      </c>
      <c r="M48" s="19">
        <f t="shared" si="12"/>
        <v>0</v>
      </c>
      <c r="N48" s="19">
        <f t="shared" si="12"/>
        <v>0</v>
      </c>
      <c r="O48" s="19">
        <f t="shared" si="12"/>
        <v>0</v>
      </c>
      <c r="P48" s="19">
        <f t="shared" si="12"/>
        <v>52880</v>
      </c>
      <c r="Q48" s="19">
        <f>Q40+Q46</f>
        <v>52456</v>
      </c>
      <c r="R48" s="18"/>
      <c r="S48" s="3"/>
      <c r="T48" s="3"/>
    </row>
    <row r="49" spans="2:20" x14ac:dyDescent="0.2">
      <c r="C49" s="18"/>
      <c r="D49" s="18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3"/>
      <c r="T49" s="3"/>
    </row>
    <row r="50" spans="2:20" x14ac:dyDescent="0.2">
      <c r="B50" s="2" t="s">
        <v>111</v>
      </c>
      <c r="C50" s="18"/>
      <c r="D50" s="18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>
        <v>2117</v>
      </c>
      <c r="Q50" s="18">
        <v>2312</v>
      </c>
      <c r="R50" s="18"/>
      <c r="S50" s="3"/>
      <c r="T50" s="3"/>
    </row>
    <row r="51" spans="2:20" x14ac:dyDescent="0.2">
      <c r="B51" s="2" t="s">
        <v>116</v>
      </c>
      <c r="C51" s="18"/>
      <c r="D51" s="18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>
        <v>3075</v>
      </c>
      <c r="Q51" s="18">
        <v>3133</v>
      </c>
      <c r="R51" s="18"/>
      <c r="S51" s="3"/>
      <c r="T51" s="3"/>
    </row>
    <row r="52" spans="2:20" x14ac:dyDescent="0.2">
      <c r="B52" s="2" t="s">
        <v>112</v>
      </c>
      <c r="C52" s="18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>
        <v>8488</v>
      </c>
      <c r="Q52" s="18">
        <v>9190</v>
      </c>
      <c r="R52" s="18"/>
      <c r="S52" s="3"/>
      <c r="T52" s="3"/>
    </row>
    <row r="53" spans="2:20" x14ac:dyDescent="0.2">
      <c r="B53" s="2" t="s">
        <v>113</v>
      </c>
      <c r="C53" s="18"/>
      <c r="D53" s="18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>
        <v>118</v>
      </c>
      <c r="Q53" s="18">
        <v>168</v>
      </c>
      <c r="R53" s="18"/>
      <c r="S53" s="3"/>
      <c r="T53" s="3"/>
    </row>
    <row r="54" spans="2:20" x14ac:dyDescent="0.2">
      <c r="B54" s="2" t="s">
        <v>103</v>
      </c>
      <c r="C54" s="18"/>
      <c r="D54" s="18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>
        <v>2089</v>
      </c>
      <c r="Q54" s="18">
        <v>2134</v>
      </c>
      <c r="R54" s="18"/>
      <c r="S54" s="3"/>
      <c r="T54" s="3"/>
    </row>
    <row r="55" spans="2:20" x14ac:dyDescent="0.2">
      <c r="B55" s="1" t="s">
        <v>114</v>
      </c>
      <c r="C55" s="18"/>
      <c r="D55" s="18"/>
      <c r="E55" s="18"/>
      <c r="F55" s="18"/>
      <c r="G55" s="18"/>
      <c r="H55" s="18"/>
      <c r="I55" s="18"/>
      <c r="J55" s="18"/>
      <c r="K55" s="18"/>
      <c r="L55" s="19">
        <f t="shared" ref="L55:P55" si="13">SUM(L50:L54)</f>
        <v>0</v>
      </c>
      <c r="M55" s="19">
        <f t="shared" si="13"/>
        <v>0</v>
      </c>
      <c r="N55" s="19">
        <f t="shared" si="13"/>
        <v>0</v>
      </c>
      <c r="O55" s="19">
        <f t="shared" si="13"/>
        <v>0</v>
      </c>
      <c r="P55" s="19">
        <f t="shared" si="13"/>
        <v>15887</v>
      </c>
      <c r="Q55" s="19">
        <f>SUM(Q50:Q54)</f>
        <v>16937</v>
      </c>
      <c r="R55" s="18"/>
      <c r="S55" s="3"/>
      <c r="T55" s="3"/>
    </row>
    <row r="56" spans="2:20" x14ac:dyDescent="0.2">
      <c r="B56" s="2" t="s">
        <v>8</v>
      </c>
      <c r="C56" s="18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>
        <v>15429</v>
      </c>
      <c r="Q56" s="18">
        <v>17291</v>
      </c>
      <c r="R56" s="18"/>
      <c r="S56" s="3"/>
      <c r="T56" s="3"/>
    </row>
    <row r="57" spans="2:20" x14ac:dyDescent="0.2">
      <c r="B57" s="2" t="s">
        <v>115</v>
      </c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>
        <v>5472</v>
      </c>
      <c r="Q57" s="18">
        <v>6162</v>
      </c>
      <c r="R57" s="18"/>
      <c r="S57" s="3"/>
      <c r="T57" s="3"/>
    </row>
    <row r="58" spans="2:20" x14ac:dyDescent="0.2">
      <c r="B58" s="2" t="s">
        <v>103</v>
      </c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>
        <v>6826</v>
      </c>
      <c r="Q58" s="18">
        <v>5231</v>
      </c>
      <c r="R58" s="18"/>
      <c r="S58" s="3"/>
      <c r="T58" s="3"/>
    </row>
    <row r="59" spans="2:20" x14ac:dyDescent="0.2">
      <c r="B59" s="2" t="s">
        <v>117</v>
      </c>
      <c r="C59" s="18"/>
      <c r="D59" s="18"/>
      <c r="E59" s="18"/>
      <c r="F59" s="18"/>
      <c r="G59" s="18"/>
      <c r="H59" s="18"/>
      <c r="I59" s="18"/>
      <c r="J59" s="18"/>
      <c r="K59" s="18"/>
      <c r="L59" s="19">
        <f t="shared" ref="L59:P59" si="14">SUM(L56:L58)</f>
        <v>0</v>
      </c>
      <c r="M59" s="19">
        <f t="shared" si="14"/>
        <v>0</v>
      </c>
      <c r="N59" s="19">
        <f t="shared" si="14"/>
        <v>0</v>
      </c>
      <c r="O59" s="19">
        <f t="shared" si="14"/>
        <v>0</v>
      </c>
      <c r="P59" s="19">
        <f t="shared" si="14"/>
        <v>27727</v>
      </c>
      <c r="Q59" s="19">
        <f>SUM(Q56:Q58)</f>
        <v>28684</v>
      </c>
      <c r="R59" s="18"/>
      <c r="S59" s="3"/>
      <c r="T59" s="3"/>
    </row>
    <row r="60" spans="2:20" x14ac:dyDescent="0.2"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3"/>
      <c r="T60" s="3"/>
    </row>
    <row r="61" spans="2:20" x14ac:dyDescent="0.2">
      <c r="B61" s="1" t="s">
        <v>118</v>
      </c>
      <c r="C61" s="18"/>
      <c r="D61" s="18"/>
      <c r="E61" s="18"/>
      <c r="F61" s="18"/>
      <c r="G61" s="18"/>
      <c r="H61" s="18"/>
      <c r="I61" s="18"/>
      <c r="J61" s="18"/>
      <c r="K61" s="18"/>
      <c r="L61" s="19">
        <f t="shared" ref="L61:P61" si="15">L55+L59</f>
        <v>0</v>
      </c>
      <c r="M61" s="19">
        <f t="shared" si="15"/>
        <v>0</v>
      </c>
      <c r="N61" s="19">
        <f t="shared" si="15"/>
        <v>0</v>
      </c>
      <c r="O61" s="19">
        <f t="shared" si="15"/>
        <v>0</v>
      </c>
      <c r="P61" s="19">
        <f t="shared" si="15"/>
        <v>43614</v>
      </c>
      <c r="Q61" s="19">
        <f>Q55+Q59</f>
        <v>45621</v>
      </c>
      <c r="R61" s="18"/>
      <c r="S61" s="3"/>
      <c r="T61" s="3"/>
    </row>
    <row r="62" spans="2:20" x14ac:dyDescent="0.2"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3"/>
      <c r="T62" s="3"/>
    </row>
    <row r="63" spans="2:20" x14ac:dyDescent="0.2">
      <c r="B63" s="2" t="s">
        <v>119</v>
      </c>
      <c r="C63" s="18"/>
      <c r="D63" s="18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>
        <v>9266</v>
      </c>
      <c r="Q63" s="18">
        <v>6835</v>
      </c>
      <c r="R63" s="18"/>
      <c r="S63" s="3"/>
      <c r="T63" s="3"/>
    </row>
    <row r="64" spans="2:20" x14ac:dyDescent="0.2"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3"/>
      <c r="T64" s="3"/>
    </row>
    <row r="65" spans="2:20" x14ac:dyDescent="0.2">
      <c r="B65" s="1" t="s">
        <v>120</v>
      </c>
      <c r="C65" s="18"/>
      <c r="D65" s="18"/>
      <c r="E65" s="18"/>
      <c r="F65" s="18"/>
      <c r="G65" s="18"/>
      <c r="H65" s="18"/>
      <c r="I65" s="18"/>
      <c r="J65" s="18"/>
      <c r="K65" s="18"/>
      <c r="L65" s="19">
        <f t="shared" ref="L65:O65" si="16">L61+L63</f>
        <v>0</v>
      </c>
      <c r="M65" s="19">
        <f t="shared" si="16"/>
        <v>0</v>
      </c>
      <c r="N65" s="19">
        <f t="shared" si="16"/>
        <v>0</v>
      </c>
      <c r="O65" s="19">
        <f t="shared" si="16"/>
        <v>0</v>
      </c>
      <c r="P65" s="19">
        <f t="shared" ref="P65" si="17">P61+P63</f>
        <v>52880</v>
      </c>
      <c r="Q65" s="19">
        <f>Q61+Q63</f>
        <v>52456</v>
      </c>
      <c r="R65" s="18"/>
      <c r="S65" s="3"/>
      <c r="T65" s="3"/>
    </row>
    <row r="66" spans="2:20" x14ac:dyDescent="0.2"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3"/>
      <c r="T66" s="3"/>
    </row>
    <row r="67" spans="2:20" x14ac:dyDescent="0.2"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3"/>
      <c r="T67" s="3"/>
    </row>
    <row r="68" spans="2:20" x14ac:dyDescent="0.2"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3"/>
      <c r="T68" s="3"/>
    </row>
    <row r="69" spans="2:20" x14ac:dyDescent="0.2"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3"/>
      <c r="T69" s="3"/>
    </row>
    <row r="70" spans="2:20" x14ac:dyDescent="0.2"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3"/>
      <c r="T70" s="3"/>
    </row>
    <row r="71" spans="2:20" x14ac:dyDescent="0.2"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3"/>
      <c r="T71" s="3"/>
    </row>
    <row r="72" spans="2:20" x14ac:dyDescent="0.2"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3"/>
      <c r="T72" s="3"/>
    </row>
    <row r="73" spans="2:20" x14ac:dyDescent="0.2"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3"/>
      <c r="T73" s="3"/>
    </row>
    <row r="74" spans="2:20" x14ac:dyDescent="0.2"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3"/>
      <c r="T74" s="3"/>
    </row>
    <row r="75" spans="2:20" x14ac:dyDescent="0.2"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3"/>
      <c r="T75" s="3"/>
    </row>
    <row r="76" spans="2:20" x14ac:dyDescent="0.2"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3"/>
      <c r="T76" s="3"/>
    </row>
    <row r="77" spans="2:20" x14ac:dyDescent="0.2"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3"/>
      <c r="T77" s="3"/>
    </row>
    <row r="78" spans="2:20" x14ac:dyDescent="0.2"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3"/>
      <c r="T78" s="3"/>
    </row>
    <row r="79" spans="2:20" x14ac:dyDescent="0.2"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3"/>
      <c r="T79" s="3"/>
    </row>
    <row r="80" spans="2:20" x14ac:dyDescent="0.2"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3"/>
      <c r="T80" s="3"/>
    </row>
    <row r="81" spans="3:20" x14ac:dyDescent="0.2"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3"/>
      <c r="T81" s="3"/>
    </row>
    <row r="82" spans="3:20" x14ac:dyDescent="0.2"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3"/>
      <c r="T82" s="3"/>
    </row>
    <row r="83" spans="3:20" x14ac:dyDescent="0.2"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3"/>
      <c r="T83" s="3"/>
    </row>
    <row r="84" spans="3:20" x14ac:dyDescent="0.2"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3"/>
      <c r="T84" s="3"/>
    </row>
    <row r="85" spans="3:20" x14ac:dyDescent="0.2"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3"/>
      <c r="T85" s="3"/>
    </row>
    <row r="86" spans="3:20" x14ac:dyDescent="0.2"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3"/>
      <c r="T86" s="3"/>
    </row>
    <row r="87" spans="3:20" x14ac:dyDescent="0.2"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3"/>
      <c r="T87" s="3"/>
    </row>
    <row r="88" spans="3:20" x14ac:dyDescent="0.2"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3"/>
      <c r="T88" s="3"/>
    </row>
    <row r="89" spans="3:20" x14ac:dyDescent="0.2"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3"/>
      <c r="T89" s="3"/>
    </row>
    <row r="90" spans="3:20" x14ac:dyDescent="0.2"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3"/>
      <c r="T90" s="3"/>
    </row>
    <row r="91" spans="3:20" x14ac:dyDescent="0.2"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3"/>
      <c r="T91" s="3"/>
    </row>
    <row r="92" spans="3:20" x14ac:dyDescent="0.2"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3"/>
      <c r="T92" s="3"/>
    </row>
    <row r="93" spans="3:20" x14ac:dyDescent="0.2"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3"/>
      <c r="T93" s="3"/>
    </row>
    <row r="94" spans="3:20" x14ac:dyDescent="0.2"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3"/>
      <c r="T94" s="3"/>
    </row>
    <row r="95" spans="3:20" x14ac:dyDescent="0.2"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3"/>
      <c r="T95" s="3"/>
    </row>
    <row r="96" spans="3:20" x14ac:dyDescent="0.2"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3"/>
      <c r="T96" s="3"/>
    </row>
    <row r="97" spans="3:20" x14ac:dyDescent="0.2"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3"/>
      <c r="T97" s="3"/>
    </row>
    <row r="98" spans="3:20" x14ac:dyDescent="0.2"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3"/>
      <c r="T98" s="3"/>
    </row>
    <row r="99" spans="3:20" x14ac:dyDescent="0.2"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3"/>
      <c r="T99" s="3"/>
    </row>
    <row r="100" spans="3:20" x14ac:dyDescent="0.2"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3"/>
      <c r="T100" s="3"/>
    </row>
    <row r="101" spans="3:20" x14ac:dyDescent="0.2"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3"/>
      <c r="T101" s="3"/>
    </row>
    <row r="102" spans="3:20" x14ac:dyDescent="0.2"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3"/>
      <c r="T102" s="3"/>
    </row>
    <row r="103" spans="3:20" x14ac:dyDescent="0.2"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3"/>
      <c r="T103" s="3"/>
    </row>
    <row r="104" spans="3:20" x14ac:dyDescent="0.2"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</row>
    <row r="105" spans="3:20" x14ac:dyDescent="0.2"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</row>
    <row r="106" spans="3:20" x14ac:dyDescent="0.2"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</row>
    <row r="107" spans="3:20" x14ac:dyDescent="0.2"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</row>
    <row r="108" spans="3:20" x14ac:dyDescent="0.2"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</row>
    <row r="109" spans="3:20" x14ac:dyDescent="0.2"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</row>
    <row r="110" spans="3:20" x14ac:dyDescent="0.2"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</row>
    <row r="111" spans="3:20" x14ac:dyDescent="0.2"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</row>
    <row r="112" spans="3:20" x14ac:dyDescent="0.2"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</row>
    <row r="113" spans="5:20" x14ac:dyDescent="0.2"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</row>
    <row r="114" spans="5:20" x14ac:dyDescent="0.2"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</row>
    <row r="115" spans="5:20" x14ac:dyDescent="0.2"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</row>
    <row r="116" spans="5:20" x14ac:dyDescent="0.2"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</row>
    <row r="117" spans="5:20" x14ac:dyDescent="0.2"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</row>
    <row r="118" spans="5:20" x14ac:dyDescent="0.2"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</row>
    <row r="119" spans="5:20" x14ac:dyDescent="0.2"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</row>
    <row r="120" spans="5:20" x14ac:dyDescent="0.2"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</row>
    <row r="121" spans="5:20" x14ac:dyDescent="0.2"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</row>
    <row r="122" spans="5:20" x14ac:dyDescent="0.2"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</row>
    <row r="123" spans="5:20" x14ac:dyDescent="0.2"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</row>
    <row r="124" spans="5:20" x14ac:dyDescent="0.2"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</row>
    <row r="125" spans="5:20" x14ac:dyDescent="0.2"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</row>
    <row r="126" spans="5:20" x14ac:dyDescent="0.2"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</row>
    <row r="127" spans="5:20" x14ac:dyDescent="0.2"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</row>
    <row r="128" spans="5:20" x14ac:dyDescent="0.2"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</row>
    <row r="129" spans="5:20" x14ac:dyDescent="0.2"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</row>
    <row r="130" spans="5:20" x14ac:dyDescent="0.2"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</row>
    <row r="131" spans="5:20" x14ac:dyDescent="0.2"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</row>
    <row r="132" spans="5:20" x14ac:dyDescent="0.2"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</row>
    <row r="133" spans="5:20" x14ac:dyDescent="0.2"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</row>
    <row r="134" spans="5:20" x14ac:dyDescent="0.2"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</row>
    <row r="135" spans="5:20" x14ac:dyDescent="0.2"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</row>
    <row r="136" spans="5:20" x14ac:dyDescent="0.2"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</row>
    <row r="137" spans="5:20" x14ac:dyDescent="0.2"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</row>
    <row r="138" spans="5:20" x14ac:dyDescent="0.2"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</row>
    <row r="139" spans="5:20" x14ac:dyDescent="0.2"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</row>
    <row r="140" spans="5:20" x14ac:dyDescent="0.2"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</row>
    <row r="141" spans="5:20" x14ac:dyDescent="0.2"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</row>
    <row r="142" spans="5:20" x14ac:dyDescent="0.2"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</row>
    <row r="143" spans="5:20" x14ac:dyDescent="0.2"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</row>
    <row r="144" spans="5:20" x14ac:dyDescent="0.2"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</row>
    <row r="145" spans="5:20" x14ac:dyDescent="0.2"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</row>
    <row r="146" spans="5:20" x14ac:dyDescent="0.2"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</row>
    <row r="147" spans="5:20" x14ac:dyDescent="0.2"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</row>
    <row r="148" spans="5:20" x14ac:dyDescent="0.2"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</row>
    <row r="149" spans="5:20" x14ac:dyDescent="0.2"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</row>
    <row r="150" spans="5:20" x14ac:dyDescent="0.2"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</row>
    <row r="151" spans="5:20" x14ac:dyDescent="0.2"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</row>
    <row r="152" spans="5:20" x14ac:dyDescent="0.2"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</row>
    <row r="153" spans="5:20" x14ac:dyDescent="0.2"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</row>
    <row r="154" spans="5:20" x14ac:dyDescent="0.2"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</row>
    <row r="155" spans="5:20" x14ac:dyDescent="0.2"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</row>
    <row r="156" spans="5:20" x14ac:dyDescent="0.2"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</row>
    <row r="157" spans="5:20" x14ac:dyDescent="0.2"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</row>
    <row r="158" spans="5:20" x14ac:dyDescent="0.2"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</row>
    <row r="159" spans="5:20" x14ac:dyDescent="0.2"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</row>
    <row r="160" spans="5:20" x14ac:dyDescent="0.2"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</row>
    <row r="161" spans="5:20" x14ac:dyDescent="0.2"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</row>
    <row r="162" spans="5:20" x14ac:dyDescent="0.2"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</row>
    <row r="163" spans="5:20" x14ac:dyDescent="0.2"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</row>
    <row r="164" spans="5:20" x14ac:dyDescent="0.2"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</row>
    <row r="165" spans="5:20" x14ac:dyDescent="0.2"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</row>
    <row r="166" spans="5:20" x14ac:dyDescent="0.2"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</row>
    <row r="167" spans="5:20" x14ac:dyDescent="0.2"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</row>
    <row r="168" spans="5:20" x14ac:dyDescent="0.2"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</row>
    <row r="169" spans="5:20" x14ac:dyDescent="0.2"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</row>
    <row r="170" spans="5:20" x14ac:dyDescent="0.2"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</row>
    <row r="171" spans="5:20" x14ac:dyDescent="0.2"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</row>
    <row r="172" spans="5:20" x14ac:dyDescent="0.2"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</row>
    <row r="173" spans="5:20" x14ac:dyDescent="0.2"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</row>
    <row r="174" spans="5:20" x14ac:dyDescent="0.2"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</row>
    <row r="175" spans="5:20" x14ac:dyDescent="0.2"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</row>
    <row r="176" spans="5:20" x14ac:dyDescent="0.2"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</row>
    <row r="177" spans="5:20" x14ac:dyDescent="0.2"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</row>
    <row r="178" spans="5:20" x14ac:dyDescent="0.2"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</row>
    <row r="179" spans="5:20" x14ac:dyDescent="0.2"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</row>
    <row r="180" spans="5:20" x14ac:dyDescent="0.2"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</row>
    <row r="181" spans="5:20" x14ac:dyDescent="0.2"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</row>
    <row r="182" spans="5:20" x14ac:dyDescent="0.2"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</row>
    <row r="183" spans="5:20" x14ac:dyDescent="0.2"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</row>
    <row r="184" spans="5:20" x14ac:dyDescent="0.2"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</row>
    <row r="185" spans="5:20" x14ac:dyDescent="0.2"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</row>
    <row r="186" spans="5:20" x14ac:dyDescent="0.2"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</row>
    <row r="187" spans="5:20" x14ac:dyDescent="0.2"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</row>
    <row r="188" spans="5:20" x14ac:dyDescent="0.2"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</row>
    <row r="189" spans="5:20" x14ac:dyDescent="0.2"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</row>
    <row r="190" spans="5:20" x14ac:dyDescent="0.2"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</row>
    <row r="191" spans="5:20" x14ac:dyDescent="0.2"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</row>
    <row r="192" spans="5:20" x14ac:dyDescent="0.2"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</row>
    <row r="193" spans="5:20" x14ac:dyDescent="0.2"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</row>
    <row r="194" spans="5:20" x14ac:dyDescent="0.2"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</row>
    <row r="195" spans="5:20" x14ac:dyDescent="0.2"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</row>
    <row r="196" spans="5:20" x14ac:dyDescent="0.2"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</row>
    <row r="197" spans="5:20" x14ac:dyDescent="0.2"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</row>
    <row r="198" spans="5:20" x14ac:dyDescent="0.2"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</row>
    <row r="199" spans="5:20" x14ac:dyDescent="0.2"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</row>
    <row r="200" spans="5:20" x14ac:dyDescent="0.2"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</row>
    <row r="201" spans="5:20" x14ac:dyDescent="0.2"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</row>
    <row r="202" spans="5:20" x14ac:dyDescent="0.2"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</row>
    <row r="203" spans="5:20" x14ac:dyDescent="0.2"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</row>
    <row r="204" spans="5:20" x14ac:dyDescent="0.2"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</row>
    <row r="205" spans="5:20" x14ac:dyDescent="0.2"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</row>
    <row r="206" spans="5:20" x14ac:dyDescent="0.2"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</row>
    <row r="207" spans="5:20" x14ac:dyDescent="0.2"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</row>
    <row r="208" spans="5:20" x14ac:dyDescent="0.2"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</row>
    <row r="209" spans="5:20" x14ac:dyDescent="0.2"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</row>
    <row r="210" spans="5:20" x14ac:dyDescent="0.2"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</row>
    <row r="211" spans="5:20" x14ac:dyDescent="0.2"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</row>
    <row r="212" spans="5:20" x14ac:dyDescent="0.2"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</row>
    <row r="213" spans="5:20" x14ac:dyDescent="0.2"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</row>
    <row r="214" spans="5:20" x14ac:dyDescent="0.2"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</row>
    <row r="215" spans="5:20" x14ac:dyDescent="0.2"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</row>
    <row r="216" spans="5:20" x14ac:dyDescent="0.2"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</row>
    <row r="217" spans="5:20" x14ac:dyDescent="0.2"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</row>
    <row r="218" spans="5:20" x14ac:dyDescent="0.2"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</row>
    <row r="219" spans="5:20" x14ac:dyDescent="0.2"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</row>
    <row r="220" spans="5:20" x14ac:dyDescent="0.2"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</row>
    <row r="221" spans="5:20" x14ac:dyDescent="0.2"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</row>
    <row r="222" spans="5:20" x14ac:dyDescent="0.2"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</row>
    <row r="223" spans="5:20" x14ac:dyDescent="0.2"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</row>
    <row r="224" spans="5:20" x14ac:dyDescent="0.2"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</row>
    <row r="225" spans="5:20" x14ac:dyDescent="0.2"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</row>
    <row r="226" spans="5:20" x14ac:dyDescent="0.2"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</row>
    <row r="227" spans="5:20" x14ac:dyDescent="0.2"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</row>
    <row r="228" spans="5:20" x14ac:dyDescent="0.2"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</row>
    <row r="229" spans="5:20" x14ac:dyDescent="0.2"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</row>
    <row r="230" spans="5:20" x14ac:dyDescent="0.2"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</row>
    <row r="231" spans="5:20" x14ac:dyDescent="0.2"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</row>
    <row r="232" spans="5:20" x14ac:dyDescent="0.2"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</row>
    <row r="233" spans="5:20" x14ac:dyDescent="0.2"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</row>
    <row r="234" spans="5:20" x14ac:dyDescent="0.2"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</row>
    <row r="235" spans="5:20" x14ac:dyDescent="0.2"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</row>
    <row r="236" spans="5:20" x14ac:dyDescent="0.2"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</row>
    <row r="237" spans="5:20" x14ac:dyDescent="0.2"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</row>
    <row r="238" spans="5:20" x14ac:dyDescent="0.2"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</row>
    <row r="239" spans="5:20" x14ac:dyDescent="0.2"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</row>
    <row r="240" spans="5:20" x14ac:dyDescent="0.2"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</row>
    <row r="241" spans="5:20" x14ac:dyDescent="0.2"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</row>
    <row r="242" spans="5:20" x14ac:dyDescent="0.2"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</row>
    <row r="243" spans="5:20" x14ac:dyDescent="0.2"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</row>
    <row r="244" spans="5:20" x14ac:dyDescent="0.2"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</row>
    <row r="245" spans="5:20" x14ac:dyDescent="0.2"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</row>
    <row r="246" spans="5:20" x14ac:dyDescent="0.2"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</row>
    <row r="247" spans="5:20" x14ac:dyDescent="0.2"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</row>
    <row r="248" spans="5:20" x14ac:dyDescent="0.2"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</row>
    <row r="249" spans="5:20" x14ac:dyDescent="0.2"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</row>
    <row r="250" spans="5:20" x14ac:dyDescent="0.2"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</row>
    <row r="251" spans="5:20" x14ac:dyDescent="0.2"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</row>
    <row r="252" spans="5:20" x14ac:dyDescent="0.2"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</row>
    <row r="253" spans="5:20" x14ac:dyDescent="0.2"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</row>
    <row r="254" spans="5:20" x14ac:dyDescent="0.2"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</row>
    <row r="255" spans="5:20" x14ac:dyDescent="0.2"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</row>
    <row r="256" spans="5:20" x14ac:dyDescent="0.2"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</row>
    <row r="257" spans="5:20" x14ac:dyDescent="0.2"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</row>
    <row r="258" spans="5:20" x14ac:dyDescent="0.2"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</row>
    <row r="259" spans="5:20" x14ac:dyDescent="0.2"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</row>
    <row r="260" spans="5:20" x14ac:dyDescent="0.2"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</row>
    <row r="261" spans="5:20" x14ac:dyDescent="0.2"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</row>
    <row r="262" spans="5:20" x14ac:dyDescent="0.2"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</row>
    <row r="263" spans="5:20" x14ac:dyDescent="0.2"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</row>
    <row r="264" spans="5:20" x14ac:dyDescent="0.2"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</row>
    <row r="265" spans="5:20" x14ac:dyDescent="0.2"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</row>
    <row r="266" spans="5:20" x14ac:dyDescent="0.2"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</row>
    <row r="267" spans="5:20" x14ac:dyDescent="0.2"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</row>
    <row r="268" spans="5:20" x14ac:dyDescent="0.2"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</row>
    <row r="269" spans="5:20" x14ac:dyDescent="0.2"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</row>
    <row r="270" spans="5:20" x14ac:dyDescent="0.2"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</row>
    <row r="271" spans="5:20" x14ac:dyDescent="0.2"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</row>
    <row r="272" spans="5:20" x14ac:dyDescent="0.2"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</row>
    <row r="273" spans="5:20" x14ac:dyDescent="0.2"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</row>
    <row r="274" spans="5:20" x14ac:dyDescent="0.2"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</row>
    <row r="275" spans="5:20" x14ac:dyDescent="0.2"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</row>
    <row r="276" spans="5:20" x14ac:dyDescent="0.2"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</row>
    <row r="277" spans="5:20" x14ac:dyDescent="0.2"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</row>
    <row r="278" spans="5:20" x14ac:dyDescent="0.2"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</row>
    <row r="279" spans="5:20" x14ac:dyDescent="0.2"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</row>
    <row r="280" spans="5:20" x14ac:dyDescent="0.2"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</row>
    <row r="281" spans="5:20" x14ac:dyDescent="0.2"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</row>
    <row r="282" spans="5:20" x14ac:dyDescent="0.2"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</row>
    <row r="283" spans="5:20" x14ac:dyDescent="0.2"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</row>
    <row r="284" spans="5:20" x14ac:dyDescent="0.2"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</row>
    <row r="285" spans="5:20" x14ac:dyDescent="0.2"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</row>
    <row r="286" spans="5:20" x14ac:dyDescent="0.2"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</row>
    <row r="287" spans="5:20" x14ac:dyDescent="0.2"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</row>
    <row r="288" spans="5:20" x14ac:dyDescent="0.2"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</row>
    <row r="289" spans="5:20" x14ac:dyDescent="0.2"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</row>
    <row r="290" spans="5:20" x14ac:dyDescent="0.2"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</row>
    <row r="291" spans="5:20" x14ac:dyDescent="0.2"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</row>
    <row r="292" spans="5:20" x14ac:dyDescent="0.2"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</row>
    <row r="293" spans="5:20" x14ac:dyDescent="0.2"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</row>
    <row r="294" spans="5:20" x14ac:dyDescent="0.2"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</row>
    <row r="295" spans="5:20" x14ac:dyDescent="0.2"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</row>
    <row r="296" spans="5:20" x14ac:dyDescent="0.2"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</row>
    <row r="297" spans="5:20" x14ac:dyDescent="0.2"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</row>
    <row r="298" spans="5:20" x14ac:dyDescent="0.2"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</row>
    <row r="299" spans="5:20" x14ac:dyDescent="0.2"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</row>
    <row r="300" spans="5:20" x14ac:dyDescent="0.2"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</row>
    <row r="301" spans="5:20" x14ac:dyDescent="0.2"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</row>
    <row r="302" spans="5:20" x14ac:dyDescent="0.2"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</row>
    <row r="303" spans="5:20" x14ac:dyDescent="0.2"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</row>
    <row r="304" spans="5:20" x14ac:dyDescent="0.2"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</row>
    <row r="305" spans="5:20" x14ac:dyDescent="0.2"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</row>
    <row r="306" spans="5:20" x14ac:dyDescent="0.2"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</row>
    <row r="307" spans="5:20" x14ac:dyDescent="0.2"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</row>
    <row r="308" spans="5:20" x14ac:dyDescent="0.2"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</row>
  </sheetData>
  <hyperlinks>
    <hyperlink ref="A1" location="Main!A1" display="Main" xr:uid="{D291865D-AF1E-435E-8001-721FE7FD446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Finacials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2024-08-24T07:50:16Z</dcterms:created>
  <dcterms:modified xsi:type="dcterms:W3CDTF">2026-03-11T16:13:19Z</dcterms:modified>
</cp:coreProperties>
</file>