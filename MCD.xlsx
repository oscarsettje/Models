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E:\1.Finance\Anaylsen\Models\"/>
    </mc:Choice>
  </mc:AlternateContent>
  <xr:revisionPtr revIDLastSave="0" documentId="13_ncr:1_{D3645A38-D47B-4774-90B8-0D879DB1E1D4}" xr6:coauthVersionLast="47" xr6:coauthVersionMax="47" xr10:uidLastSave="{00000000-0000-0000-0000-000000000000}"/>
  <bookViews>
    <workbookView xWindow="19095" yWindow="0" windowWidth="19410" windowHeight="20925" activeTab="1" xr2:uid="{F591250C-CB18-4FD5-B790-41838C77CFBC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5" i="2" l="1"/>
  <c r="N8" i="2"/>
  <c r="M8" i="2"/>
  <c r="L8" i="2"/>
  <c r="N7" i="2"/>
  <c r="M7" i="2"/>
  <c r="L7" i="2"/>
  <c r="N6" i="2"/>
  <c r="M6" i="2"/>
  <c r="L6" i="2"/>
  <c r="M5" i="2"/>
  <c r="M32" i="2"/>
  <c r="M30" i="2"/>
  <c r="M28" i="2"/>
  <c r="M46" i="2" s="1"/>
  <c r="M25" i="2"/>
  <c r="M45" i="2" s="1"/>
  <c r="M20" i="2"/>
  <c r="H6" i="1"/>
  <c r="N46" i="2"/>
  <c r="L46" i="2"/>
  <c r="K46" i="2"/>
  <c r="N45" i="2"/>
  <c r="L45" i="2"/>
  <c r="K45" i="2"/>
  <c r="N44" i="2"/>
  <c r="M44" i="2"/>
  <c r="L44" i="2"/>
  <c r="K44" i="2"/>
  <c r="M43" i="2"/>
  <c r="L43" i="2"/>
  <c r="K43" i="2"/>
  <c r="N42" i="2"/>
  <c r="M42" i="2"/>
  <c r="L42" i="2"/>
  <c r="K42" i="2"/>
  <c r="N41" i="2"/>
  <c r="M41" i="2"/>
  <c r="L41" i="2"/>
  <c r="K41" i="2"/>
  <c r="N40" i="2"/>
  <c r="M40" i="2"/>
  <c r="L40" i="2"/>
  <c r="K40" i="2"/>
  <c r="N39" i="2"/>
  <c r="M39" i="2"/>
  <c r="L39" i="2"/>
  <c r="K39" i="2"/>
  <c r="N38" i="2"/>
  <c r="M38" i="2"/>
  <c r="L38" i="2"/>
  <c r="K38" i="2"/>
  <c r="N37" i="2"/>
  <c r="M37" i="2"/>
  <c r="L37" i="2"/>
  <c r="K37" i="2"/>
  <c r="N36" i="2"/>
  <c r="M36" i="2"/>
  <c r="L36" i="2"/>
  <c r="K36" i="2"/>
  <c r="N35" i="2"/>
  <c r="M35" i="2"/>
  <c r="L35" i="2"/>
  <c r="K35" i="2"/>
  <c r="L32" i="2"/>
  <c r="L30" i="2"/>
  <c r="L28" i="2"/>
  <c r="L25" i="2"/>
  <c r="L20" i="2"/>
  <c r="K5" i="2"/>
  <c r="K8" i="2" s="1"/>
  <c r="K7" i="2"/>
  <c r="K6" i="2"/>
  <c r="K20" i="2"/>
  <c r="K25" i="2" s="1"/>
  <c r="K28" i="2" s="1"/>
  <c r="K30" i="2" s="1"/>
  <c r="K32" i="2" s="1"/>
  <c r="H45" i="2"/>
  <c r="G45" i="2"/>
  <c r="F45" i="2"/>
  <c r="D45" i="2"/>
  <c r="C45" i="2"/>
  <c r="H44" i="2"/>
  <c r="G44" i="2"/>
  <c r="F44" i="2"/>
  <c r="H42" i="2"/>
  <c r="G42" i="2"/>
  <c r="H41" i="2"/>
  <c r="G41" i="2"/>
  <c r="H40" i="2"/>
  <c r="G40" i="2"/>
  <c r="H39" i="2"/>
  <c r="G39" i="2"/>
  <c r="H38" i="2"/>
  <c r="G38" i="2"/>
  <c r="H37" i="2"/>
  <c r="G37" i="2"/>
  <c r="J42" i="2"/>
  <c r="J41" i="2"/>
  <c r="J40" i="2"/>
  <c r="J39" i="2"/>
  <c r="J38" i="2"/>
  <c r="J37" i="2"/>
  <c r="I42" i="2"/>
  <c r="I41" i="2"/>
  <c r="I40" i="2"/>
  <c r="I39" i="2"/>
  <c r="I38" i="2"/>
  <c r="I37" i="2"/>
  <c r="J36" i="2"/>
  <c r="H36" i="2"/>
  <c r="G36" i="2"/>
  <c r="H35" i="2"/>
  <c r="G35" i="2"/>
  <c r="J35" i="2"/>
  <c r="I36" i="2"/>
  <c r="I35" i="2"/>
  <c r="E16" i="2"/>
  <c r="E20" i="2" s="1"/>
  <c r="E25" i="2" s="1"/>
  <c r="E45" i="2" s="1"/>
  <c r="J7" i="2"/>
  <c r="H7" i="2"/>
  <c r="G7" i="2"/>
  <c r="F7" i="2"/>
  <c r="E7" i="2"/>
  <c r="D7" i="2"/>
  <c r="C7" i="2"/>
  <c r="J6" i="2"/>
  <c r="H6" i="2"/>
  <c r="G6" i="2"/>
  <c r="F6" i="2"/>
  <c r="E6" i="2"/>
  <c r="D6" i="2"/>
  <c r="C6" i="2"/>
  <c r="I6" i="2"/>
  <c r="I7" i="2"/>
  <c r="J5" i="2"/>
  <c r="H5" i="2"/>
  <c r="G5" i="2"/>
  <c r="F5" i="2"/>
  <c r="E5" i="2"/>
  <c r="D5" i="2"/>
  <c r="C5" i="2"/>
  <c r="I5" i="2"/>
  <c r="J21" i="2"/>
  <c r="I21" i="2"/>
  <c r="H21" i="2"/>
  <c r="G21" i="2"/>
  <c r="F21" i="2"/>
  <c r="D21" i="2"/>
  <c r="C21" i="2"/>
  <c r="E21" i="2"/>
  <c r="H4" i="1"/>
  <c r="J16" i="2"/>
  <c r="J20" i="2" s="1"/>
  <c r="J25" i="2" s="1"/>
  <c r="J45" i="2" s="1"/>
  <c r="H16" i="2"/>
  <c r="H20" i="2" s="1"/>
  <c r="H25" i="2" s="1"/>
  <c r="G16" i="2"/>
  <c r="G20" i="2" s="1"/>
  <c r="G25" i="2" s="1"/>
  <c r="F16" i="2"/>
  <c r="F20" i="2" s="1"/>
  <c r="F25" i="2" s="1"/>
  <c r="D16" i="2"/>
  <c r="D20" i="2" s="1"/>
  <c r="D25" i="2" s="1"/>
  <c r="C16" i="2"/>
  <c r="C20" i="2" s="1"/>
  <c r="C25" i="2" s="1"/>
  <c r="I16" i="2"/>
  <c r="I20" i="2" s="1"/>
  <c r="I25" i="2" s="1"/>
  <c r="I45" i="2" s="1"/>
  <c r="J44" i="2" l="1"/>
  <c r="N43" i="2"/>
  <c r="J43" i="2"/>
  <c r="I43" i="2"/>
  <c r="C44" i="2"/>
  <c r="D44" i="2"/>
  <c r="G43" i="2"/>
  <c r="H43" i="2"/>
  <c r="I44" i="2"/>
  <c r="E44" i="2"/>
  <c r="H7" i="1"/>
  <c r="G8" i="2"/>
  <c r="D8" i="2"/>
  <c r="E8" i="2"/>
  <c r="H8" i="2"/>
  <c r="I8" i="2"/>
  <c r="C8" i="2"/>
  <c r="F8" i="2"/>
  <c r="J8" i="2"/>
  <c r="J28" i="2"/>
  <c r="C28" i="2"/>
  <c r="D28" i="2"/>
  <c r="E28" i="2"/>
  <c r="F28" i="2"/>
  <c r="G28" i="2"/>
  <c r="H28" i="2"/>
  <c r="I28" i="2"/>
  <c r="I30" i="2" l="1"/>
  <c r="I32" i="2" s="1"/>
  <c r="I46" i="2"/>
  <c r="G30" i="2"/>
  <c r="G32" i="2" s="1"/>
  <c r="G46" i="2"/>
  <c r="E30" i="2"/>
  <c r="E32" i="2" s="1"/>
  <c r="E46" i="2"/>
  <c r="J30" i="2"/>
  <c r="J32" i="2" s="1"/>
  <c r="J46" i="2"/>
  <c r="H30" i="2"/>
  <c r="H32" i="2" s="1"/>
  <c r="H46" i="2"/>
  <c r="F30" i="2"/>
  <c r="F32" i="2" s="1"/>
  <c r="F46" i="2"/>
  <c r="D30" i="2"/>
  <c r="D32" i="2" s="1"/>
  <c r="D46" i="2"/>
  <c r="C30" i="2"/>
  <c r="C32" i="2" s="1"/>
  <c r="C46" i="2"/>
</calcChain>
</file>

<file path=xl/sharedStrings.xml><?xml version="1.0" encoding="utf-8"?>
<sst xmlns="http://schemas.openxmlformats.org/spreadsheetml/2006/main" count="69" uniqueCount="65">
  <si>
    <t>MCD</t>
  </si>
  <si>
    <t>SEC</t>
  </si>
  <si>
    <t xml:space="preserve">McDonalds </t>
  </si>
  <si>
    <t>number in mio USD</t>
  </si>
  <si>
    <t>Price</t>
  </si>
  <si>
    <t>Shares</t>
  </si>
  <si>
    <t>MC</t>
  </si>
  <si>
    <t>Cash</t>
  </si>
  <si>
    <t>Debt</t>
  </si>
  <si>
    <t>EV</t>
  </si>
  <si>
    <t>Q324</t>
  </si>
  <si>
    <t>Main</t>
  </si>
  <si>
    <t>Q123</t>
  </si>
  <si>
    <t>Q223</t>
  </si>
  <si>
    <t>Q323</t>
  </si>
  <si>
    <t>Q423</t>
  </si>
  <si>
    <t>Q124</t>
  </si>
  <si>
    <t>Q224</t>
  </si>
  <si>
    <t>Q424</t>
  </si>
  <si>
    <t>Revenue</t>
  </si>
  <si>
    <t>Franchise Revenue</t>
  </si>
  <si>
    <t>Other Revenue</t>
  </si>
  <si>
    <t>Owned Resturants Expenses</t>
  </si>
  <si>
    <t>Franchise COGS</t>
  </si>
  <si>
    <t>Other Resturant Expenses</t>
  </si>
  <si>
    <t>Gross Profit</t>
  </si>
  <si>
    <t>SGA</t>
  </si>
  <si>
    <t>D&amp;A</t>
  </si>
  <si>
    <t>Other</t>
  </si>
  <si>
    <t>Operating Income</t>
  </si>
  <si>
    <t>Other Income</t>
  </si>
  <si>
    <t>Interest Expense</t>
  </si>
  <si>
    <t>Non operating Income</t>
  </si>
  <si>
    <t>Pretax Income</t>
  </si>
  <si>
    <t>Tax Expense</t>
  </si>
  <si>
    <t>Net Income</t>
  </si>
  <si>
    <t>EPS</t>
  </si>
  <si>
    <t>Franchised Resutrants</t>
  </si>
  <si>
    <t>Company Owned Resturants</t>
  </si>
  <si>
    <t>Total systemwide resturants</t>
  </si>
  <si>
    <t>ARPFR</t>
  </si>
  <si>
    <t>ARPOR</t>
  </si>
  <si>
    <t>ARPR</t>
  </si>
  <si>
    <t>Notes</t>
  </si>
  <si>
    <t>Equity Investments: Gramd Foods Holdings (48%), McDonalds Japan (35%)</t>
  </si>
  <si>
    <t>US Revenue</t>
  </si>
  <si>
    <t>International Revenue</t>
  </si>
  <si>
    <t>Company owned Resturants</t>
  </si>
  <si>
    <t>Licensed Market &amp; Corporate</t>
  </si>
  <si>
    <t>Franchise Resturants Growth</t>
  </si>
  <si>
    <t>Owned Resturants Growth</t>
  </si>
  <si>
    <t>US Revenue Growth</t>
  </si>
  <si>
    <t>International Growth</t>
  </si>
  <si>
    <t>Corporate Growth</t>
  </si>
  <si>
    <t>Franchise Revenue Growth</t>
  </si>
  <si>
    <t>Other Revenue Growth</t>
  </si>
  <si>
    <t>Owned Resturants Rev Growth</t>
  </si>
  <si>
    <t>Revenue Growth</t>
  </si>
  <si>
    <t xml:space="preserve">Gross Margin </t>
  </si>
  <si>
    <t xml:space="preserve">Operating Margin </t>
  </si>
  <si>
    <t>Tax Rate</t>
  </si>
  <si>
    <t>Q125</t>
  </si>
  <si>
    <t>Q225</t>
  </si>
  <si>
    <t>Q325</t>
  </si>
  <si>
    <t>Q425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</si>
</sst>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;\(#,##0\)"/>
    <numFmt numFmtId="165" formatCode="#,##0.00;\(#,##0.00\)"/>
  </numFmts>
  <fonts count="8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u/>
      <sz val="11"/>
      <color theme="10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"/>
      <color theme="1"/>
      <name val="Arial"/>
      <family val="2"/>
    </font>
    <font>
      <u/>
      <sz val="10"/>
      <color theme="10"/>
      <name val="Arial"/>
      <family val="2"/>
    </font>
    <font>
      <u/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0" fontId="3" fillId="0" borderId="0" applyNumberFormat="0" applyFill="0" applyBorder="0" applyAlignment="0" applyProtection="0"/>
    <xf numFmtId="9" fontId="4" fillId="0" borderId="0" applyFont="0" applyFill="0" applyBorder="0" applyAlignment="0" applyProtection="0"/>
  </cellStyleXfs>
  <cellXfs count="12">
    <xf numFmtId="0" fontId="0" fillId="0" borderId="0" xfId="0"/>
    <xf numFmtId="0" fontId="5" fillId="0" borderId="0" xfId="0" applyFont="1"/>
    <xf numFmtId="0" fontId="2" fillId="0" borderId="0" xfId="0" applyFont="1"/>
    <xf numFmtId="164" fontId="2" fillId="0" borderId="0" xfId="0" applyNumberFormat="1" applyFont="1"/>
    <xf numFmtId="0" fontId="2" fillId="0" borderId="0" xfId="0" applyFont="1" applyAlignment="1">
      <alignment horizontal="right"/>
    </xf>
    <xf numFmtId="0" fontId="6" fillId="0" borderId="0" xfId="1" applyFont="1"/>
    <xf numFmtId="0" fontId="7" fillId="0" borderId="0" xfId="0" applyFont="1"/>
    <xf numFmtId="164" fontId="5" fillId="0" borderId="0" xfId="0" applyNumberFormat="1" applyFont="1"/>
    <xf numFmtId="165" fontId="2" fillId="0" borderId="0" xfId="0" applyNumberFormat="1" applyFont="1"/>
    <xf numFmtId="9" fontId="2" fillId="0" borderId="0" xfId="2" applyFont="1"/>
    <xf numFmtId="9" fontId="5" fillId="0" borderId="0" xfId="2" applyFont="1"/>
    <xf numFmtId="0" fontId="1" fillId="0" borderId="0" xfId="0" applyFont="1" applyAlignment="1">
      <alignment horizontal="right"/>
    </xf>
  </cellXfs>
  <cellStyles count="3">
    <cellStyle name="Hyperlink" xfId="1" builtinId="8"/>
    <cellStyle name="Normal" xfId="0" builtinId="0"/>
    <cellStyle name="Per 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sec.gov/edgar/browse/?CIK=63908&amp;owner=exclude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69AFEC-A665-49C2-83A5-1A2C73D2C6AC}">
  <dimension ref="A1:I13"/>
  <sheetViews>
    <sheetView zoomScale="200" zoomScaleNormal="200" workbookViewId="0">
      <selection activeCell="H7" sqref="H7"/>
    </sheetView>
  </sheetViews>
  <sheetFormatPr defaultRowHeight="12.75" x14ac:dyDescent="0.2"/>
  <cols>
    <col min="1" max="1" width="3.85546875" style="2" customWidth="1"/>
    <col min="2" max="16384" width="9.140625" style="2"/>
  </cols>
  <sheetData>
    <row r="1" spans="1:9" x14ac:dyDescent="0.2">
      <c r="A1" s="1" t="s">
        <v>2</v>
      </c>
    </row>
    <row r="2" spans="1:9" x14ac:dyDescent="0.2">
      <c r="A2" s="2" t="s">
        <v>3</v>
      </c>
      <c r="G2" s="2" t="s">
        <v>4</v>
      </c>
      <c r="H2" s="2">
        <v>316.05</v>
      </c>
    </row>
    <row r="3" spans="1:9" x14ac:dyDescent="0.2">
      <c r="G3" s="2" t="s">
        <v>5</v>
      </c>
      <c r="H3" s="3">
        <v>712.15435000000002</v>
      </c>
      <c r="I3" s="11" t="s">
        <v>63</v>
      </c>
    </row>
    <row r="4" spans="1:9" x14ac:dyDescent="0.2">
      <c r="B4" s="2" t="s">
        <v>0</v>
      </c>
      <c r="G4" s="2" t="s">
        <v>6</v>
      </c>
      <c r="H4" s="3">
        <f>+H2*H3</f>
        <v>225076.38231750001</v>
      </c>
    </row>
    <row r="5" spans="1:9" x14ac:dyDescent="0.2">
      <c r="B5" s="5" t="s">
        <v>1</v>
      </c>
      <c r="G5" s="2" t="s">
        <v>7</v>
      </c>
      <c r="H5" s="3">
        <v>2413</v>
      </c>
      <c r="I5" s="11" t="s">
        <v>63</v>
      </c>
    </row>
    <row r="6" spans="1:9" x14ac:dyDescent="0.2">
      <c r="G6" s="2" t="s">
        <v>8</v>
      </c>
      <c r="H6" s="3">
        <f>1800+39483</f>
        <v>41283</v>
      </c>
      <c r="I6" s="11" t="s">
        <v>63</v>
      </c>
    </row>
    <row r="7" spans="1:9" x14ac:dyDescent="0.2">
      <c r="G7" s="2" t="s">
        <v>9</v>
      </c>
      <c r="H7" s="3">
        <f>+H4-H5+H6</f>
        <v>263946.38231750001</v>
      </c>
    </row>
    <row r="12" spans="1:9" x14ac:dyDescent="0.2">
      <c r="B12" s="6" t="s">
        <v>43</v>
      </c>
    </row>
    <row r="13" spans="1:9" x14ac:dyDescent="0.2">
      <c r="B13" s="2" t="s">
        <v>44</v>
      </c>
    </row>
  </sheetData>
  <hyperlinks>
    <hyperlink ref="B5" r:id="rId1" xr:uid="{6269FE19-791F-4E1B-9855-FE1431B071EF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C4F720-B3A9-4712-8731-C18DD4200F2B}">
  <dimension ref="A1:AV233"/>
  <sheetViews>
    <sheetView tabSelected="1" zoomScale="200" zoomScaleNormal="200" workbookViewId="0">
      <pane xSplit="2" ySplit="2" topLeftCell="K3" activePane="bottomRight" state="frozen"/>
      <selection pane="topRight" activeCell="C1" sqref="C1"/>
      <selection pane="bottomLeft" activeCell="A3" sqref="A3"/>
      <selection pane="bottomRight" activeCell="L5" sqref="L5"/>
    </sheetView>
  </sheetViews>
  <sheetFormatPr defaultRowHeight="12.75" x14ac:dyDescent="0.2"/>
  <cols>
    <col min="1" max="1" width="4.7109375" style="2" bestFit="1" customWidth="1"/>
    <col min="2" max="2" width="27.5703125" style="2" bestFit="1" customWidth="1"/>
    <col min="3" max="16384" width="9.140625" style="2"/>
  </cols>
  <sheetData>
    <row r="1" spans="1:48" x14ac:dyDescent="0.2">
      <c r="A1" s="5" t="s">
        <v>11</v>
      </c>
    </row>
    <row r="2" spans="1:48" x14ac:dyDescent="0.2">
      <c r="C2" s="4" t="s">
        <v>12</v>
      </c>
      <c r="D2" s="4" t="s">
        <v>13</v>
      </c>
      <c r="E2" s="4" t="s">
        <v>14</v>
      </c>
      <c r="F2" s="4" t="s">
        <v>15</v>
      </c>
      <c r="G2" s="4" t="s">
        <v>16</v>
      </c>
      <c r="H2" s="4" t="s">
        <v>17</v>
      </c>
      <c r="I2" s="4" t="s">
        <v>10</v>
      </c>
      <c r="J2" s="4" t="s">
        <v>18</v>
      </c>
      <c r="K2" s="4" t="s">
        <v>61</v>
      </c>
      <c r="L2" s="4" t="s">
        <v>62</v>
      </c>
      <c r="M2" s="4" t="s">
        <v>63</v>
      </c>
      <c r="N2" s="4" t="s">
        <v>64</v>
      </c>
    </row>
    <row r="3" spans="1:48" x14ac:dyDescent="0.2">
      <c r="B3" s="3" t="s">
        <v>37</v>
      </c>
      <c r="C3" s="3">
        <v>38417</v>
      </c>
      <c r="D3" s="3">
        <v>38674</v>
      </c>
      <c r="E3" s="3">
        <v>39054</v>
      </c>
      <c r="F3" s="3"/>
      <c r="G3" s="3">
        <v>39865</v>
      </c>
      <c r="H3" s="3">
        <v>40238</v>
      </c>
      <c r="I3" s="3">
        <v>40755</v>
      </c>
      <c r="J3" s="3"/>
      <c r="K3" s="3">
        <v>41720</v>
      </c>
      <c r="L3" s="3">
        <v>42059</v>
      </c>
      <c r="M3" s="3">
        <v>42546</v>
      </c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</row>
    <row r="4" spans="1:48" x14ac:dyDescent="0.2">
      <c r="B4" s="3" t="s">
        <v>38</v>
      </c>
      <c r="C4" s="3">
        <v>2118</v>
      </c>
      <c r="D4" s="3">
        <v>2127</v>
      </c>
      <c r="E4" s="3">
        <v>2144</v>
      </c>
      <c r="F4" s="3"/>
      <c r="G4" s="3">
        <v>2153</v>
      </c>
      <c r="H4" s="3">
        <v>2168</v>
      </c>
      <c r="I4" s="3">
        <v>2064</v>
      </c>
      <c r="J4" s="3"/>
      <c r="K4" s="3">
        <v>2036</v>
      </c>
      <c r="L4" s="3">
        <v>2054</v>
      </c>
      <c r="M4" s="3">
        <v>2053</v>
      </c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</row>
    <row r="5" spans="1:48" x14ac:dyDescent="0.2">
      <c r="B5" s="1" t="s">
        <v>39</v>
      </c>
      <c r="C5" s="7">
        <f t="shared" ref="C5:H5" si="0">+C3+C4</f>
        <v>40535</v>
      </c>
      <c r="D5" s="7">
        <f t="shared" si="0"/>
        <v>40801</v>
      </c>
      <c r="E5" s="7">
        <f t="shared" si="0"/>
        <v>41198</v>
      </c>
      <c r="F5" s="7">
        <f t="shared" si="0"/>
        <v>0</v>
      </c>
      <c r="G5" s="7">
        <f t="shared" si="0"/>
        <v>42018</v>
      </c>
      <c r="H5" s="7">
        <f t="shared" si="0"/>
        <v>42406</v>
      </c>
      <c r="I5" s="7">
        <f>+I3+I4</f>
        <v>42819</v>
      </c>
      <c r="J5" s="7">
        <f t="shared" ref="J5:M5" si="1">+J3+J4</f>
        <v>0</v>
      </c>
      <c r="K5" s="7">
        <f t="shared" si="1"/>
        <v>43756</v>
      </c>
      <c r="L5" s="7">
        <f t="shared" si="1"/>
        <v>44113</v>
      </c>
      <c r="M5" s="7">
        <f t="shared" si="1"/>
        <v>44599</v>
      </c>
    </row>
    <row r="6" spans="1:48" x14ac:dyDescent="0.2">
      <c r="B6" s="2" t="s">
        <v>40</v>
      </c>
      <c r="C6" s="8">
        <f t="shared" ref="C6:H6" si="2">+C13/C3</f>
        <v>5.7891037821797643E-2</v>
      </c>
      <c r="D6" s="8">
        <f t="shared" si="2"/>
        <v>6.430676940580235E-2</v>
      </c>
      <c r="E6" s="8">
        <f t="shared" si="2"/>
        <v>6.5447841450299582E-2</v>
      </c>
      <c r="F6" s="8" t="e">
        <f t="shared" si="2"/>
        <v>#DIV/0!</v>
      </c>
      <c r="G6" s="8">
        <f t="shared" si="2"/>
        <v>5.9074376019064345E-2</v>
      </c>
      <c r="H6" s="8">
        <f t="shared" si="2"/>
        <v>6.1161091505542026E-2</v>
      </c>
      <c r="I6" s="8">
        <f>+I13/I3</f>
        <v>6.5169917801496752E-2</v>
      </c>
      <c r="J6" s="8" t="e">
        <f t="shared" ref="J6" si="3">+J13/J3</f>
        <v>#DIV/0!</v>
      </c>
      <c r="K6" s="8">
        <f>+K13/K3</f>
        <v>5.1102588686481307E-2</v>
      </c>
      <c r="L6" s="8">
        <f t="shared" ref="L6:N6" si="4">+L13/L3</f>
        <v>5.8441712831974128E-2</v>
      </c>
      <c r="M6" s="8">
        <f t="shared" si="4"/>
        <v>6.0240680675034082E-2</v>
      </c>
      <c r="N6" s="8" t="e">
        <f t="shared" si="4"/>
        <v>#DIV/0!</v>
      </c>
    </row>
    <row r="7" spans="1:48" x14ac:dyDescent="0.2">
      <c r="B7" s="2" t="s">
        <v>41</v>
      </c>
      <c r="C7" s="8">
        <f t="shared" ref="C7:H7" si="5">+C13/C4</f>
        <v>1.0500472143531634</v>
      </c>
      <c r="D7" s="8">
        <f t="shared" si="5"/>
        <v>1.1692524682651622</v>
      </c>
      <c r="E7" s="8">
        <f t="shared" si="5"/>
        <v>1.1921641791044777</v>
      </c>
      <c r="F7" s="8" t="e">
        <f t="shared" si="5"/>
        <v>#DIV/0!</v>
      </c>
      <c r="G7" s="8">
        <f t="shared" si="5"/>
        <v>1.093822573153739</v>
      </c>
      <c r="H7" s="8">
        <f t="shared" si="5"/>
        <v>1.1351476014760147</v>
      </c>
      <c r="I7" s="8">
        <f>+I13/I4</f>
        <v>1.2868217054263567</v>
      </c>
      <c r="J7" s="8" t="e">
        <f t="shared" ref="J7" si="6">+J13/J4</f>
        <v>#DIV/0!</v>
      </c>
      <c r="K7" s="8">
        <f>+K13/K4</f>
        <v>1.0471512770137525</v>
      </c>
      <c r="L7" s="8">
        <f t="shared" ref="L7:N7" si="7">+L13/L4</f>
        <v>1.1966893865628043</v>
      </c>
      <c r="M7" s="8">
        <f t="shared" si="7"/>
        <v>1.248416950803702</v>
      </c>
      <c r="N7" s="8" t="e">
        <f t="shared" si="7"/>
        <v>#DIV/0!</v>
      </c>
    </row>
    <row r="8" spans="1:48" x14ac:dyDescent="0.2">
      <c r="B8" s="2" t="s">
        <v>42</v>
      </c>
      <c r="C8" s="8">
        <f t="shared" ref="C8:H8" si="8">+C16/C5</f>
        <v>0.14550388553102259</v>
      </c>
      <c r="D8" s="8">
        <f t="shared" si="8"/>
        <v>0.15923629322810715</v>
      </c>
      <c r="E8" s="8">
        <f t="shared" si="8"/>
        <v>0.1624350696635759</v>
      </c>
      <c r="F8" s="8" t="e">
        <f t="shared" si="8"/>
        <v>#DIV/0!</v>
      </c>
      <c r="G8" s="8">
        <f t="shared" si="8"/>
        <v>0.14681803036793756</v>
      </c>
      <c r="H8" s="8">
        <f t="shared" si="8"/>
        <v>0.15304438051219166</v>
      </c>
      <c r="I8" s="8">
        <f>+I16/I5</f>
        <v>0.16053621056073239</v>
      </c>
      <c r="J8" s="8" t="e">
        <f t="shared" ref="J8" si="9">+J16/J5</f>
        <v>#DIV/0!</v>
      </c>
      <c r="K8" s="8">
        <f>+K16/K5</f>
        <v>0.13611847518054668</v>
      </c>
      <c r="L8" s="8">
        <f t="shared" ref="L8:N8" si="10">+L16/L5</f>
        <v>0.15512433976378845</v>
      </c>
      <c r="M8" s="8">
        <f t="shared" si="10"/>
        <v>0.15870310993520034</v>
      </c>
      <c r="N8" s="8" t="e">
        <f t="shared" si="10"/>
        <v>#DIV/0!</v>
      </c>
    </row>
    <row r="9" spans="1:48" x14ac:dyDescent="0.2">
      <c r="C9" s="4"/>
      <c r="D9" s="4"/>
      <c r="E9" s="4"/>
      <c r="F9" s="4"/>
      <c r="G9" s="4"/>
      <c r="H9" s="4"/>
      <c r="I9" s="4"/>
      <c r="J9" s="4"/>
    </row>
    <row r="10" spans="1:48" x14ac:dyDescent="0.2">
      <c r="B10" s="2" t="s">
        <v>45</v>
      </c>
      <c r="C10" s="3">
        <v>2488</v>
      </c>
      <c r="D10" s="3">
        <v>2701</v>
      </c>
      <c r="E10" s="3">
        <v>2704</v>
      </c>
      <c r="F10" s="3"/>
      <c r="G10" s="3">
        <v>2560</v>
      </c>
      <c r="H10" s="3">
        <v>2698</v>
      </c>
      <c r="I10" s="3">
        <v>2739</v>
      </c>
      <c r="J10" s="3"/>
      <c r="K10" s="3">
        <v>2403</v>
      </c>
      <c r="L10" s="3">
        <v>2781</v>
      </c>
      <c r="M10" s="3">
        <v>2772</v>
      </c>
      <c r="N10" s="3"/>
      <c r="O10" s="3"/>
      <c r="P10" s="3"/>
      <c r="Q10" s="3"/>
    </row>
    <row r="11" spans="1:48" x14ac:dyDescent="0.2">
      <c r="B11" s="2" t="s">
        <v>46</v>
      </c>
      <c r="C11" s="3">
        <v>2795</v>
      </c>
      <c r="D11" s="3">
        <v>3156</v>
      </c>
      <c r="E11" s="3">
        <v>3300</v>
      </c>
      <c r="F11" s="3"/>
      <c r="G11" s="3">
        <v>2987</v>
      </c>
      <c r="H11" s="3">
        <v>3147</v>
      </c>
      <c r="I11" s="3">
        <v>3309</v>
      </c>
      <c r="J11" s="3"/>
      <c r="K11" s="3">
        <v>2862</v>
      </c>
      <c r="L11" s="3">
        <v>3462</v>
      </c>
      <c r="M11" s="3">
        <v>3658</v>
      </c>
      <c r="N11" s="3"/>
      <c r="O11" s="3"/>
      <c r="P11" s="3"/>
      <c r="Q11" s="3"/>
    </row>
    <row r="12" spans="1:48" x14ac:dyDescent="0.2">
      <c r="B12" s="2" t="s">
        <v>48</v>
      </c>
      <c r="C12" s="3">
        <v>615</v>
      </c>
      <c r="D12" s="3">
        <v>641</v>
      </c>
      <c r="E12" s="3">
        <v>688</v>
      </c>
      <c r="F12" s="3"/>
      <c r="G12" s="3">
        <v>621</v>
      </c>
      <c r="H12" s="3">
        <v>645</v>
      </c>
      <c r="I12" s="3">
        <v>825</v>
      </c>
      <c r="J12" s="3"/>
      <c r="K12" s="3">
        <v>528</v>
      </c>
      <c r="L12" s="3">
        <v>600</v>
      </c>
      <c r="M12" s="3">
        <v>648</v>
      </c>
      <c r="N12" s="3"/>
      <c r="O12" s="3"/>
      <c r="P12" s="3"/>
      <c r="Q12" s="3"/>
    </row>
    <row r="13" spans="1:48" x14ac:dyDescent="0.2">
      <c r="B13" s="2" t="s">
        <v>47</v>
      </c>
      <c r="C13" s="3">
        <v>2224</v>
      </c>
      <c r="D13" s="3">
        <v>2487</v>
      </c>
      <c r="E13" s="3">
        <v>2556</v>
      </c>
      <c r="F13" s="3"/>
      <c r="G13" s="3">
        <v>2355</v>
      </c>
      <c r="H13" s="3">
        <v>2461</v>
      </c>
      <c r="I13" s="3">
        <v>2656</v>
      </c>
      <c r="J13" s="3"/>
      <c r="K13" s="3">
        <v>2132</v>
      </c>
      <c r="L13" s="3">
        <v>2458</v>
      </c>
      <c r="M13" s="3">
        <v>2563</v>
      </c>
      <c r="N13" s="3"/>
      <c r="O13" s="3"/>
      <c r="P13" s="3"/>
      <c r="Q13" s="3"/>
      <c r="R13" s="3"/>
    </row>
    <row r="14" spans="1:48" x14ac:dyDescent="0.2">
      <c r="B14" s="2" t="s">
        <v>20</v>
      </c>
      <c r="C14" s="3">
        <v>3588</v>
      </c>
      <c r="D14" s="3">
        <v>3933</v>
      </c>
      <c r="E14" s="3">
        <v>4047</v>
      </c>
      <c r="F14" s="3"/>
      <c r="G14" s="3">
        <v>3723</v>
      </c>
      <c r="H14" s="3">
        <v>3940</v>
      </c>
      <c r="I14" s="3">
        <v>4094</v>
      </c>
      <c r="J14" s="3"/>
      <c r="K14" s="3">
        <v>3661</v>
      </c>
      <c r="L14" s="3">
        <v>4213</v>
      </c>
      <c r="M14" s="3">
        <v>4363</v>
      </c>
      <c r="N14" s="3"/>
      <c r="O14" s="3"/>
      <c r="P14" s="3"/>
      <c r="Q14" s="3"/>
      <c r="R14" s="3"/>
    </row>
    <row r="15" spans="1:48" x14ac:dyDescent="0.2">
      <c r="B15" s="2" t="s">
        <v>21</v>
      </c>
      <c r="C15" s="3">
        <v>86</v>
      </c>
      <c r="D15" s="3">
        <v>77</v>
      </c>
      <c r="E15" s="3">
        <v>89</v>
      </c>
      <c r="F15" s="3"/>
      <c r="G15" s="3">
        <v>91</v>
      </c>
      <c r="H15" s="3">
        <v>89</v>
      </c>
      <c r="I15" s="3">
        <v>124</v>
      </c>
      <c r="J15" s="3"/>
      <c r="K15" s="3">
        <v>162</v>
      </c>
      <c r="L15" s="3">
        <v>172</v>
      </c>
      <c r="M15" s="3">
        <v>151</v>
      </c>
      <c r="N15" s="3"/>
      <c r="O15" s="3"/>
      <c r="P15" s="3"/>
      <c r="Q15" s="3"/>
      <c r="R15" s="3"/>
    </row>
    <row r="16" spans="1:48" x14ac:dyDescent="0.2">
      <c r="B16" s="1" t="s">
        <v>19</v>
      </c>
      <c r="C16" s="7">
        <f t="shared" ref="C16:H16" si="11">+SUM(C13:C15)</f>
        <v>5898</v>
      </c>
      <c r="D16" s="7">
        <f t="shared" si="11"/>
        <v>6497</v>
      </c>
      <c r="E16" s="7">
        <f>+SUM(E13:E15)</f>
        <v>6692</v>
      </c>
      <c r="F16" s="7">
        <f t="shared" si="11"/>
        <v>0</v>
      </c>
      <c r="G16" s="7">
        <f t="shared" si="11"/>
        <v>6169</v>
      </c>
      <c r="H16" s="7">
        <f t="shared" si="11"/>
        <v>6490</v>
      </c>
      <c r="I16" s="7">
        <f>+SUM(I13:I15)</f>
        <v>6874</v>
      </c>
      <c r="J16" s="7">
        <f t="shared" ref="J16" si="12">+SUM(J13:J15)</f>
        <v>0</v>
      </c>
      <c r="K16" s="7">
        <v>5956</v>
      </c>
      <c r="L16" s="7">
        <v>6843</v>
      </c>
      <c r="M16" s="7">
        <v>7078</v>
      </c>
      <c r="N16" s="3"/>
      <c r="O16" s="3"/>
      <c r="P16" s="3"/>
      <c r="Q16" s="3"/>
      <c r="R16" s="3"/>
    </row>
    <row r="17" spans="2:18" x14ac:dyDescent="0.2">
      <c r="B17" s="2" t="s">
        <v>22</v>
      </c>
      <c r="C17" s="3">
        <v>1923</v>
      </c>
      <c r="D17" s="3">
        <v>2091</v>
      </c>
      <c r="E17" s="3">
        <v>2135</v>
      </c>
      <c r="F17" s="3"/>
      <c r="G17" s="3">
        <v>2035</v>
      </c>
      <c r="H17" s="3">
        <v>2074</v>
      </c>
      <c r="I17" s="3">
        <v>2248</v>
      </c>
      <c r="J17" s="3"/>
      <c r="K17" s="3">
        <v>1859</v>
      </c>
      <c r="L17" s="3">
        <v>2078</v>
      </c>
      <c r="M17" s="3">
        <v>2172</v>
      </c>
      <c r="N17" s="3"/>
      <c r="O17" s="3"/>
      <c r="P17" s="3"/>
      <c r="Q17" s="3"/>
      <c r="R17" s="3"/>
    </row>
    <row r="18" spans="2:18" x14ac:dyDescent="0.2">
      <c r="B18" s="2" t="s">
        <v>23</v>
      </c>
      <c r="C18" s="3">
        <v>598</v>
      </c>
      <c r="D18" s="3">
        <v>618</v>
      </c>
      <c r="E18" s="3">
        <v>625</v>
      </c>
      <c r="F18" s="3"/>
      <c r="G18" s="3">
        <v>627</v>
      </c>
      <c r="H18" s="3">
        <v>629</v>
      </c>
      <c r="I18" s="3">
        <v>646</v>
      </c>
      <c r="J18" s="3"/>
      <c r="K18" s="3">
        <v>620</v>
      </c>
      <c r="L18" s="3">
        <v>654</v>
      </c>
      <c r="M18" s="3">
        <v>666</v>
      </c>
      <c r="N18" s="3"/>
      <c r="O18" s="3"/>
      <c r="P18" s="3"/>
      <c r="Q18" s="3"/>
      <c r="R18" s="3"/>
    </row>
    <row r="19" spans="2:18" x14ac:dyDescent="0.2">
      <c r="B19" s="2" t="s">
        <v>24</v>
      </c>
      <c r="C19" s="3">
        <v>63</v>
      </c>
      <c r="D19" s="3">
        <v>57</v>
      </c>
      <c r="E19" s="3">
        <v>68</v>
      </c>
      <c r="F19" s="3"/>
      <c r="G19" s="3">
        <v>68</v>
      </c>
      <c r="H19" s="3">
        <v>69</v>
      </c>
      <c r="I19" s="3">
        <v>104</v>
      </c>
      <c r="J19" s="3"/>
      <c r="K19" s="3">
        <v>140</v>
      </c>
      <c r="L19" s="3">
        <v>149</v>
      </c>
      <c r="M19" s="3">
        <v>135</v>
      </c>
      <c r="N19" s="3"/>
      <c r="O19" s="3"/>
      <c r="P19" s="3"/>
      <c r="Q19" s="3"/>
      <c r="R19" s="3"/>
    </row>
    <row r="20" spans="2:18" x14ac:dyDescent="0.2">
      <c r="B20" s="2" t="s">
        <v>25</v>
      </c>
      <c r="C20" s="3">
        <f t="shared" ref="C20:D20" si="13">+C16-SUM(C17:C19)</f>
        <v>3314</v>
      </c>
      <c r="D20" s="3">
        <f t="shared" si="13"/>
        <v>3731</v>
      </c>
      <c r="E20" s="3">
        <f>+E16-SUM(E17:E19)</f>
        <v>3864</v>
      </c>
      <c r="F20" s="3">
        <f t="shared" ref="F20:J20" si="14">+F16-SUM(F17:F19)</f>
        <v>0</v>
      </c>
      <c r="G20" s="3">
        <f t="shared" si="14"/>
        <v>3439</v>
      </c>
      <c r="H20" s="3">
        <f t="shared" si="14"/>
        <v>3718</v>
      </c>
      <c r="I20" s="3">
        <f t="shared" si="14"/>
        <v>3876</v>
      </c>
      <c r="J20" s="3">
        <f t="shared" si="14"/>
        <v>0</v>
      </c>
      <c r="K20" s="3">
        <f>+K16-SUM(K17:K19)</f>
        <v>3337</v>
      </c>
      <c r="L20" s="3">
        <f>+L16-SUM(L17:L19)</f>
        <v>3962</v>
      </c>
      <c r="M20" s="3">
        <f>+M16-SUM(M17:M19)</f>
        <v>4105</v>
      </c>
      <c r="N20" s="3"/>
      <c r="O20" s="3"/>
      <c r="P20" s="3"/>
      <c r="Q20" s="3"/>
      <c r="R20" s="3"/>
    </row>
    <row r="21" spans="2:18" x14ac:dyDescent="0.2">
      <c r="B21" s="2" t="s">
        <v>26</v>
      </c>
      <c r="C21" s="3">
        <f t="shared" ref="C21:D21" si="15">+SUM(C22:C24)</f>
        <v>781</v>
      </c>
      <c r="D21" s="3">
        <f t="shared" si="15"/>
        <v>626</v>
      </c>
      <c r="E21" s="3">
        <f>+SUM(E22:E24)</f>
        <v>656</v>
      </c>
      <c r="F21" s="3">
        <f t="shared" ref="F21:J21" si="16">+SUM(F22:F24)</f>
        <v>0</v>
      </c>
      <c r="G21" s="3">
        <f t="shared" si="16"/>
        <v>704</v>
      </c>
      <c r="H21" s="3">
        <f t="shared" si="16"/>
        <v>798</v>
      </c>
      <c r="I21" s="3">
        <f t="shared" si="16"/>
        <v>686</v>
      </c>
      <c r="J21" s="3">
        <f t="shared" si="16"/>
        <v>0</v>
      </c>
      <c r="K21" s="3">
        <v>107</v>
      </c>
      <c r="L21" s="3">
        <v>106</v>
      </c>
      <c r="M21" s="3">
        <v>121</v>
      </c>
      <c r="N21" s="3"/>
      <c r="O21" s="3"/>
      <c r="P21" s="3"/>
      <c r="Q21" s="3"/>
      <c r="R21" s="3"/>
    </row>
    <row r="22" spans="2:18" x14ac:dyDescent="0.2">
      <c r="B22" s="2" t="s">
        <v>27</v>
      </c>
      <c r="C22" s="3">
        <v>99</v>
      </c>
      <c r="D22" s="3">
        <v>95</v>
      </c>
      <c r="E22" s="3">
        <v>97</v>
      </c>
      <c r="F22" s="3"/>
      <c r="G22" s="3">
        <v>99</v>
      </c>
      <c r="H22" s="3">
        <v>101</v>
      </c>
      <c r="I22" s="3">
        <v>111</v>
      </c>
      <c r="J22" s="3"/>
      <c r="K22" s="3">
        <v>575</v>
      </c>
      <c r="L22" s="3">
        <v>595</v>
      </c>
      <c r="M22" s="3">
        <v>664</v>
      </c>
      <c r="N22" s="3"/>
      <c r="O22" s="3"/>
      <c r="P22" s="3"/>
      <c r="Q22" s="3"/>
      <c r="R22" s="3"/>
    </row>
    <row r="23" spans="2:18" x14ac:dyDescent="0.2">
      <c r="B23" s="2" t="s">
        <v>28</v>
      </c>
      <c r="C23" s="3">
        <v>553</v>
      </c>
      <c r="D23" s="3">
        <v>567</v>
      </c>
      <c r="E23" s="3">
        <v>584</v>
      </c>
      <c r="F23" s="3"/>
      <c r="G23" s="3">
        <v>622</v>
      </c>
      <c r="H23" s="3">
        <v>590</v>
      </c>
      <c r="I23" s="3">
        <v>536</v>
      </c>
      <c r="J23" s="3"/>
      <c r="K23" s="3">
        <v>7</v>
      </c>
      <c r="L23" s="3">
        <v>29</v>
      </c>
      <c r="M23" s="3">
        <v>-37</v>
      </c>
      <c r="N23" s="3"/>
      <c r="O23" s="3"/>
      <c r="P23" s="3"/>
      <c r="Q23" s="3"/>
      <c r="R23" s="3"/>
    </row>
    <row r="24" spans="2:18" x14ac:dyDescent="0.2">
      <c r="B24" s="2" t="s">
        <v>30</v>
      </c>
      <c r="C24" s="3">
        <v>129</v>
      </c>
      <c r="D24" s="3">
        <v>-36</v>
      </c>
      <c r="E24" s="3">
        <v>-25</v>
      </c>
      <c r="F24" s="3"/>
      <c r="G24" s="3">
        <v>-17</v>
      </c>
      <c r="H24" s="3">
        <v>107</v>
      </c>
      <c r="I24" s="3">
        <v>39</v>
      </c>
      <c r="J24" s="3"/>
      <c r="K24" s="3">
        <v>0</v>
      </c>
      <c r="L24" s="3">
        <v>0</v>
      </c>
      <c r="M24" s="3">
        <v>0</v>
      </c>
      <c r="N24" s="3"/>
      <c r="O24" s="3"/>
      <c r="P24" s="3"/>
      <c r="Q24" s="3"/>
      <c r="R24" s="3"/>
    </row>
    <row r="25" spans="2:18" x14ac:dyDescent="0.2">
      <c r="B25" s="2" t="s">
        <v>29</v>
      </c>
      <c r="C25" s="3">
        <f t="shared" ref="C25:D25" si="17">+C20-SUM(C22:C24)</f>
        <v>2533</v>
      </c>
      <c r="D25" s="3">
        <f t="shared" si="17"/>
        <v>3105</v>
      </c>
      <c r="E25" s="3">
        <f>+E20-SUM(E22:E24)</f>
        <v>3208</v>
      </c>
      <c r="F25" s="3">
        <f t="shared" ref="F25:J25" si="18">+F20-SUM(F22:F24)</f>
        <v>0</v>
      </c>
      <c r="G25" s="3">
        <f t="shared" si="18"/>
        <v>2735</v>
      </c>
      <c r="H25" s="3">
        <f t="shared" si="18"/>
        <v>2920</v>
      </c>
      <c r="I25" s="3">
        <f t="shared" si="18"/>
        <v>3190</v>
      </c>
      <c r="J25" s="3">
        <f t="shared" si="18"/>
        <v>0</v>
      </c>
      <c r="K25" s="3">
        <f>+K20-SUM(K21:K24)</f>
        <v>2648</v>
      </c>
      <c r="L25" s="3">
        <f>+L20-SUM(L21:L24)</f>
        <v>3232</v>
      </c>
      <c r="M25" s="3">
        <f>+M20-SUM(M21:M24)</f>
        <v>3357</v>
      </c>
      <c r="N25" s="3"/>
      <c r="O25" s="3"/>
      <c r="P25" s="3"/>
      <c r="Q25" s="3"/>
      <c r="R25" s="3"/>
    </row>
    <row r="26" spans="2:18" x14ac:dyDescent="0.2">
      <c r="B26" s="2" t="s">
        <v>31</v>
      </c>
      <c r="C26" s="3">
        <v>330</v>
      </c>
      <c r="D26" s="3">
        <v>330</v>
      </c>
      <c r="E26" s="3">
        <v>341</v>
      </c>
      <c r="F26" s="3"/>
      <c r="G26" s="3">
        <v>372</v>
      </c>
      <c r="H26" s="3">
        <v>373</v>
      </c>
      <c r="I26" s="3">
        <v>381</v>
      </c>
      <c r="J26" s="3"/>
      <c r="K26" s="3">
        <v>376</v>
      </c>
      <c r="L26" s="3">
        <v>390</v>
      </c>
      <c r="M26" s="3">
        <v>406</v>
      </c>
      <c r="N26" s="3"/>
      <c r="O26" s="3"/>
      <c r="P26" s="3"/>
      <c r="Q26" s="3"/>
      <c r="R26" s="3"/>
    </row>
    <row r="27" spans="2:18" x14ac:dyDescent="0.2">
      <c r="B27" s="2" t="s">
        <v>32</v>
      </c>
      <c r="C27" s="3">
        <v>-64</v>
      </c>
      <c r="D27" s="3">
        <v>-43</v>
      </c>
      <c r="E27" s="3">
        <v>-56</v>
      </c>
      <c r="F27" s="3"/>
      <c r="G27" s="3">
        <v>-45</v>
      </c>
      <c r="H27" s="3">
        <v>-9</v>
      </c>
      <c r="I27" s="3">
        <v>-36</v>
      </c>
      <c r="J27" s="3"/>
      <c r="K27" s="3">
        <v>-57</v>
      </c>
      <c r="L27" s="3">
        <v>-18</v>
      </c>
      <c r="M27" s="3">
        <v>1</v>
      </c>
      <c r="N27" s="3"/>
      <c r="O27" s="3"/>
      <c r="P27" s="3"/>
      <c r="Q27" s="3"/>
      <c r="R27" s="3"/>
    </row>
    <row r="28" spans="2:18" x14ac:dyDescent="0.2">
      <c r="B28" s="2" t="s">
        <v>33</v>
      </c>
      <c r="C28" s="3">
        <f t="shared" ref="C28:H28" si="19">+C25-C26-C27</f>
        <v>2267</v>
      </c>
      <c r="D28" s="3">
        <f t="shared" si="19"/>
        <v>2818</v>
      </c>
      <c r="E28" s="3">
        <f t="shared" si="19"/>
        <v>2923</v>
      </c>
      <c r="F28" s="3">
        <f t="shared" si="19"/>
        <v>0</v>
      </c>
      <c r="G28" s="3">
        <f t="shared" si="19"/>
        <v>2408</v>
      </c>
      <c r="H28" s="3">
        <f t="shared" si="19"/>
        <v>2556</v>
      </c>
      <c r="I28" s="3">
        <f>+I25-I26-I27</f>
        <v>2845</v>
      </c>
      <c r="J28" s="3">
        <f t="shared" ref="J28:M28" si="20">+J25-J26-J27</f>
        <v>0</v>
      </c>
      <c r="K28" s="3">
        <f t="shared" si="20"/>
        <v>2329</v>
      </c>
      <c r="L28" s="3">
        <f t="shared" si="20"/>
        <v>2860</v>
      </c>
      <c r="M28" s="3">
        <f t="shared" si="20"/>
        <v>2950</v>
      </c>
      <c r="N28" s="3"/>
      <c r="O28" s="3"/>
      <c r="P28" s="3"/>
      <c r="Q28" s="3"/>
      <c r="R28" s="3"/>
    </row>
    <row r="29" spans="2:18" x14ac:dyDescent="0.2">
      <c r="B29" s="2" t="s">
        <v>34</v>
      </c>
      <c r="C29" s="3">
        <v>465</v>
      </c>
      <c r="D29" s="3">
        <v>506</v>
      </c>
      <c r="E29" s="3">
        <v>606</v>
      </c>
      <c r="F29" s="3"/>
      <c r="G29" s="3">
        <v>479</v>
      </c>
      <c r="H29" s="3">
        <v>533</v>
      </c>
      <c r="I29" s="3">
        <v>588</v>
      </c>
      <c r="J29" s="3"/>
      <c r="K29" s="3">
        <v>461</v>
      </c>
      <c r="L29" s="3">
        <v>608</v>
      </c>
      <c r="M29" s="3">
        <v>671</v>
      </c>
      <c r="N29" s="3"/>
      <c r="O29" s="3"/>
      <c r="P29" s="3"/>
      <c r="Q29" s="3"/>
      <c r="R29" s="3"/>
    </row>
    <row r="30" spans="2:18" x14ac:dyDescent="0.2">
      <c r="B30" s="2" t="s">
        <v>35</v>
      </c>
      <c r="C30" s="3">
        <f t="shared" ref="C30:H30" si="21">+C28-C29</f>
        <v>1802</v>
      </c>
      <c r="D30" s="3">
        <f t="shared" si="21"/>
        <v>2312</v>
      </c>
      <c r="E30" s="3">
        <f t="shared" si="21"/>
        <v>2317</v>
      </c>
      <c r="F30" s="3">
        <f t="shared" si="21"/>
        <v>0</v>
      </c>
      <c r="G30" s="3">
        <f t="shared" si="21"/>
        <v>1929</v>
      </c>
      <c r="H30" s="3">
        <f t="shared" si="21"/>
        <v>2023</v>
      </c>
      <c r="I30" s="3">
        <f>+I28-I29</f>
        <v>2257</v>
      </c>
      <c r="J30" s="3">
        <f t="shared" ref="J30:M30" si="22">+J28-J29</f>
        <v>0</v>
      </c>
      <c r="K30" s="3">
        <f t="shared" si="22"/>
        <v>1868</v>
      </c>
      <c r="L30" s="3">
        <f t="shared" si="22"/>
        <v>2252</v>
      </c>
      <c r="M30" s="3">
        <f t="shared" si="22"/>
        <v>2279</v>
      </c>
      <c r="N30" s="3"/>
      <c r="O30" s="3"/>
      <c r="P30" s="3"/>
      <c r="Q30" s="3"/>
      <c r="R30" s="3"/>
    </row>
    <row r="31" spans="2:18" x14ac:dyDescent="0.2">
      <c r="C31" s="3"/>
      <c r="D31" s="3"/>
      <c r="E31" s="3"/>
      <c r="F31" s="3"/>
      <c r="G31" s="3"/>
      <c r="H31" s="3"/>
      <c r="J31" s="3"/>
      <c r="K31" s="3"/>
      <c r="L31" s="3"/>
      <c r="M31" s="3"/>
      <c r="N31" s="3"/>
      <c r="O31" s="3"/>
      <c r="P31" s="3"/>
      <c r="Q31" s="3"/>
      <c r="R31" s="3"/>
    </row>
    <row r="32" spans="2:18" x14ac:dyDescent="0.2">
      <c r="B32" s="2" t="s">
        <v>36</v>
      </c>
      <c r="C32" s="8">
        <f t="shared" ref="C32:H32" si="23">+C30/C33</f>
        <v>2.4654535504172936</v>
      </c>
      <c r="D32" s="8">
        <f t="shared" si="23"/>
        <v>3.1688596491228069</v>
      </c>
      <c r="E32" s="8">
        <f t="shared" si="23"/>
        <v>3.1861936193619358</v>
      </c>
      <c r="F32" s="8" t="e">
        <f t="shared" si="23"/>
        <v>#DIV/0!</v>
      </c>
      <c r="G32" s="8">
        <f t="shared" si="23"/>
        <v>2.6724854530340818</v>
      </c>
      <c r="H32" s="8">
        <f t="shared" si="23"/>
        <v>2.814412910406233</v>
      </c>
      <c r="I32" s="8">
        <f>+I30/I33</f>
        <v>3.1491558532161292</v>
      </c>
      <c r="J32" s="8" t="e">
        <f t="shared" ref="J32:M32" si="24">+J30/J33</f>
        <v>#DIV/0!</v>
      </c>
      <c r="K32" s="8">
        <f t="shared" si="24"/>
        <v>2.6129528605399357</v>
      </c>
      <c r="L32" s="8">
        <f t="shared" si="24"/>
        <v>3.1518544436668998</v>
      </c>
      <c r="M32" s="8">
        <f t="shared" si="24"/>
        <v>3.1968017954832377</v>
      </c>
      <c r="N32" s="3"/>
      <c r="O32" s="3"/>
      <c r="P32" s="3"/>
      <c r="Q32" s="3"/>
      <c r="R32" s="3"/>
    </row>
    <row r="33" spans="2:18" x14ac:dyDescent="0.2">
      <c r="B33" s="2" t="s">
        <v>5</v>
      </c>
      <c r="C33" s="3">
        <v>730.9</v>
      </c>
      <c r="D33" s="3">
        <v>729.6</v>
      </c>
      <c r="E33" s="3">
        <v>727.2</v>
      </c>
      <c r="F33" s="3"/>
      <c r="G33" s="3">
        <v>721.8</v>
      </c>
      <c r="H33" s="3">
        <v>718.8</v>
      </c>
      <c r="I33" s="3">
        <v>716.7</v>
      </c>
      <c r="J33" s="3"/>
      <c r="K33" s="3">
        <v>714.9</v>
      </c>
      <c r="L33" s="3">
        <v>714.5</v>
      </c>
      <c r="M33" s="3">
        <v>712.9</v>
      </c>
      <c r="N33" s="3"/>
      <c r="O33" s="3"/>
      <c r="P33" s="3"/>
      <c r="Q33" s="3"/>
      <c r="R33" s="3"/>
    </row>
    <row r="34" spans="2:18" x14ac:dyDescent="0.2"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2:18" x14ac:dyDescent="0.2">
      <c r="B35" s="2" t="s">
        <v>49</v>
      </c>
      <c r="C35" s="9"/>
      <c r="D35" s="9"/>
      <c r="E35" s="9"/>
      <c r="F35" s="9"/>
      <c r="G35" s="9">
        <f t="shared" ref="G35:H36" si="25">+G3/C3-1</f>
        <v>3.7691646927141553E-2</v>
      </c>
      <c r="H35" s="9">
        <f t="shared" si="25"/>
        <v>4.0440606091947995E-2</v>
      </c>
      <c r="I35" s="9">
        <f>+I3/E3-1</f>
        <v>4.3555077584882529E-2</v>
      </c>
      <c r="J35" s="9" t="e">
        <f>+J3/F3-1</f>
        <v>#DIV/0!</v>
      </c>
      <c r="K35" s="9">
        <f t="shared" ref="K35:N36" si="26">+K3/G3-1</f>
        <v>4.6532045654082532E-2</v>
      </c>
      <c r="L35" s="9">
        <f t="shared" si="26"/>
        <v>4.5255728415925178E-2</v>
      </c>
      <c r="M35" s="9">
        <f t="shared" si="26"/>
        <v>4.394552815605457E-2</v>
      </c>
      <c r="N35" s="9" t="e">
        <f t="shared" si="26"/>
        <v>#DIV/0!</v>
      </c>
      <c r="O35" s="3"/>
      <c r="P35" s="3"/>
      <c r="Q35" s="3"/>
      <c r="R35" s="3"/>
    </row>
    <row r="36" spans="2:18" x14ac:dyDescent="0.2">
      <c r="B36" s="2" t="s">
        <v>50</v>
      </c>
      <c r="C36" s="9"/>
      <c r="D36" s="9"/>
      <c r="E36" s="9"/>
      <c r="F36" s="9"/>
      <c r="G36" s="9">
        <f t="shared" si="25"/>
        <v>1.6525023607176559E-2</v>
      </c>
      <c r="H36" s="9">
        <f t="shared" si="25"/>
        <v>1.9275975552421221E-2</v>
      </c>
      <c r="I36" s="9">
        <f t="shared" ref="I36:J36" si="27">+I4/E4-1</f>
        <v>-3.7313432835820892E-2</v>
      </c>
      <c r="J36" s="9" t="e">
        <f t="shared" si="27"/>
        <v>#DIV/0!</v>
      </c>
      <c r="K36" s="9">
        <f t="shared" si="26"/>
        <v>-5.4342777519739927E-2</v>
      </c>
      <c r="L36" s="9">
        <f t="shared" si="26"/>
        <v>-5.2583025830258312E-2</v>
      </c>
      <c r="M36" s="9">
        <f t="shared" si="26"/>
        <v>-5.3294573643410947E-3</v>
      </c>
      <c r="N36" s="9" t="e">
        <f t="shared" si="26"/>
        <v>#DIV/0!</v>
      </c>
      <c r="O36" s="3"/>
      <c r="P36" s="3"/>
      <c r="Q36" s="3"/>
      <c r="R36" s="3"/>
    </row>
    <row r="37" spans="2:18" x14ac:dyDescent="0.2">
      <c r="B37" s="2" t="s">
        <v>51</v>
      </c>
      <c r="C37" s="3"/>
      <c r="D37" s="3"/>
      <c r="E37" s="3"/>
      <c r="F37" s="9"/>
      <c r="G37" s="9">
        <f t="shared" ref="G37:H43" si="28">+G10/C10-1</f>
        <v>2.8938906752411508E-2</v>
      </c>
      <c r="H37" s="9">
        <f t="shared" si="28"/>
        <v>-1.1106997408367736E-3</v>
      </c>
      <c r="I37" s="9">
        <f>+I10/E10-1</f>
        <v>1.2943786982248628E-2</v>
      </c>
      <c r="J37" s="9" t="e">
        <f t="shared" ref="J37:J43" si="29">+J10/F10-1</f>
        <v>#DIV/0!</v>
      </c>
      <c r="K37" s="9">
        <f t="shared" ref="K37:K43" si="30">+K10/G10-1</f>
        <v>-6.1328124999999956E-2</v>
      </c>
      <c r="L37" s="9">
        <f t="shared" ref="L37:L43" si="31">+L10/H10-1</f>
        <v>3.0763528539659024E-2</v>
      </c>
      <c r="M37" s="9">
        <f t="shared" ref="M37:M43" si="32">+M10/I10-1</f>
        <v>1.2048192771084265E-2</v>
      </c>
      <c r="N37" s="9" t="e">
        <f t="shared" ref="N37:N43" si="33">+N10/J10-1</f>
        <v>#DIV/0!</v>
      </c>
      <c r="O37" s="3"/>
      <c r="P37" s="3"/>
      <c r="Q37" s="3"/>
      <c r="R37" s="3"/>
    </row>
    <row r="38" spans="2:18" x14ac:dyDescent="0.2">
      <c r="B38" s="2" t="s">
        <v>52</v>
      </c>
      <c r="C38" s="3"/>
      <c r="D38" s="3"/>
      <c r="E38" s="3"/>
      <c r="F38" s="9"/>
      <c r="G38" s="9">
        <f t="shared" si="28"/>
        <v>6.8694096601073396E-2</v>
      </c>
      <c r="H38" s="9">
        <f t="shared" si="28"/>
        <v>-2.8517110266159662E-3</v>
      </c>
      <c r="I38" s="9">
        <f t="shared" ref="I38:I43" si="34">+I11/E11-1</f>
        <v>2.7272727272726893E-3</v>
      </c>
      <c r="J38" s="9" t="e">
        <f t="shared" si="29"/>
        <v>#DIV/0!</v>
      </c>
      <c r="K38" s="9">
        <f t="shared" si="30"/>
        <v>-4.1848008034817585E-2</v>
      </c>
      <c r="L38" s="9">
        <f t="shared" si="31"/>
        <v>0.100095328884652</v>
      </c>
      <c r="M38" s="9">
        <f t="shared" si="32"/>
        <v>0.1054699304925959</v>
      </c>
      <c r="N38" s="9" t="e">
        <f t="shared" si="33"/>
        <v>#DIV/0!</v>
      </c>
      <c r="O38" s="3"/>
      <c r="P38" s="3"/>
      <c r="Q38" s="3"/>
      <c r="R38" s="3"/>
    </row>
    <row r="39" spans="2:18" x14ac:dyDescent="0.2">
      <c r="B39" s="2" t="s">
        <v>53</v>
      </c>
      <c r="C39" s="3"/>
      <c r="D39" s="3"/>
      <c r="E39" s="3"/>
      <c r="F39" s="9"/>
      <c r="G39" s="9">
        <f t="shared" si="28"/>
        <v>9.7560975609756184E-3</v>
      </c>
      <c r="H39" s="9">
        <f t="shared" si="28"/>
        <v>6.2402496099844829E-3</v>
      </c>
      <c r="I39" s="9">
        <f t="shared" si="34"/>
        <v>0.19912790697674421</v>
      </c>
      <c r="J39" s="9" t="e">
        <f t="shared" si="29"/>
        <v>#DIV/0!</v>
      </c>
      <c r="K39" s="9">
        <f t="shared" si="30"/>
        <v>-0.14975845410628019</v>
      </c>
      <c r="L39" s="9">
        <f t="shared" si="31"/>
        <v>-6.9767441860465129E-2</v>
      </c>
      <c r="M39" s="9">
        <f t="shared" si="32"/>
        <v>-0.21454545454545459</v>
      </c>
      <c r="N39" s="9" t="e">
        <f t="shared" si="33"/>
        <v>#DIV/0!</v>
      </c>
      <c r="O39" s="3"/>
      <c r="P39" s="3"/>
      <c r="Q39" s="3"/>
      <c r="R39" s="3"/>
    </row>
    <row r="40" spans="2:18" x14ac:dyDescent="0.2">
      <c r="B40" s="2" t="s">
        <v>54</v>
      </c>
      <c r="C40" s="3"/>
      <c r="D40" s="3"/>
      <c r="E40" s="3"/>
      <c r="F40" s="9"/>
      <c r="G40" s="9">
        <f t="shared" si="28"/>
        <v>5.8902877697841749E-2</v>
      </c>
      <c r="H40" s="9">
        <f t="shared" si="28"/>
        <v>-1.0454362685967E-2</v>
      </c>
      <c r="I40" s="9">
        <f t="shared" si="34"/>
        <v>3.9123630672926346E-2</v>
      </c>
      <c r="J40" s="9" t="e">
        <f t="shared" si="29"/>
        <v>#DIV/0!</v>
      </c>
      <c r="K40" s="9">
        <f t="shared" si="30"/>
        <v>-9.4692144373673015E-2</v>
      </c>
      <c r="L40" s="9">
        <f t="shared" si="31"/>
        <v>-1.2190166598943231E-3</v>
      </c>
      <c r="M40" s="9">
        <f t="shared" si="32"/>
        <v>-3.5015060240963902E-2</v>
      </c>
      <c r="N40" s="9" t="e">
        <f t="shared" si="33"/>
        <v>#DIV/0!</v>
      </c>
      <c r="O40" s="3"/>
      <c r="P40" s="3"/>
      <c r="Q40" s="3"/>
      <c r="R40" s="3"/>
    </row>
    <row r="41" spans="2:18" x14ac:dyDescent="0.2">
      <c r="B41" s="2" t="s">
        <v>56</v>
      </c>
      <c r="C41" s="3"/>
      <c r="D41" s="3"/>
      <c r="E41" s="3"/>
      <c r="F41" s="9"/>
      <c r="G41" s="9">
        <f t="shared" si="28"/>
        <v>3.7625418060200699E-2</v>
      </c>
      <c r="H41" s="9">
        <f t="shared" si="28"/>
        <v>1.7798118484617653E-3</v>
      </c>
      <c r="I41" s="9">
        <f t="shared" si="34"/>
        <v>1.1613540894489738E-2</v>
      </c>
      <c r="J41" s="9" t="e">
        <f t="shared" si="29"/>
        <v>#DIV/0!</v>
      </c>
      <c r="K41" s="9">
        <f t="shared" si="30"/>
        <v>-1.6653236637120594E-2</v>
      </c>
      <c r="L41" s="9">
        <f t="shared" si="31"/>
        <v>6.9289340101522878E-2</v>
      </c>
      <c r="M41" s="9">
        <f t="shared" si="32"/>
        <v>6.570591108939916E-2</v>
      </c>
      <c r="N41" s="9" t="e">
        <f t="shared" si="33"/>
        <v>#DIV/0!</v>
      </c>
      <c r="O41" s="3"/>
      <c r="P41" s="3"/>
      <c r="Q41" s="3"/>
      <c r="R41" s="3"/>
    </row>
    <row r="42" spans="2:18" x14ac:dyDescent="0.2">
      <c r="B42" s="2" t="s">
        <v>55</v>
      </c>
      <c r="C42" s="3"/>
      <c r="D42" s="3"/>
      <c r="E42" s="3"/>
      <c r="F42" s="9"/>
      <c r="G42" s="9">
        <f t="shared" si="28"/>
        <v>5.8139534883721034E-2</v>
      </c>
      <c r="H42" s="9">
        <f t="shared" si="28"/>
        <v>0.1558441558441559</v>
      </c>
      <c r="I42" s="9">
        <f t="shared" si="34"/>
        <v>0.39325842696629221</v>
      </c>
      <c r="J42" s="9" t="e">
        <f t="shared" si="29"/>
        <v>#DIV/0!</v>
      </c>
      <c r="K42" s="9">
        <f t="shared" si="30"/>
        <v>0.78021978021978011</v>
      </c>
      <c r="L42" s="9">
        <f t="shared" si="31"/>
        <v>0.93258426966292141</v>
      </c>
      <c r="M42" s="9">
        <f t="shared" si="32"/>
        <v>0.217741935483871</v>
      </c>
      <c r="N42" s="9" t="e">
        <f t="shared" si="33"/>
        <v>#DIV/0!</v>
      </c>
      <c r="O42" s="3"/>
      <c r="P42" s="3"/>
      <c r="Q42" s="3"/>
      <c r="R42" s="3"/>
    </row>
    <row r="43" spans="2:18" x14ac:dyDescent="0.2">
      <c r="B43" s="1" t="s">
        <v>57</v>
      </c>
      <c r="C43" s="7"/>
      <c r="D43" s="7"/>
      <c r="E43" s="7"/>
      <c r="F43" s="10"/>
      <c r="G43" s="10">
        <f t="shared" si="28"/>
        <v>4.594777890810442E-2</v>
      </c>
      <c r="H43" s="10">
        <f t="shared" si="28"/>
        <v>-1.0774203478528532E-3</v>
      </c>
      <c r="I43" s="10">
        <f t="shared" si="34"/>
        <v>2.7196652719665204E-2</v>
      </c>
      <c r="J43" s="10" t="e">
        <f t="shared" si="29"/>
        <v>#DIV/0!</v>
      </c>
      <c r="K43" s="10">
        <f t="shared" si="30"/>
        <v>-3.4527476090128073E-2</v>
      </c>
      <c r="L43" s="10">
        <f t="shared" si="31"/>
        <v>5.4391371340523964E-2</v>
      </c>
      <c r="M43" s="10">
        <f t="shared" si="32"/>
        <v>2.9677043933663105E-2</v>
      </c>
      <c r="N43" s="10" t="e">
        <f t="shared" si="33"/>
        <v>#DIV/0!</v>
      </c>
      <c r="O43" s="3"/>
      <c r="P43" s="3"/>
      <c r="Q43" s="3"/>
      <c r="R43" s="3"/>
    </row>
    <row r="44" spans="2:18" x14ac:dyDescent="0.2">
      <c r="B44" s="2" t="s">
        <v>58</v>
      </c>
      <c r="C44" s="9">
        <f t="shared" ref="C44:H44" si="35">+C20/C16</f>
        <v>0.56188538487622919</v>
      </c>
      <c r="D44" s="9">
        <f t="shared" si="35"/>
        <v>0.57426504540557177</v>
      </c>
      <c r="E44" s="9">
        <f t="shared" si="35"/>
        <v>0.57740585774058573</v>
      </c>
      <c r="F44" s="9" t="e">
        <f t="shared" si="35"/>
        <v>#DIV/0!</v>
      </c>
      <c r="G44" s="9">
        <f t="shared" si="35"/>
        <v>0.55746474307018967</v>
      </c>
      <c r="H44" s="9">
        <f t="shared" si="35"/>
        <v>0.57288135593220335</v>
      </c>
      <c r="I44" s="9">
        <f>+I20/I16</f>
        <v>0.56386383473959845</v>
      </c>
      <c r="J44" s="9" t="e">
        <f t="shared" ref="J44:N44" si="36">+J20/J16</f>
        <v>#DIV/0!</v>
      </c>
      <c r="K44" s="9">
        <f t="shared" si="36"/>
        <v>0.56027535258562788</v>
      </c>
      <c r="L44" s="9">
        <f t="shared" si="36"/>
        <v>0.57898582493058603</v>
      </c>
      <c r="M44" s="9">
        <f t="shared" si="36"/>
        <v>0.57996609211641703</v>
      </c>
      <c r="N44" s="9" t="e">
        <f t="shared" si="36"/>
        <v>#DIV/0!</v>
      </c>
      <c r="O44" s="3"/>
      <c r="P44" s="3"/>
      <c r="Q44" s="3"/>
      <c r="R44" s="3"/>
    </row>
    <row r="45" spans="2:18" x14ac:dyDescent="0.2">
      <c r="B45" s="2" t="s">
        <v>59</v>
      </c>
      <c r="C45" s="9">
        <f t="shared" ref="C45:H45" si="37">+C25/C16</f>
        <v>0.42946761614106477</v>
      </c>
      <c r="D45" s="9">
        <f t="shared" si="37"/>
        <v>0.47791288286901645</v>
      </c>
      <c r="E45" s="9">
        <f t="shared" si="37"/>
        <v>0.47937836222355051</v>
      </c>
      <c r="F45" s="9" t="e">
        <f t="shared" si="37"/>
        <v>#DIV/0!</v>
      </c>
      <c r="G45" s="9">
        <f t="shared" si="37"/>
        <v>0.44334576106338142</v>
      </c>
      <c r="H45" s="9">
        <f t="shared" si="37"/>
        <v>0.44992295839753466</v>
      </c>
      <c r="I45" s="9">
        <f>+I25/I16</f>
        <v>0.46406750072737851</v>
      </c>
      <c r="J45" s="9" t="e">
        <f t="shared" ref="J45:N45" si="38">+J25/J16</f>
        <v>#DIV/0!</v>
      </c>
      <c r="K45" s="9">
        <f t="shared" si="38"/>
        <v>0.44459368703828073</v>
      </c>
      <c r="L45" s="9">
        <f t="shared" si="38"/>
        <v>0.47230746748502117</v>
      </c>
      <c r="M45" s="9">
        <f t="shared" si="38"/>
        <v>0.47428652161627577</v>
      </c>
      <c r="N45" s="9" t="e">
        <f t="shared" si="38"/>
        <v>#DIV/0!</v>
      </c>
      <c r="O45" s="3"/>
      <c r="P45" s="3"/>
      <c r="Q45" s="3"/>
      <c r="R45" s="3"/>
    </row>
    <row r="46" spans="2:18" x14ac:dyDescent="0.2">
      <c r="B46" s="2" t="s">
        <v>60</v>
      </c>
      <c r="C46" s="9">
        <f t="shared" ref="C46:H46" si="39">+C29/C28</f>
        <v>0.2051168945743273</v>
      </c>
      <c r="D46" s="9">
        <f t="shared" si="39"/>
        <v>0.17955997161107168</v>
      </c>
      <c r="E46" s="9">
        <f t="shared" si="39"/>
        <v>0.20732124529592885</v>
      </c>
      <c r="F46" s="9" t="e">
        <f t="shared" si="39"/>
        <v>#DIV/0!</v>
      </c>
      <c r="G46" s="9">
        <f t="shared" si="39"/>
        <v>0.19892026578073091</v>
      </c>
      <c r="H46" s="9">
        <f t="shared" si="39"/>
        <v>0.20852895148669798</v>
      </c>
      <c r="I46" s="9">
        <f>+I29/I28</f>
        <v>0.20667838312829526</v>
      </c>
      <c r="J46" s="9" t="e">
        <f t="shared" ref="J46:N46" si="40">+J29/J28</f>
        <v>#DIV/0!</v>
      </c>
      <c r="K46" s="9">
        <f t="shared" si="40"/>
        <v>0.19793902962644913</v>
      </c>
      <c r="L46" s="9">
        <f t="shared" si="40"/>
        <v>0.21258741258741259</v>
      </c>
      <c r="M46" s="9">
        <f t="shared" si="40"/>
        <v>0.22745762711864406</v>
      </c>
      <c r="N46" s="9" t="e">
        <f t="shared" si="40"/>
        <v>#DIV/0!</v>
      </c>
      <c r="O46" s="3"/>
      <c r="P46" s="3"/>
      <c r="Q46" s="3"/>
      <c r="R46" s="3"/>
    </row>
    <row r="47" spans="2:18" x14ac:dyDescent="0.2"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</row>
    <row r="48" spans="2:18" x14ac:dyDescent="0.2"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</row>
    <row r="49" spans="3:18" x14ac:dyDescent="0.2"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</row>
    <row r="50" spans="3:18" x14ac:dyDescent="0.2"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</row>
    <row r="51" spans="3:18" x14ac:dyDescent="0.2"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</row>
    <row r="52" spans="3:18" x14ac:dyDescent="0.2"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</row>
    <row r="53" spans="3:18" x14ac:dyDescent="0.2"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</row>
    <row r="54" spans="3:18" x14ac:dyDescent="0.2"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</row>
    <row r="55" spans="3:18" x14ac:dyDescent="0.2"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</row>
    <row r="56" spans="3:18" x14ac:dyDescent="0.2"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</row>
    <row r="57" spans="3:18" x14ac:dyDescent="0.2"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</row>
    <row r="58" spans="3:18" x14ac:dyDescent="0.2"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</row>
    <row r="59" spans="3:18" x14ac:dyDescent="0.2"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</row>
    <row r="60" spans="3:18" x14ac:dyDescent="0.2"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</row>
    <row r="61" spans="3:18" x14ac:dyDescent="0.2"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</row>
    <row r="62" spans="3:18" x14ac:dyDescent="0.2"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</row>
    <row r="63" spans="3:18" x14ac:dyDescent="0.2"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</row>
    <row r="64" spans="3:18" x14ac:dyDescent="0.2"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</row>
    <row r="65" spans="3:18" x14ac:dyDescent="0.2"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</row>
    <row r="66" spans="3:18" x14ac:dyDescent="0.2"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</row>
    <row r="67" spans="3:18" x14ac:dyDescent="0.2"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</row>
    <row r="68" spans="3:18" x14ac:dyDescent="0.2"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</row>
    <row r="69" spans="3:18" x14ac:dyDescent="0.2"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</row>
    <row r="70" spans="3:18" x14ac:dyDescent="0.2"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</row>
    <row r="71" spans="3:18" x14ac:dyDescent="0.2"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</row>
    <row r="72" spans="3:18" x14ac:dyDescent="0.2"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</row>
    <row r="73" spans="3:18" x14ac:dyDescent="0.2"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</row>
    <row r="74" spans="3:18" x14ac:dyDescent="0.2"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</row>
    <row r="75" spans="3:18" x14ac:dyDescent="0.2"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</row>
    <row r="76" spans="3:18" x14ac:dyDescent="0.2"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</row>
    <row r="77" spans="3:18" x14ac:dyDescent="0.2"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</row>
    <row r="78" spans="3:18" x14ac:dyDescent="0.2"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</row>
    <row r="79" spans="3:18" x14ac:dyDescent="0.2"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</row>
    <row r="80" spans="3:18" x14ac:dyDescent="0.2"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</row>
    <row r="81" spans="3:18" x14ac:dyDescent="0.2"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</row>
    <row r="82" spans="3:18" x14ac:dyDescent="0.2"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</row>
    <row r="83" spans="3:18" x14ac:dyDescent="0.2"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</row>
    <row r="84" spans="3:18" x14ac:dyDescent="0.2"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</row>
    <row r="85" spans="3:18" x14ac:dyDescent="0.2"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</row>
    <row r="86" spans="3:18" x14ac:dyDescent="0.2"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</row>
    <row r="87" spans="3:18" x14ac:dyDescent="0.2"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</row>
    <row r="88" spans="3:18" x14ac:dyDescent="0.2"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</row>
    <row r="89" spans="3:18" x14ac:dyDescent="0.2"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</row>
    <row r="90" spans="3:18" x14ac:dyDescent="0.2"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</row>
    <row r="91" spans="3:18" x14ac:dyDescent="0.2"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</row>
    <row r="92" spans="3:18" x14ac:dyDescent="0.2"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</row>
    <row r="93" spans="3:18" x14ac:dyDescent="0.2"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</row>
    <row r="94" spans="3:18" x14ac:dyDescent="0.2"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</row>
    <row r="95" spans="3:18" x14ac:dyDescent="0.2"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</row>
    <row r="96" spans="3:18" x14ac:dyDescent="0.2"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</row>
    <row r="97" spans="3:18" x14ac:dyDescent="0.2"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</row>
    <row r="98" spans="3:18" x14ac:dyDescent="0.2"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</row>
    <row r="99" spans="3:18" x14ac:dyDescent="0.2"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</row>
    <row r="100" spans="3:18" x14ac:dyDescent="0.2"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</row>
    <row r="101" spans="3:18" x14ac:dyDescent="0.2"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</row>
    <row r="102" spans="3:18" x14ac:dyDescent="0.2"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</row>
    <row r="103" spans="3:18" x14ac:dyDescent="0.2"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</row>
    <row r="104" spans="3:18" x14ac:dyDescent="0.2"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</row>
    <row r="105" spans="3:18" x14ac:dyDescent="0.2"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</row>
    <row r="106" spans="3:18" x14ac:dyDescent="0.2"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</row>
    <row r="107" spans="3:18" x14ac:dyDescent="0.2"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</row>
    <row r="108" spans="3:18" x14ac:dyDescent="0.2"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</row>
    <row r="109" spans="3:18" x14ac:dyDescent="0.2"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</row>
    <row r="110" spans="3:18" x14ac:dyDescent="0.2"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</row>
    <row r="111" spans="3:18" x14ac:dyDescent="0.2"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</row>
    <row r="112" spans="3:18" x14ac:dyDescent="0.2"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</row>
    <row r="113" spans="3:18" x14ac:dyDescent="0.2"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</row>
    <row r="114" spans="3:18" x14ac:dyDescent="0.2"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</row>
    <row r="115" spans="3:18" x14ac:dyDescent="0.2"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</row>
    <row r="116" spans="3:18" x14ac:dyDescent="0.2"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</row>
    <row r="117" spans="3:18" x14ac:dyDescent="0.2"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</row>
    <row r="118" spans="3:18" x14ac:dyDescent="0.2"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</row>
    <row r="119" spans="3:18" x14ac:dyDescent="0.2"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</row>
    <row r="120" spans="3:18" x14ac:dyDescent="0.2"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</row>
    <row r="121" spans="3:18" x14ac:dyDescent="0.2"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</row>
    <row r="122" spans="3:18" x14ac:dyDescent="0.2"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</row>
    <row r="123" spans="3:18" x14ac:dyDescent="0.2"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</row>
    <row r="124" spans="3:18" x14ac:dyDescent="0.2"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</row>
    <row r="125" spans="3:18" x14ac:dyDescent="0.2"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</row>
    <row r="126" spans="3:18" x14ac:dyDescent="0.2"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</row>
    <row r="127" spans="3:18" x14ac:dyDescent="0.2"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</row>
    <row r="128" spans="3:18" x14ac:dyDescent="0.2"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</row>
    <row r="129" spans="3:18" x14ac:dyDescent="0.2"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</row>
    <row r="130" spans="3:18" x14ac:dyDescent="0.2"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</row>
    <row r="131" spans="3:18" x14ac:dyDescent="0.2"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</row>
    <row r="132" spans="3:18" x14ac:dyDescent="0.2"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</row>
    <row r="133" spans="3:18" x14ac:dyDescent="0.2"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</row>
    <row r="134" spans="3:18" x14ac:dyDescent="0.2"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</row>
    <row r="135" spans="3:18" x14ac:dyDescent="0.2"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</row>
    <row r="136" spans="3:18" x14ac:dyDescent="0.2"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</row>
    <row r="137" spans="3:18" x14ac:dyDescent="0.2"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</row>
    <row r="138" spans="3:18" x14ac:dyDescent="0.2"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</row>
    <row r="139" spans="3:18" x14ac:dyDescent="0.2"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</row>
    <row r="140" spans="3:18" x14ac:dyDescent="0.2"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</row>
    <row r="141" spans="3:18" x14ac:dyDescent="0.2"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</row>
    <row r="142" spans="3:18" x14ac:dyDescent="0.2"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</row>
    <row r="143" spans="3:18" x14ac:dyDescent="0.2"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</row>
    <row r="144" spans="3:18" x14ac:dyDescent="0.2"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</row>
    <row r="145" spans="3:18" x14ac:dyDescent="0.2"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</row>
    <row r="146" spans="3:18" x14ac:dyDescent="0.2"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</row>
    <row r="147" spans="3:18" x14ac:dyDescent="0.2"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</row>
    <row r="148" spans="3:18" x14ac:dyDescent="0.2"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</row>
    <row r="149" spans="3:18" x14ac:dyDescent="0.2"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</row>
    <row r="150" spans="3:18" x14ac:dyDescent="0.2"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</row>
    <row r="151" spans="3:18" x14ac:dyDescent="0.2"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</row>
    <row r="152" spans="3:18" x14ac:dyDescent="0.2"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</row>
    <row r="153" spans="3:18" x14ac:dyDescent="0.2"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</row>
    <row r="154" spans="3:18" x14ac:dyDescent="0.2"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</row>
    <row r="155" spans="3:18" x14ac:dyDescent="0.2"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</row>
    <row r="156" spans="3:18" x14ac:dyDescent="0.2"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</row>
    <row r="157" spans="3:18" x14ac:dyDescent="0.2"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</row>
    <row r="158" spans="3:18" x14ac:dyDescent="0.2"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</row>
    <row r="159" spans="3:18" x14ac:dyDescent="0.2"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</row>
    <row r="160" spans="3:18" x14ac:dyDescent="0.2"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</row>
    <row r="161" spans="3:18" x14ac:dyDescent="0.2"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</row>
    <row r="162" spans="3:18" x14ac:dyDescent="0.2"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</row>
    <row r="163" spans="3:18" x14ac:dyDescent="0.2"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</row>
    <row r="164" spans="3:18" x14ac:dyDescent="0.2"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</row>
    <row r="165" spans="3:18" x14ac:dyDescent="0.2"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</row>
    <row r="166" spans="3:18" x14ac:dyDescent="0.2"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</row>
    <row r="167" spans="3:18" x14ac:dyDescent="0.2"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</row>
    <row r="168" spans="3:18" x14ac:dyDescent="0.2"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</row>
    <row r="169" spans="3:18" x14ac:dyDescent="0.2"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</row>
    <row r="170" spans="3:18" x14ac:dyDescent="0.2"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</row>
    <row r="171" spans="3:18" x14ac:dyDescent="0.2"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</row>
    <row r="172" spans="3:18" x14ac:dyDescent="0.2"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</row>
    <row r="173" spans="3:18" x14ac:dyDescent="0.2"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</row>
    <row r="174" spans="3:18" x14ac:dyDescent="0.2"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</row>
    <row r="175" spans="3:18" x14ac:dyDescent="0.2"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</row>
    <row r="176" spans="3:18" x14ac:dyDescent="0.2"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</row>
    <row r="177" spans="3:18" x14ac:dyDescent="0.2"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</row>
    <row r="178" spans="3:18" x14ac:dyDescent="0.2"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</row>
    <row r="179" spans="3:18" x14ac:dyDescent="0.2"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</row>
    <row r="180" spans="3:18" x14ac:dyDescent="0.2"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</row>
    <row r="181" spans="3:18" x14ac:dyDescent="0.2"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</row>
    <row r="182" spans="3:18" x14ac:dyDescent="0.2"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</row>
    <row r="183" spans="3:18" x14ac:dyDescent="0.2"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</row>
    <row r="184" spans="3:18" x14ac:dyDescent="0.2"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</row>
    <row r="185" spans="3:18" x14ac:dyDescent="0.2"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</row>
    <row r="186" spans="3:18" x14ac:dyDescent="0.2"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</row>
    <row r="187" spans="3:18" x14ac:dyDescent="0.2"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</row>
    <row r="188" spans="3:18" x14ac:dyDescent="0.2"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</row>
    <row r="189" spans="3:18" x14ac:dyDescent="0.2"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</row>
    <row r="190" spans="3:18" x14ac:dyDescent="0.2"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</row>
    <row r="191" spans="3:18" x14ac:dyDescent="0.2"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</row>
    <row r="192" spans="3:18" x14ac:dyDescent="0.2"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</row>
    <row r="193" spans="3:18" x14ac:dyDescent="0.2"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</row>
    <row r="194" spans="3:18" x14ac:dyDescent="0.2"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</row>
    <row r="195" spans="3:18" x14ac:dyDescent="0.2"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</row>
    <row r="196" spans="3:18" x14ac:dyDescent="0.2"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</row>
    <row r="197" spans="3:18" x14ac:dyDescent="0.2"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</row>
    <row r="198" spans="3:18" x14ac:dyDescent="0.2"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</row>
    <row r="199" spans="3:18" x14ac:dyDescent="0.2"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</row>
    <row r="200" spans="3:18" x14ac:dyDescent="0.2"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</row>
    <row r="201" spans="3:18" x14ac:dyDescent="0.2"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</row>
    <row r="202" spans="3:18" x14ac:dyDescent="0.2"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</row>
    <row r="203" spans="3:18" x14ac:dyDescent="0.2"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</row>
    <row r="204" spans="3:18" x14ac:dyDescent="0.2"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</row>
    <row r="205" spans="3:18" x14ac:dyDescent="0.2"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</row>
    <row r="206" spans="3:18" x14ac:dyDescent="0.2"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</row>
    <row r="207" spans="3:18" x14ac:dyDescent="0.2"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</row>
    <row r="208" spans="3:18" x14ac:dyDescent="0.2"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</row>
    <row r="209" spans="3:18" x14ac:dyDescent="0.2"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</row>
    <row r="210" spans="3:18" x14ac:dyDescent="0.2"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</row>
    <row r="211" spans="3:18" x14ac:dyDescent="0.2"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</row>
    <row r="212" spans="3:18" x14ac:dyDescent="0.2"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</row>
    <row r="213" spans="3:18" x14ac:dyDescent="0.2"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</row>
    <row r="214" spans="3:18" x14ac:dyDescent="0.2"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</row>
    <row r="215" spans="3:18" x14ac:dyDescent="0.2"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</row>
    <row r="216" spans="3:18" x14ac:dyDescent="0.2"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</row>
    <row r="217" spans="3:18" x14ac:dyDescent="0.2"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</row>
    <row r="218" spans="3:18" x14ac:dyDescent="0.2"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</row>
    <row r="219" spans="3:18" x14ac:dyDescent="0.2"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</row>
    <row r="220" spans="3:18" x14ac:dyDescent="0.2"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</row>
    <row r="221" spans="3:18" x14ac:dyDescent="0.2"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</row>
    <row r="222" spans="3:18" x14ac:dyDescent="0.2"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</row>
    <row r="223" spans="3:18" x14ac:dyDescent="0.2"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</row>
    <row r="224" spans="3:18" x14ac:dyDescent="0.2"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</row>
    <row r="225" spans="3:18" x14ac:dyDescent="0.2"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</row>
    <row r="226" spans="3:18" x14ac:dyDescent="0.2"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</row>
    <row r="227" spans="3:18" x14ac:dyDescent="0.2"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</row>
    <row r="228" spans="3:18" x14ac:dyDescent="0.2"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</row>
    <row r="229" spans="3:18" x14ac:dyDescent="0.2"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</row>
    <row r="230" spans="3:18" x14ac:dyDescent="0.2"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</row>
    <row r="231" spans="3:18" x14ac:dyDescent="0.2"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</row>
    <row r="232" spans="3:18" x14ac:dyDescent="0.2"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</row>
    <row r="233" spans="3:18" x14ac:dyDescent="0.2"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</row>
  </sheetData>
  <hyperlinks>
    <hyperlink ref="A1" location="Main!A1" display="Main" xr:uid="{52AB2C3F-222D-453A-815F-6C636D492599}"/>
  </hyperlink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dcterms:created xsi:type="dcterms:W3CDTF">2024-11-09T13:47:34Z</dcterms:created>
  <dcterms:modified xsi:type="dcterms:W3CDTF">2025-12-20T11:36:34Z</dcterms:modified>
</cp:coreProperties>
</file>