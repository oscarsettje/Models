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B4B245F6-3168-436F-B04B-1982B526BC9D}" xr6:coauthVersionLast="47" xr6:coauthVersionMax="47" xr10:uidLastSave="{00000000-0000-0000-0000-000000000000}"/>
  <bookViews>
    <workbookView xWindow="19095" yWindow="0" windowWidth="19410" windowHeight="20985" activeTab="1" xr2:uid="{18F8973A-4B1D-45B3-BBD1-81233DF5C15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2" l="1"/>
  <c r="M30" i="2"/>
  <c r="M29" i="2"/>
  <c r="M28" i="2"/>
  <c r="M27" i="2"/>
  <c r="M26" i="2"/>
  <c r="M25" i="2"/>
  <c r="M22" i="2"/>
  <c r="M20" i="2"/>
  <c r="M18" i="2"/>
  <c r="M16" i="2"/>
  <c r="M11" i="2"/>
  <c r="I7" i="1"/>
  <c r="L22" i="2"/>
  <c r="L20" i="2"/>
  <c r="L18" i="2"/>
  <c r="L16" i="2"/>
  <c r="L11" i="2"/>
  <c r="L31" i="2"/>
  <c r="L30" i="2"/>
  <c r="L29" i="2"/>
  <c r="L28" i="2"/>
  <c r="L27" i="2"/>
  <c r="L26" i="2"/>
  <c r="L25" i="2"/>
  <c r="K28" i="2"/>
  <c r="K27" i="2"/>
  <c r="K26" i="2"/>
  <c r="K25" i="2"/>
  <c r="K11" i="2"/>
  <c r="K16" i="2" s="1"/>
  <c r="W9" i="2"/>
  <c r="W11" i="2" s="1"/>
  <c r="W25" i="2"/>
  <c r="W26" i="2"/>
  <c r="W27" i="2"/>
  <c r="J19" i="2"/>
  <c r="J17" i="2"/>
  <c r="J15" i="2"/>
  <c r="J14" i="2"/>
  <c r="J13" i="2"/>
  <c r="J12" i="2"/>
  <c r="J10" i="2"/>
  <c r="J8" i="2"/>
  <c r="J7" i="2"/>
  <c r="J6" i="2"/>
  <c r="J5" i="2"/>
  <c r="J4" i="2"/>
  <c r="J3" i="2"/>
  <c r="F23" i="2"/>
  <c r="F19" i="2"/>
  <c r="F17" i="2"/>
  <c r="F15" i="2"/>
  <c r="F14" i="2"/>
  <c r="F13" i="2"/>
  <c r="F12" i="2"/>
  <c r="F10" i="2"/>
  <c r="F8" i="2"/>
  <c r="F7" i="2"/>
  <c r="F6" i="2"/>
  <c r="F5" i="2"/>
  <c r="F9" i="2" s="1"/>
  <c r="F11" i="2" s="1"/>
  <c r="F4" i="2"/>
  <c r="F3" i="2"/>
  <c r="I3" i="1"/>
  <c r="I5" i="1" s="1"/>
  <c r="U27" i="2"/>
  <c r="T27" i="2"/>
  <c r="S27" i="2"/>
  <c r="R27" i="2"/>
  <c r="Q27" i="2"/>
  <c r="U26" i="2"/>
  <c r="T26" i="2"/>
  <c r="S26" i="2"/>
  <c r="R26" i="2"/>
  <c r="Q26" i="2"/>
  <c r="U25" i="2"/>
  <c r="T25" i="2"/>
  <c r="S25" i="2"/>
  <c r="R25" i="2"/>
  <c r="Q25" i="2"/>
  <c r="V27" i="2"/>
  <c r="V26" i="2"/>
  <c r="V25" i="2"/>
  <c r="S29" i="2"/>
  <c r="R29" i="2"/>
  <c r="Q29" i="2"/>
  <c r="P29" i="2"/>
  <c r="H28" i="2"/>
  <c r="I27" i="2"/>
  <c r="H27" i="2"/>
  <c r="I26" i="2"/>
  <c r="H26" i="2"/>
  <c r="I25" i="2"/>
  <c r="H25" i="2"/>
  <c r="G28" i="2"/>
  <c r="G27" i="2"/>
  <c r="G26" i="2"/>
  <c r="G25" i="2"/>
  <c r="U9" i="2"/>
  <c r="U11" i="2" s="1"/>
  <c r="U16" i="2" s="1"/>
  <c r="U18" i="2" s="1"/>
  <c r="U20" i="2" s="1"/>
  <c r="U22" i="2" s="1"/>
  <c r="T9" i="2"/>
  <c r="T11" i="2" s="1"/>
  <c r="T16" i="2" s="1"/>
  <c r="T18" i="2" s="1"/>
  <c r="T20" i="2" s="1"/>
  <c r="T22" i="2" s="1"/>
  <c r="S9" i="2"/>
  <c r="S11" i="2" s="1"/>
  <c r="S16" i="2" s="1"/>
  <c r="S18" i="2" s="1"/>
  <c r="S20" i="2" s="1"/>
  <c r="S22" i="2" s="1"/>
  <c r="R9" i="2"/>
  <c r="R11" i="2" s="1"/>
  <c r="R16" i="2" s="1"/>
  <c r="R18" i="2" s="1"/>
  <c r="R20" i="2" s="1"/>
  <c r="R22" i="2" s="1"/>
  <c r="Q9" i="2"/>
  <c r="Q11" i="2" s="1"/>
  <c r="Q16" i="2" s="1"/>
  <c r="Q18" i="2" s="1"/>
  <c r="Q20" i="2" s="1"/>
  <c r="Q22" i="2" s="1"/>
  <c r="P9" i="2"/>
  <c r="P11" i="2" s="1"/>
  <c r="P16" i="2" s="1"/>
  <c r="I11" i="2"/>
  <c r="I16" i="2" s="1"/>
  <c r="I18" i="2" s="1"/>
  <c r="I20" i="2" s="1"/>
  <c r="I22" i="2" s="1"/>
  <c r="H11" i="2"/>
  <c r="H16" i="2" s="1"/>
  <c r="H18" i="2" s="1"/>
  <c r="H20" i="2" s="1"/>
  <c r="H22" i="2" s="1"/>
  <c r="G11" i="2"/>
  <c r="G16" i="2" s="1"/>
  <c r="G18" i="2" s="1"/>
  <c r="G20" i="2" s="1"/>
  <c r="G22" i="2" s="1"/>
  <c r="E11" i="2"/>
  <c r="E16" i="2" s="1"/>
  <c r="E18" i="2" s="1"/>
  <c r="E20" i="2" s="1"/>
  <c r="E22" i="2" s="1"/>
  <c r="D11" i="2"/>
  <c r="D16" i="2" s="1"/>
  <c r="D18" i="2" s="1"/>
  <c r="D20" i="2" s="1"/>
  <c r="D22" i="2" s="1"/>
  <c r="C11" i="2"/>
  <c r="C16" i="2" s="1"/>
  <c r="C18" i="2" s="1"/>
  <c r="C20" i="2" s="1"/>
  <c r="C22" i="2" s="1"/>
  <c r="V9" i="2"/>
  <c r="V11" i="2" s="1"/>
  <c r="V16" i="2" s="1"/>
  <c r="V18" i="2" s="1"/>
  <c r="V20" i="2" s="1"/>
  <c r="V22" i="2" s="1"/>
  <c r="K30" i="2" l="1"/>
  <c r="K18" i="2"/>
  <c r="P18" i="2"/>
  <c r="P20" i="2" s="1"/>
  <c r="P22" i="2" s="1"/>
  <c r="J26" i="2"/>
  <c r="J27" i="2"/>
  <c r="K29" i="2"/>
  <c r="J25" i="2"/>
  <c r="V30" i="2"/>
  <c r="Q31" i="2"/>
  <c r="R28" i="2"/>
  <c r="P31" i="2"/>
  <c r="R31" i="2"/>
  <c r="S31" i="2"/>
  <c r="Q28" i="2"/>
  <c r="S28" i="2"/>
  <c r="T30" i="2"/>
  <c r="U30" i="2"/>
  <c r="T31" i="2"/>
  <c r="U31" i="2"/>
  <c r="T28" i="2"/>
  <c r="U28" i="2"/>
  <c r="C30" i="2"/>
  <c r="C31" i="2"/>
  <c r="W28" i="2"/>
  <c r="T29" i="2"/>
  <c r="U29" i="2"/>
  <c r="W29" i="2"/>
  <c r="W16" i="2"/>
  <c r="J9" i="2"/>
  <c r="J11" i="2" s="1"/>
  <c r="F16" i="2"/>
  <c r="F18" i="2" s="1"/>
  <c r="F20" i="2" s="1"/>
  <c r="F22" i="2" s="1"/>
  <c r="F30" i="2"/>
  <c r="E30" i="2"/>
  <c r="E31" i="2"/>
  <c r="I30" i="2"/>
  <c r="I29" i="2"/>
  <c r="I31" i="2"/>
  <c r="V31" i="2"/>
  <c r="V28" i="2"/>
  <c r="V29" i="2"/>
  <c r="I28" i="2"/>
  <c r="P30" i="2"/>
  <c r="C29" i="2"/>
  <c r="Q30" i="2"/>
  <c r="E29" i="2"/>
  <c r="R30" i="2"/>
  <c r="F29" i="2"/>
  <c r="S30" i="2"/>
  <c r="G29" i="2"/>
  <c r="G30" i="2"/>
  <c r="G31" i="2"/>
  <c r="D30" i="2"/>
  <c r="D31" i="2"/>
  <c r="D29" i="2"/>
  <c r="H29" i="2"/>
  <c r="H30" i="2"/>
  <c r="H31" i="2"/>
  <c r="I8" i="1"/>
  <c r="K31" i="2" l="1"/>
  <c r="K20" i="2"/>
  <c r="K22" i="2" s="1"/>
  <c r="F31" i="2"/>
  <c r="W18" i="2"/>
  <c r="W30" i="2"/>
  <c r="J16" i="2"/>
  <c r="J18" i="2" s="1"/>
  <c r="J20" i="2" s="1"/>
  <c r="J22" i="2" s="1"/>
  <c r="J29" i="2"/>
  <c r="J28" i="2"/>
  <c r="W20" i="2" l="1"/>
  <c r="W22" i="2" s="1"/>
  <c r="W31" i="2"/>
  <c r="J31" i="2"/>
  <c r="J30" i="2"/>
</calcChain>
</file>

<file path=xl/sharedStrings.xml><?xml version="1.0" encoding="utf-8"?>
<sst xmlns="http://schemas.openxmlformats.org/spreadsheetml/2006/main" count="72" uniqueCount="68">
  <si>
    <t>Birkenstock Holding</t>
  </si>
  <si>
    <t>BIRK</t>
  </si>
  <si>
    <t>IR</t>
  </si>
  <si>
    <t>Main</t>
  </si>
  <si>
    <t>Q124</t>
  </si>
  <si>
    <t>Q224</t>
  </si>
  <si>
    <t>Q324</t>
  </si>
  <si>
    <t>Q424</t>
  </si>
  <si>
    <t>Q125</t>
  </si>
  <si>
    <t>Q225</t>
  </si>
  <si>
    <t>Q325</t>
  </si>
  <si>
    <t>Q425</t>
  </si>
  <si>
    <t>FY18</t>
  </si>
  <si>
    <t>FY19</t>
  </si>
  <si>
    <t>FY20</t>
  </si>
  <si>
    <t>FY21</t>
  </si>
  <si>
    <t>FY22</t>
  </si>
  <si>
    <t>FY23</t>
  </si>
  <si>
    <t>FY24</t>
  </si>
  <si>
    <t>FY25</t>
  </si>
  <si>
    <t>Shares</t>
  </si>
  <si>
    <t>MC</t>
  </si>
  <si>
    <t>Cash</t>
  </si>
  <si>
    <t>Debt</t>
  </si>
  <si>
    <t>EV</t>
  </si>
  <si>
    <t>B2B</t>
  </si>
  <si>
    <t>DTC</t>
  </si>
  <si>
    <t>America</t>
  </si>
  <si>
    <t>Europe</t>
  </si>
  <si>
    <t>APMA</t>
  </si>
  <si>
    <t>Corporate/Other</t>
  </si>
  <si>
    <t>Revenue</t>
  </si>
  <si>
    <t>COGS</t>
  </si>
  <si>
    <t>Gross Profit</t>
  </si>
  <si>
    <t>Selling &amp; Distribution</t>
  </si>
  <si>
    <t>Foreign Exchange Loss</t>
  </si>
  <si>
    <t>General &amp; Administrative</t>
  </si>
  <si>
    <t>Other Income</t>
  </si>
  <si>
    <t>Operating Income</t>
  </si>
  <si>
    <t>Finance Cost</t>
  </si>
  <si>
    <t>Pretax Income</t>
  </si>
  <si>
    <t>Tax Expense</t>
  </si>
  <si>
    <t>Net Income</t>
  </si>
  <si>
    <t>EPS</t>
  </si>
  <si>
    <t>numbers in mio EUR</t>
  </si>
  <si>
    <t>America Growth</t>
  </si>
  <si>
    <t>Europe Growth</t>
  </si>
  <si>
    <t>APMA Growth</t>
  </si>
  <si>
    <t>Revenue Growth</t>
  </si>
  <si>
    <t xml:space="preserve">Gross Margin </t>
  </si>
  <si>
    <t xml:space="preserve">Operating Margin </t>
  </si>
  <si>
    <t>Tax Rate</t>
  </si>
  <si>
    <t>Notes</t>
  </si>
  <si>
    <t>Largest Shareholder: Catterton Management Company (135,109868 Shares)</t>
  </si>
  <si>
    <t>In 2021 bought majority stake in BIRK together with Groupe Arnault</t>
  </si>
  <si>
    <t>Price USD</t>
  </si>
  <si>
    <t>USD/EUR</t>
  </si>
  <si>
    <t>CEO</t>
  </si>
  <si>
    <t>CFO</t>
  </si>
  <si>
    <t>Oliver Reichert</t>
  </si>
  <si>
    <t>Dr. Erik Massman &amp; Ivica Krolo</t>
  </si>
  <si>
    <t>Director</t>
  </si>
  <si>
    <t>Alexandre Arnault &amp; other</t>
  </si>
  <si>
    <t>Q126</t>
  </si>
  <si>
    <t>Q226</t>
  </si>
  <si>
    <t>Q326</t>
  </si>
  <si>
    <t>Q426</t>
  </si>
  <si>
    <t>Price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</si>
</sst>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16">
    <xf numFmtId="0" fontId="0" fillId="0" borderId="0" xfId="0"/>
    <xf numFmtId="0" fontId="8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9" fillId="0" borderId="0" xfId="1" applyFont="1"/>
    <xf numFmtId="0" fontId="10" fillId="0" borderId="0" xfId="0" applyFont="1"/>
    <xf numFmtId="164" fontId="8" fillId="0" borderId="0" xfId="0" applyNumberFormat="1" applyFont="1"/>
    <xf numFmtId="4" fontId="5" fillId="0" borderId="0" xfId="0" applyNumberFormat="1" applyFont="1"/>
    <xf numFmtId="9" fontId="5" fillId="0" borderId="0" xfId="2" applyFont="1"/>
    <xf numFmtId="9" fontId="8" fillId="0" borderId="0" xfId="2" applyFont="1"/>
    <xf numFmtId="2" fontId="5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rkenstock-hold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7F59-63B9-4237-A3CE-A07280429F0F}">
  <dimension ref="A1:J17"/>
  <sheetViews>
    <sheetView topLeftCell="C1" zoomScale="200" zoomScaleNormal="200" workbookViewId="0">
      <selection activeCell="J4" sqref="J4"/>
    </sheetView>
  </sheetViews>
  <sheetFormatPr defaultColWidth="9.5703125" defaultRowHeight="12.75" x14ac:dyDescent="0.2"/>
  <cols>
    <col min="1" max="1" width="3" style="2" customWidth="1"/>
    <col min="2" max="16384" width="9.5703125" style="2"/>
  </cols>
  <sheetData>
    <row r="1" spans="1:10" x14ac:dyDescent="0.2">
      <c r="A1" s="1" t="s">
        <v>0</v>
      </c>
    </row>
    <row r="2" spans="1:10" x14ac:dyDescent="0.2">
      <c r="A2" s="2" t="s">
        <v>44</v>
      </c>
      <c r="H2" s="2" t="s">
        <v>55</v>
      </c>
      <c r="I2" s="2">
        <v>41</v>
      </c>
    </row>
    <row r="3" spans="1:10" x14ac:dyDescent="0.2">
      <c r="H3" s="14" t="s">
        <v>67</v>
      </c>
      <c r="I3" s="11">
        <f>+I2*I10</f>
        <v>34.85</v>
      </c>
    </row>
    <row r="4" spans="1:10" x14ac:dyDescent="0.2">
      <c r="H4" s="2" t="s">
        <v>20</v>
      </c>
      <c r="I4" s="3">
        <v>183.90605600000001</v>
      </c>
      <c r="J4" s="15" t="s">
        <v>65</v>
      </c>
    </row>
    <row r="5" spans="1:10" x14ac:dyDescent="0.2">
      <c r="B5" s="2" t="s">
        <v>1</v>
      </c>
      <c r="H5" s="2" t="s">
        <v>21</v>
      </c>
      <c r="I5" s="3">
        <f>+I3*I4</f>
        <v>6409.1260516000002</v>
      </c>
    </row>
    <row r="6" spans="1:10" x14ac:dyDescent="0.2">
      <c r="B6" s="5" t="s">
        <v>2</v>
      </c>
      <c r="H6" s="2" t="s">
        <v>22</v>
      </c>
      <c r="I6" s="3">
        <v>693.63499999999999</v>
      </c>
      <c r="J6" s="15" t="s">
        <v>65</v>
      </c>
    </row>
    <row r="7" spans="1:10" x14ac:dyDescent="0.2">
      <c r="H7" s="2" t="s">
        <v>23</v>
      </c>
      <c r="I7" s="3">
        <f>1678.284+9.126</f>
        <v>1687.41</v>
      </c>
      <c r="J7" s="15" t="s">
        <v>65</v>
      </c>
    </row>
    <row r="8" spans="1:10" x14ac:dyDescent="0.2">
      <c r="H8" s="2" t="s">
        <v>24</v>
      </c>
      <c r="I8" s="3">
        <f>+I5-I6+I7</f>
        <v>7402.9010515999998</v>
      </c>
    </row>
    <row r="10" spans="1:10" x14ac:dyDescent="0.2">
      <c r="H10" s="2" t="s">
        <v>56</v>
      </c>
      <c r="I10" s="2">
        <v>0.85</v>
      </c>
    </row>
    <row r="11" spans="1:10" x14ac:dyDescent="0.2">
      <c r="H11" s="12" t="s">
        <v>57</v>
      </c>
      <c r="I11" s="12" t="s">
        <v>59</v>
      </c>
    </row>
    <row r="12" spans="1:10" x14ac:dyDescent="0.2">
      <c r="H12" s="12" t="s">
        <v>58</v>
      </c>
      <c r="I12" s="12" t="s">
        <v>60</v>
      </c>
    </row>
    <row r="13" spans="1:10" x14ac:dyDescent="0.2">
      <c r="H13" s="12" t="s">
        <v>61</v>
      </c>
      <c r="I13" s="12" t="s">
        <v>62</v>
      </c>
    </row>
    <row r="15" spans="1:10" x14ac:dyDescent="0.2">
      <c r="B15" s="6" t="s">
        <v>52</v>
      </c>
    </row>
    <row r="16" spans="1:10" x14ac:dyDescent="0.2">
      <c r="B16" s="2" t="s">
        <v>53</v>
      </c>
      <c r="J16" s="12"/>
    </row>
    <row r="17" spans="2:2" x14ac:dyDescent="0.2">
      <c r="B17" s="2" t="s">
        <v>54</v>
      </c>
    </row>
  </sheetData>
  <hyperlinks>
    <hyperlink ref="B6" r:id="rId1" xr:uid="{44DFD5E7-28F8-4655-9E69-8E3B7536B8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27C9-86FF-4681-812C-4D0390C0B72A}">
  <dimension ref="A1:AY315"/>
  <sheetViews>
    <sheetView tabSelected="1" zoomScale="200" zoomScaleNormal="2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M5" sqref="M5"/>
    </sheetView>
  </sheetViews>
  <sheetFormatPr defaultRowHeight="12.75" x14ac:dyDescent="0.2"/>
  <cols>
    <col min="1" max="1" width="5.42578125" style="2" bestFit="1" customWidth="1"/>
    <col min="2" max="2" width="26.7109375" style="2" customWidth="1"/>
    <col min="3" max="16384" width="9.140625" style="2"/>
  </cols>
  <sheetData>
    <row r="1" spans="1:51" x14ac:dyDescent="0.2">
      <c r="A1" s="5" t="s">
        <v>3</v>
      </c>
    </row>
    <row r="2" spans="1:51" x14ac:dyDescent="0.2"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13" t="s">
        <v>63</v>
      </c>
      <c r="L2" s="13" t="s">
        <v>64</v>
      </c>
      <c r="M2" s="13" t="s">
        <v>65</v>
      </c>
      <c r="N2" s="13" t="s">
        <v>66</v>
      </c>
      <c r="O2" s="4"/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</row>
    <row r="3" spans="1:51" x14ac:dyDescent="0.2">
      <c r="B3" s="2" t="s">
        <v>25</v>
      </c>
      <c r="C3" s="3">
        <v>140.41</v>
      </c>
      <c r="D3" s="3">
        <v>362.524</v>
      </c>
      <c r="E3" s="3">
        <v>340.59300000000002</v>
      </c>
      <c r="F3" s="3">
        <f>+V3-SUM(C3:E3)</f>
        <v>240.19399999999996</v>
      </c>
      <c r="G3" s="3">
        <v>182.04499999999999</v>
      </c>
      <c r="H3" s="3">
        <v>432.48399999999998</v>
      </c>
      <c r="I3" s="3">
        <v>390.15600000000001</v>
      </c>
      <c r="J3" s="3">
        <f>+W3-SUM(G3:I3)</f>
        <v>293.24800000000005</v>
      </c>
      <c r="K3" s="3">
        <v>215.12299999999999</v>
      </c>
      <c r="L3" s="3">
        <v>471.67</v>
      </c>
      <c r="M3" s="3">
        <v>441.68900000000002</v>
      </c>
      <c r="N3" s="3"/>
      <c r="O3" s="3"/>
      <c r="P3" s="3"/>
      <c r="Q3" s="3"/>
      <c r="R3" s="3"/>
      <c r="S3" s="3"/>
      <c r="T3" s="3">
        <v>772.88300000000004</v>
      </c>
      <c r="U3" s="3">
        <v>887.95699999999999</v>
      </c>
      <c r="V3" s="3">
        <v>1083.721</v>
      </c>
      <c r="W3" s="3">
        <v>1297.933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x14ac:dyDescent="0.2">
      <c r="B4" s="2" t="s">
        <v>26</v>
      </c>
      <c r="C4" s="3">
        <v>160.655</v>
      </c>
      <c r="D4" s="3">
        <v>117.773</v>
      </c>
      <c r="E4" s="3">
        <v>223.364</v>
      </c>
      <c r="F4" s="3">
        <f t="shared" ref="F4:F19" si="0">+V4-SUM(C4:E4)</f>
        <v>214.89499999999998</v>
      </c>
      <c r="G4" s="3">
        <v>178.517</v>
      </c>
      <c r="H4" s="3">
        <v>140.70500000000001</v>
      </c>
      <c r="I4" s="3">
        <v>243.89099999999999</v>
      </c>
      <c r="J4" s="3">
        <f t="shared" ref="J4:J8" si="1">+W4-SUM(G4:I4)</f>
        <v>231.68400000000008</v>
      </c>
      <c r="K4" s="3">
        <v>186.18700000000001</v>
      </c>
      <c r="L4" s="3">
        <v>146.381</v>
      </c>
      <c r="M4" s="3">
        <v>277.70699999999999</v>
      </c>
      <c r="N4" s="3"/>
      <c r="O4" s="3"/>
      <c r="P4" s="3"/>
      <c r="Q4" s="3"/>
      <c r="R4" s="3"/>
      <c r="S4" s="3"/>
      <c r="T4" s="3">
        <v>466.66800000000001</v>
      </c>
      <c r="U4" s="3">
        <v>598.66399999999999</v>
      </c>
      <c r="V4" s="3">
        <v>716.68700000000001</v>
      </c>
      <c r="W4" s="3">
        <v>794.79700000000003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x14ac:dyDescent="0.2">
      <c r="B5" s="2" t="s">
        <v>27</v>
      </c>
      <c r="C5" s="3">
        <v>181.453</v>
      </c>
      <c r="D5" s="3">
        <v>254.04599999999999</v>
      </c>
      <c r="E5" s="3">
        <v>282.86500000000001</v>
      </c>
      <c r="F5" s="3">
        <f t="shared" si="0"/>
        <v>225.346</v>
      </c>
      <c r="G5" s="3">
        <v>210.7</v>
      </c>
      <c r="H5" s="3">
        <v>312.524</v>
      </c>
      <c r="I5" s="3">
        <v>312.26600000000002</v>
      </c>
      <c r="J5" s="3">
        <f t="shared" si="1"/>
        <v>250.18200000000002</v>
      </c>
      <c r="K5" s="3">
        <v>221.774</v>
      </c>
      <c r="L5" s="3">
        <v>324.35899999999998</v>
      </c>
      <c r="M5" s="3">
        <v>347.43400000000003</v>
      </c>
      <c r="N5" s="3"/>
      <c r="O5" s="3"/>
      <c r="P5" s="3"/>
      <c r="Q5" s="3"/>
      <c r="R5" s="3"/>
      <c r="S5" s="3"/>
      <c r="T5" s="3">
        <v>667.38699999999994</v>
      </c>
      <c r="U5" s="3">
        <v>804.69</v>
      </c>
      <c r="V5" s="3">
        <v>943.71</v>
      </c>
      <c r="W5" s="3">
        <v>1085.672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 spans="1:51" x14ac:dyDescent="0.2">
      <c r="B6" s="2" t="s">
        <v>28</v>
      </c>
      <c r="C6" s="3">
        <v>87.528000000000006</v>
      </c>
      <c r="D6" s="3">
        <v>189.51900000000001</v>
      </c>
      <c r="E6" s="3">
        <v>229.048</v>
      </c>
      <c r="F6" s="3">
        <f t="shared" si="0"/>
        <v>138.79300000000001</v>
      </c>
      <c r="G6" s="3">
        <v>102.759</v>
      </c>
      <c r="H6" s="3">
        <v>212.845</v>
      </c>
      <c r="I6" s="3">
        <v>258.60300000000001</v>
      </c>
      <c r="J6" s="3">
        <f t="shared" si="1"/>
        <v>211.02300000000002</v>
      </c>
      <c r="K6" s="3">
        <v>119.218</v>
      </c>
      <c r="L6" s="3">
        <v>235.131</v>
      </c>
      <c r="M6" s="3">
        <v>297.21699999999998</v>
      </c>
      <c r="N6" s="3"/>
      <c r="O6" s="3"/>
      <c r="P6" s="3"/>
      <c r="Q6" s="3"/>
      <c r="R6" s="3"/>
      <c r="S6" s="3"/>
      <c r="T6" s="3">
        <v>449.13099999999997</v>
      </c>
      <c r="U6" s="3">
        <v>529.50699999999995</v>
      </c>
      <c r="V6" s="3">
        <v>644.88800000000003</v>
      </c>
      <c r="W6" s="3">
        <v>785.23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spans="1:51" x14ac:dyDescent="0.2">
      <c r="B7" s="2" t="s">
        <v>29</v>
      </c>
      <c r="C7" s="3">
        <v>32.084000000000003</v>
      </c>
      <c r="D7" s="3">
        <v>36.731999999999999</v>
      </c>
      <c r="E7" s="3">
        <v>52.043999999999997</v>
      </c>
      <c r="F7" s="3">
        <f t="shared" si="0"/>
        <v>90.95</v>
      </c>
      <c r="G7" s="3">
        <v>47.103000000000002</v>
      </c>
      <c r="H7" s="3">
        <v>47.82</v>
      </c>
      <c r="I7" s="3">
        <v>63.177999999999997</v>
      </c>
      <c r="J7" s="3">
        <f t="shared" si="1"/>
        <v>63.727000000000004</v>
      </c>
      <c r="K7" s="3">
        <v>60.317999999999998</v>
      </c>
      <c r="L7" s="3">
        <v>58.561</v>
      </c>
      <c r="M7" s="3">
        <v>74.745000000000005</v>
      </c>
      <c r="N7" s="3"/>
      <c r="O7" s="3"/>
      <c r="P7" s="3"/>
      <c r="Q7" s="3"/>
      <c r="R7" s="3"/>
      <c r="S7" s="3"/>
      <c r="T7" s="3">
        <v>123.033</v>
      </c>
      <c r="U7" s="3">
        <v>152.42400000000001</v>
      </c>
      <c r="V7" s="3">
        <v>211.81</v>
      </c>
      <c r="W7" s="3">
        <v>221.828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 spans="1:51" x14ac:dyDescent="0.2">
      <c r="B8" s="2" t="s">
        <v>30</v>
      </c>
      <c r="C8" s="3">
        <v>1.859</v>
      </c>
      <c r="D8" s="3">
        <v>0.94699999999999995</v>
      </c>
      <c r="E8" s="3">
        <v>0.80100000000000005</v>
      </c>
      <c r="F8" s="3">
        <f t="shared" si="0"/>
        <v>0.67499999999999982</v>
      </c>
      <c r="G8" s="3">
        <v>1.157</v>
      </c>
      <c r="H8" s="3">
        <v>1.141</v>
      </c>
      <c r="I8" s="3">
        <v>0.995</v>
      </c>
      <c r="J8" s="3">
        <f t="shared" si="1"/>
        <v>1.4059999999999997</v>
      </c>
      <c r="K8" s="3">
        <v>0.59099999999999997</v>
      </c>
      <c r="L8" s="3">
        <v>0.28199999999999997</v>
      </c>
      <c r="M8" s="3">
        <v>0.13100000000000001</v>
      </c>
      <c r="N8" s="3"/>
      <c r="O8" s="3"/>
      <c r="P8" s="3"/>
      <c r="Q8" s="3"/>
      <c r="R8" s="3"/>
      <c r="S8" s="3"/>
      <c r="T8" s="3">
        <v>3.282</v>
      </c>
      <c r="U8" s="3">
        <v>5.29</v>
      </c>
      <c r="V8" s="3">
        <v>4.282</v>
      </c>
      <c r="W8" s="3">
        <v>4.6989999999999998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 spans="1:51" x14ac:dyDescent="0.2">
      <c r="B9" s="1" t="s">
        <v>31</v>
      </c>
      <c r="C9" s="7">
        <v>302.92399999999998</v>
      </c>
      <c r="D9" s="7">
        <v>481.24400000000003</v>
      </c>
      <c r="E9" s="7">
        <v>564.75800000000004</v>
      </c>
      <c r="F9" s="7">
        <f t="shared" ref="F9:U9" si="2">+SUM(F5:F8)</f>
        <v>455.76400000000001</v>
      </c>
      <c r="G9" s="7">
        <v>361.71899999999999</v>
      </c>
      <c r="H9" s="7">
        <v>574.33000000000004</v>
      </c>
      <c r="I9" s="7">
        <v>635.04200000000003</v>
      </c>
      <c r="J9" s="7">
        <f t="shared" si="2"/>
        <v>526.33799999999997</v>
      </c>
      <c r="K9" s="7">
        <v>401.90199999999999</v>
      </c>
      <c r="L9" s="7">
        <v>618.33299999999997</v>
      </c>
      <c r="M9" s="7">
        <v>719.52700000000004</v>
      </c>
      <c r="N9" s="7"/>
      <c r="O9" s="7"/>
      <c r="P9" s="7">
        <f t="shared" si="2"/>
        <v>0</v>
      </c>
      <c r="Q9" s="7">
        <f t="shared" si="2"/>
        <v>0</v>
      </c>
      <c r="R9" s="7">
        <f t="shared" si="2"/>
        <v>0</v>
      </c>
      <c r="S9" s="7">
        <f t="shared" si="2"/>
        <v>0</v>
      </c>
      <c r="T9" s="7">
        <f t="shared" si="2"/>
        <v>1242.8329999999999</v>
      </c>
      <c r="U9" s="7">
        <f t="shared" si="2"/>
        <v>1491.9110000000001</v>
      </c>
      <c r="V9" s="7">
        <f>+SUM(V5:V8)</f>
        <v>1804.6899999999998</v>
      </c>
      <c r="W9" s="7">
        <f>+SUM(W5:W8)</f>
        <v>2097.4290000000001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 spans="1:51" x14ac:dyDescent="0.2">
      <c r="B10" s="2" t="s">
        <v>32</v>
      </c>
      <c r="C10" s="3">
        <v>118.056</v>
      </c>
      <c r="D10" s="3">
        <v>210.084</v>
      </c>
      <c r="E10" s="3">
        <v>228.833</v>
      </c>
      <c r="F10" s="3">
        <f t="shared" si="0"/>
        <v>187.04000000000008</v>
      </c>
      <c r="G10" s="3">
        <v>143.685</v>
      </c>
      <c r="H10" s="3">
        <v>242.756</v>
      </c>
      <c r="I10" s="3">
        <v>250.964</v>
      </c>
      <c r="J10" s="3">
        <f>+W10-SUM(G10:I10)</f>
        <v>220.31799999999998</v>
      </c>
      <c r="K10" s="3">
        <v>177.95599999999999</v>
      </c>
      <c r="L10" s="3">
        <v>284.77999999999997</v>
      </c>
      <c r="M10" s="3">
        <v>294.62599999999998</v>
      </c>
      <c r="N10" s="3"/>
      <c r="O10" s="3"/>
      <c r="P10" s="3"/>
      <c r="Q10" s="3"/>
      <c r="R10" s="3"/>
      <c r="S10" s="3"/>
      <c r="T10" s="3">
        <v>493.03100000000001</v>
      </c>
      <c r="U10" s="3">
        <v>566.11800000000005</v>
      </c>
      <c r="V10" s="3">
        <v>744.01300000000003</v>
      </c>
      <c r="W10" s="3">
        <v>857.72299999999996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 spans="1:51" x14ac:dyDescent="0.2">
      <c r="B11" s="2" t="s">
        <v>33</v>
      </c>
      <c r="C11" s="3">
        <f t="shared" ref="C11:M11" si="3">+C9-C10</f>
        <v>184.86799999999999</v>
      </c>
      <c r="D11" s="3">
        <f t="shared" si="3"/>
        <v>271.16000000000003</v>
      </c>
      <c r="E11" s="3">
        <f t="shared" si="3"/>
        <v>335.92500000000007</v>
      </c>
      <c r="F11" s="3">
        <f t="shared" si="3"/>
        <v>268.72399999999993</v>
      </c>
      <c r="G11" s="3">
        <f t="shared" si="3"/>
        <v>218.03399999999999</v>
      </c>
      <c r="H11" s="3">
        <f t="shared" si="3"/>
        <v>331.57400000000007</v>
      </c>
      <c r="I11" s="3">
        <f t="shared" si="3"/>
        <v>384.07800000000003</v>
      </c>
      <c r="J11" s="3">
        <f t="shared" si="3"/>
        <v>306.02</v>
      </c>
      <c r="K11" s="3">
        <f t="shared" si="3"/>
        <v>223.946</v>
      </c>
      <c r="L11" s="3">
        <f t="shared" si="3"/>
        <v>333.553</v>
      </c>
      <c r="M11" s="3">
        <f t="shared" si="3"/>
        <v>424.90100000000007</v>
      </c>
      <c r="N11" s="3"/>
      <c r="O11" s="3"/>
      <c r="P11" s="3">
        <f t="shared" ref="P11:U11" si="4">+P9-P10</f>
        <v>0</v>
      </c>
      <c r="Q11" s="3">
        <f t="shared" si="4"/>
        <v>0</v>
      </c>
      <c r="R11" s="3">
        <f t="shared" si="4"/>
        <v>0</v>
      </c>
      <c r="S11" s="3">
        <f t="shared" si="4"/>
        <v>0</v>
      </c>
      <c r="T11" s="3">
        <f t="shared" si="4"/>
        <v>749.80199999999991</v>
      </c>
      <c r="U11" s="3">
        <f t="shared" si="4"/>
        <v>925.79300000000001</v>
      </c>
      <c r="V11" s="3">
        <f>+V9-V10</f>
        <v>1060.6769999999997</v>
      </c>
      <c r="W11" s="3">
        <f t="shared" ref="W11" si="5">+W9-W10</f>
        <v>1239.7060000000001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 spans="1:51" x14ac:dyDescent="0.2">
      <c r="B12" s="2" t="s">
        <v>34</v>
      </c>
      <c r="C12" s="3">
        <v>103.48399999999999</v>
      </c>
      <c r="D12" s="3">
        <v>113.155</v>
      </c>
      <c r="E12" s="3">
        <v>149.185</v>
      </c>
      <c r="F12" s="3">
        <f t="shared" si="0"/>
        <v>141.298</v>
      </c>
      <c r="G12" s="3">
        <v>118.155</v>
      </c>
      <c r="H12" s="3">
        <v>126.501</v>
      </c>
      <c r="I12" s="3">
        <v>162.77099999999999</v>
      </c>
      <c r="J12" s="3">
        <f>+W12-SUM(G12:I12)</f>
        <v>156.23900000000003</v>
      </c>
      <c r="K12" s="3">
        <v>125.58</v>
      </c>
      <c r="L12" s="3">
        <v>138.31100000000001</v>
      </c>
      <c r="M12" s="3">
        <v>186.00800000000001</v>
      </c>
      <c r="N12" s="3"/>
      <c r="O12" s="3"/>
      <c r="P12" s="3"/>
      <c r="Q12" s="3"/>
      <c r="R12" s="3"/>
      <c r="S12" s="3"/>
      <c r="T12" s="3">
        <v>347.37099999999998</v>
      </c>
      <c r="U12" s="3">
        <v>455.851</v>
      </c>
      <c r="V12" s="3">
        <v>507.12200000000001</v>
      </c>
      <c r="W12" s="3">
        <v>563.66600000000005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 spans="1:51" x14ac:dyDescent="0.2">
      <c r="B13" s="2" t="s">
        <v>36</v>
      </c>
      <c r="C13" s="3">
        <v>34.390999999999998</v>
      </c>
      <c r="D13" s="3">
        <v>19.986000000000001</v>
      </c>
      <c r="E13" s="3">
        <v>27.376999999999999</v>
      </c>
      <c r="F13" s="3">
        <f t="shared" si="0"/>
        <v>31.690000000000012</v>
      </c>
      <c r="G13" s="3">
        <v>24.103999999999999</v>
      </c>
      <c r="H13" s="3">
        <v>32.447000000000003</v>
      </c>
      <c r="I13" s="3">
        <v>32.96</v>
      </c>
      <c r="J13" s="3">
        <f>+W13-SUM(G13:I13)</f>
        <v>35.64800000000001</v>
      </c>
      <c r="K13" s="3">
        <v>29.265999999999998</v>
      </c>
      <c r="L13" s="3">
        <v>32.973999999999997</v>
      </c>
      <c r="M13" s="3">
        <v>32.518000000000001</v>
      </c>
      <c r="N13" s="3"/>
      <c r="O13" s="3"/>
      <c r="P13" s="3"/>
      <c r="Q13" s="3"/>
      <c r="R13" s="3"/>
      <c r="S13" s="3"/>
      <c r="T13" s="3">
        <v>86.588999999999999</v>
      </c>
      <c r="U13" s="3">
        <v>171.38800000000001</v>
      </c>
      <c r="V13" s="3">
        <v>113.444</v>
      </c>
      <c r="W13" s="3">
        <v>125.15900000000001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spans="1:51" x14ac:dyDescent="0.2">
      <c r="B14" s="2" t="s">
        <v>35</v>
      </c>
      <c r="C14" s="3">
        <v>11.654999999999999</v>
      </c>
      <c r="D14" s="3">
        <v>5.4829999999999997</v>
      </c>
      <c r="E14" s="3">
        <v>4.157</v>
      </c>
      <c r="F14" s="3">
        <f t="shared" si="0"/>
        <v>-1.6539999999999999</v>
      </c>
      <c r="G14" s="3">
        <v>11.871</v>
      </c>
      <c r="H14" s="3">
        <v>-2.57</v>
      </c>
      <c r="I14" s="3">
        <v>-9.5069999999999997</v>
      </c>
      <c r="J14" s="3">
        <f>+W14-SUM(G14:I14)</f>
        <v>2.1589999999999998</v>
      </c>
      <c r="K14" s="3">
        <v>3.238</v>
      </c>
      <c r="L14" s="3">
        <v>6.9530000000000003</v>
      </c>
      <c r="M14" s="3">
        <v>3.52</v>
      </c>
      <c r="N14" s="3"/>
      <c r="O14" s="3"/>
      <c r="P14" s="3"/>
      <c r="Q14" s="3"/>
      <c r="R14" s="3"/>
      <c r="S14" s="3"/>
      <c r="T14" s="3">
        <v>-45.515999999999998</v>
      </c>
      <c r="U14" s="3">
        <v>36.055999999999997</v>
      </c>
      <c r="V14" s="3">
        <v>19.640999999999998</v>
      </c>
      <c r="W14" s="3">
        <v>1.9530000000000001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 spans="1:51" x14ac:dyDescent="0.2">
      <c r="B15" s="2" t="s">
        <v>37</v>
      </c>
      <c r="C15" s="3">
        <v>0.23200000000000001</v>
      </c>
      <c r="D15" s="3">
        <v>-2.5000000000000001E-2</v>
      </c>
      <c r="E15" s="3">
        <v>0.26700000000000002</v>
      </c>
      <c r="F15" s="3">
        <f t="shared" si="0"/>
        <v>0.13799999999999996</v>
      </c>
      <c r="G15" s="3">
        <v>0.126</v>
      </c>
      <c r="H15" s="3">
        <v>0.127</v>
      </c>
      <c r="I15" s="3">
        <v>0.127</v>
      </c>
      <c r="J15" s="3">
        <f>+W15-SUM(G15:I15)</f>
        <v>0.23599999999999999</v>
      </c>
      <c r="K15" s="3">
        <v>12.472</v>
      </c>
      <c r="L15" s="3">
        <v>0.13500000000000001</v>
      </c>
      <c r="M15" s="3">
        <v>0.19600000000000001</v>
      </c>
      <c r="N15" s="3"/>
      <c r="O15" s="3"/>
      <c r="P15" s="3"/>
      <c r="Q15" s="3"/>
      <c r="R15" s="3"/>
      <c r="S15" s="3"/>
      <c r="T15" s="3">
        <v>1.669</v>
      </c>
      <c r="U15" s="3">
        <v>-1.81</v>
      </c>
      <c r="V15" s="3">
        <v>0.61199999999999999</v>
      </c>
      <c r="W15" s="3">
        <v>0.61599999999999999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spans="1:51" x14ac:dyDescent="0.2">
      <c r="B16" s="2" t="s">
        <v>38</v>
      </c>
      <c r="C16" s="3">
        <f t="shared" ref="C16:M16" si="6">+C11-SUM(C12:C14)+C15</f>
        <v>35.569999999999993</v>
      </c>
      <c r="D16" s="3">
        <f t="shared" si="6"/>
        <v>132.51100000000002</v>
      </c>
      <c r="E16" s="3">
        <f t="shared" si="6"/>
        <v>155.47300000000004</v>
      </c>
      <c r="F16" s="3">
        <f t="shared" si="6"/>
        <v>97.527999999999935</v>
      </c>
      <c r="G16" s="3">
        <f t="shared" si="6"/>
        <v>64.029999999999973</v>
      </c>
      <c r="H16" s="3">
        <f t="shared" si="6"/>
        <v>175.32300000000006</v>
      </c>
      <c r="I16" s="3">
        <f t="shared" si="6"/>
        <v>197.98100000000005</v>
      </c>
      <c r="J16" s="3">
        <f t="shared" si="6"/>
        <v>112.20999999999994</v>
      </c>
      <c r="K16" s="3">
        <f t="shared" si="6"/>
        <v>78.333999999999989</v>
      </c>
      <c r="L16" s="3">
        <f t="shared" si="6"/>
        <v>155.44999999999999</v>
      </c>
      <c r="M16" s="3">
        <f t="shared" si="6"/>
        <v>203.05100000000004</v>
      </c>
      <c r="N16" s="3"/>
      <c r="O16" s="3"/>
      <c r="P16" s="3">
        <f t="shared" ref="P16:U16" si="7">+P11-SUM(P12:P14)+P15</f>
        <v>0</v>
      </c>
      <c r="Q16" s="3">
        <f t="shared" si="7"/>
        <v>0</v>
      </c>
      <c r="R16" s="3">
        <f t="shared" si="7"/>
        <v>0</v>
      </c>
      <c r="S16" s="3">
        <f t="shared" si="7"/>
        <v>0</v>
      </c>
      <c r="T16" s="3">
        <f t="shared" si="7"/>
        <v>363.02699999999993</v>
      </c>
      <c r="U16" s="3">
        <f t="shared" si="7"/>
        <v>260.68799999999993</v>
      </c>
      <c r="V16" s="3">
        <f>+V11-SUM(V12:V14)+V15</f>
        <v>421.08199999999971</v>
      </c>
      <c r="W16" s="3">
        <f t="shared" ref="W16" si="8">+W11-SUM(W12:W14)+W15</f>
        <v>549.5440000000001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</row>
    <row r="17" spans="2:51" x14ac:dyDescent="0.2">
      <c r="B17" s="2" t="s">
        <v>39</v>
      </c>
      <c r="C17" s="3">
        <v>36.049999999999997</v>
      </c>
      <c r="D17" s="3">
        <v>27.388999999999999</v>
      </c>
      <c r="E17" s="3">
        <v>44.578000000000003</v>
      </c>
      <c r="F17" s="3">
        <f t="shared" si="0"/>
        <v>19.283000000000001</v>
      </c>
      <c r="G17" s="3">
        <v>24.777999999999999</v>
      </c>
      <c r="H17" s="3">
        <v>25.611999999999998</v>
      </c>
      <c r="I17" s="3">
        <v>18.302</v>
      </c>
      <c r="J17" s="3">
        <f>+W17-SUM(G17:I17)</f>
        <v>10.871999999999986</v>
      </c>
      <c r="K17" s="3">
        <v>9.1489999999999991</v>
      </c>
      <c r="L17" s="3">
        <v>33.805</v>
      </c>
      <c r="M17" s="3">
        <v>43.009</v>
      </c>
      <c r="N17" s="3"/>
      <c r="O17" s="3"/>
      <c r="P17" s="3"/>
      <c r="Q17" s="3"/>
      <c r="R17" s="3"/>
      <c r="S17" s="3"/>
      <c r="T17" s="3">
        <v>112.503</v>
      </c>
      <c r="U17" s="3">
        <v>107.036</v>
      </c>
      <c r="V17" s="3">
        <v>127.3</v>
      </c>
      <c r="W17" s="3">
        <v>79.563999999999993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</row>
    <row r="18" spans="2:51" x14ac:dyDescent="0.2">
      <c r="B18" s="2" t="s">
        <v>40</v>
      </c>
      <c r="C18" s="3">
        <f t="shared" ref="C18:M18" si="9">+C16-C17</f>
        <v>-0.48000000000000398</v>
      </c>
      <c r="D18" s="3">
        <f t="shared" si="9"/>
        <v>105.12200000000003</v>
      </c>
      <c r="E18" s="3">
        <f t="shared" si="9"/>
        <v>110.89500000000004</v>
      </c>
      <c r="F18" s="3">
        <f t="shared" si="9"/>
        <v>78.244999999999933</v>
      </c>
      <c r="G18" s="3">
        <f t="shared" si="9"/>
        <v>39.251999999999974</v>
      </c>
      <c r="H18" s="3">
        <f t="shared" si="9"/>
        <v>149.71100000000007</v>
      </c>
      <c r="I18" s="3">
        <f t="shared" si="9"/>
        <v>179.67900000000006</v>
      </c>
      <c r="J18" s="3">
        <f t="shared" si="9"/>
        <v>101.33799999999995</v>
      </c>
      <c r="K18" s="3">
        <f t="shared" si="9"/>
        <v>69.184999999999988</v>
      </c>
      <c r="L18" s="3">
        <f t="shared" si="9"/>
        <v>121.64499999999998</v>
      </c>
      <c r="M18" s="3">
        <f t="shared" si="9"/>
        <v>160.04200000000003</v>
      </c>
      <c r="N18" s="3"/>
      <c r="O18" s="3"/>
      <c r="P18" s="3">
        <f t="shared" ref="P18" si="10">+P16-P17</f>
        <v>0</v>
      </c>
      <c r="Q18" s="3">
        <f t="shared" ref="Q18:U18" si="11">+Q16-Q17</f>
        <v>0</v>
      </c>
      <c r="R18" s="3">
        <f t="shared" si="11"/>
        <v>0</v>
      </c>
      <c r="S18" s="3">
        <f t="shared" si="11"/>
        <v>0</v>
      </c>
      <c r="T18" s="3">
        <f t="shared" si="11"/>
        <v>250.52399999999994</v>
      </c>
      <c r="U18" s="3">
        <f t="shared" si="11"/>
        <v>153.65199999999993</v>
      </c>
      <c r="V18" s="3">
        <f>+V16-V17</f>
        <v>293.7819999999997</v>
      </c>
      <c r="W18" s="3">
        <f t="shared" ref="W18" si="12">+W16-W17</f>
        <v>469.98000000000013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 spans="2:51" x14ac:dyDescent="0.2">
      <c r="B19" s="2" t="s">
        <v>41</v>
      </c>
      <c r="C19" s="3">
        <v>6.6740000000000004</v>
      </c>
      <c r="D19" s="3">
        <v>33.47</v>
      </c>
      <c r="E19" s="3">
        <v>36.225499999999997</v>
      </c>
      <c r="F19" s="3">
        <f t="shared" si="0"/>
        <v>25.810500000000019</v>
      </c>
      <c r="G19" s="3">
        <v>19.132999999999999</v>
      </c>
      <c r="H19" s="3">
        <v>44.597999999999999</v>
      </c>
      <c r="I19" s="3">
        <v>50.451000000000001</v>
      </c>
      <c r="J19" s="3">
        <f>+W19-SUM(G19:I19)</f>
        <v>7.4710000000000178</v>
      </c>
      <c r="K19" s="3">
        <v>18.626999999999999</v>
      </c>
      <c r="L19" s="3">
        <v>39.762</v>
      </c>
      <c r="M19" s="3">
        <v>50.459000000000003</v>
      </c>
      <c r="N19" s="3"/>
      <c r="O19" s="3"/>
      <c r="P19" s="3"/>
      <c r="Q19" s="3"/>
      <c r="R19" s="3"/>
      <c r="S19" s="3"/>
      <c r="T19" s="3">
        <v>63.412999999999997</v>
      </c>
      <c r="U19" s="3">
        <v>78.63</v>
      </c>
      <c r="V19" s="3">
        <v>102.18</v>
      </c>
      <c r="W19" s="3">
        <v>121.65300000000001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 spans="2:51" x14ac:dyDescent="0.2">
      <c r="B20" s="2" t="s">
        <v>42</v>
      </c>
      <c r="C20" s="3">
        <f t="shared" ref="C20:M20" si="13">+C18-C19</f>
        <v>-7.1540000000000044</v>
      </c>
      <c r="D20" s="3">
        <f t="shared" si="13"/>
        <v>71.652000000000029</v>
      </c>
      <c r="E20" s="3">
        <f t="shared" si="13"/>
        <v>74.669500000000042</v>
      </c>
      <c r="F20" s="3">
        <f t="shared" si="13"/>
        <v>52.434499999999915</v>
      </c>
      <c r="G20" s="3">
        <f t="shared" si="13"/>
        <v>20.118999999999975</v>
      </c>
      <c r="H20" s="3">
        <f t="shared" si="13"/>
        <v>105.11300000000007</v>
      </c>
      <c r="I20" s="3">
        <f t="shared" si="13"/>
        <v>129.22800000000007</v>
      </c>
      <c r="J20" s="3">
        <f t="shared" si="13"/>
        <v>93.866999999999933</v>
      </c>
      <c r="K20" s="3">
        <f t="shared" si="13"/>
        <v>50.557999999999993</v>
      </c>
      <c r="L20" s="3">
        <f t="shared" si="13"/>
        <v>81.882999999999981</v>
      </c>
      <c r="M20" s="3">
        <f t="shared" si="13"/>
        <v>109.58300000000003</v>
      </c>
      <c r="N20" s="3"/>
      <c r="O20" s="3"/>
      <c r="P20" s="3">
        <f t="shared" ref="P20:U20" si="14">+P18-P19</f>
        <v>0</v>
      </c>
      <c r="Q20" s="3">
        <f t="shared" si="14"/>
        <v>0</v>
      </c>
      <c r="R20" s="3">
        <f t="shared" si="14"/>
        <v>0</v>
      </c>
      <c r="S20" s="3">
        <f t="shared" si="14"/>
        <v>0</v>
      </c>
      <c r="T20" s="3">
        <f t="shared" si="14"/>
        <v>187.11099999999993</v>
      </c>
      <c r="U20" s="3">
        <f t="shared" si="14"/>
        <v>75.021999999999935</v>
      </c>
      <c r="V20" s="3">
        <f>+V18-V19</f>
        <v>191.60199999999969</v>
      </c>
      <c r="W20" s="3">
        <f t="shared" ref="W20" si="15">+W18-W19</f>
        <v>348.32700000000011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 spans="2:51" x14ac:dyDescent="0.2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 spans="2:51" x14ac:dyDescent="0.2">
      <c r="B22" s="2" t="s">
        <v>43</v>
      </c>
      <c r="C22" s="8">
        <f t="shared" ref="C22:M22" si="16">+C20/C23</f>
        <v>-3.8273026460271399E-2</v>
      </c>
      <c r="D22" s="8">
        <f t="shared" si="16"/>
        <v>0.38148156083011325</v>
      </c>
      <c r="E22" s="8">
        <f t="shared" si="16"/>
        <v>0.39754309164107926</v>
      </c>
      <c r="F22" s="8">
        <f t="shared" si="16"/>
        <v>0.2795025571436256</v>
      </c>
      <c r="G22" s="8">
        <f t="shared" si="16"/>
        <v>0.10711326985246934</v>
      </c>
      <c r="H22" s="8">
        <f t="shared" si="16"/>
        <v>0.55962011700395797</v>
      </c>
      <c r="I22" s="8">
        <f t="shared" si="16"/>
        <v>0.6929882882147882</v>
      </c>
      <c r="J22" s="8">
        <f t="shared" si="16"/>
        <v>0.50328803914343101</v>
      </c>
      <c r="K22" s="8">
        <f t="shared" si="16"/>
        <v>0.27491209968637459</v>
      </c>
      <c r="L22" s="8">
        <f t="shared" si="16"/>
        <v>0.44524363025870112</v>
      </c>
      <c r="M22" s="8">
        <f t="shared" si="16"/>
        <v>0.59586401004652079</v>
      </c>
      <c r="N22" s="8"/>
      <c r="O22" s="3"/>
      <c r="P22" s="8" t="e">
        <f>+P20/P23</f>
        <v>#DIV/0!</v>
      </c>
      <c r="Q22" s="8" t="e">
        <f t="shared" ref="Q22:U22" si="17">+Q20/Q23</f>
        <v>#DIV/0!</v>
      </c>
      <c r="R22" s="8" t="e">
        <f t="shared" si="17"/>
        <v>#DIV/0!</v>
      </c>
      <c r="S22" s="8" t="e">
        <f t="shared" si="17"/>
        <v>#DIV/0!</v>
      </c>
      <c r="T22" s="8">
        <f t="shared" si="17"/>
        <v>1.0240236323973686</v>
      </c>
      <c r="U22" s="8">
        <f t="shared" si="17"/>
        <v>0.41058142466084485</v>
      </c>
      <c r="V22" s="8">
        <f>+V20/V23</f>
        <v>1.0213361232362843</v>
      </c>
      <c r="W22" s="8">
        <f>+W20/W23</f>
        <v>1.8676298679058039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spans="2:51" x14ac:dyDescent="0.2">
      <c r="B23" s="2" t="s">
        <v>20</v>
      </c>
      <c r="C23" s="3">
        <v>186.920154</v>
      </c>
      <c r="D23" s="3">
        <v>187.825592</v>
      </c>
      <c r="E23" s="3">
        <v>187.827437</v>
      </c>
      <c r="F23" s="3">
        <f>+V23</f>
        <v>187.599357</v>
      </c>
      <c r="G23" s="3">
        <v>187.82920200000001</v>
      </c>
      <c r="H23" s="3">
        <v>187.82920200000001</v>
      </c>
      <c r="I23" s="3">
        <v>186.479342</v>
      </c>
      <c r="J23" s="3">
        <v>186.50751199999999</v>
      </c>
      <c r="K23" s="3">
        <v>183.90605600000001</v>
      </c>
      <c r="L23" s="3">
        <v>183.90605600000001</v>
      </c>
      <c r="M23" s="3">
        <v>183.90605600000001</v>
      </c>
      <c r="N23" s="3"/>
      <c r="O23" s="3"/>
      <c r="P23" s="3"/>
      <c r="Q23" s="3"/>
      <c r="R23" s="3"/>
      <c r="S23" s="3"/>
      <c r="T23" s="3">
        <v>182.72136900000001</v>
      </c>
      <c r="U23" s="3">
        <v>182.72136900000001</v>
      </c>
      <c r="V23" s="3">
        <v>187.599357</v>
      </c>
      <c r="W23" s="3">
        <v>186.50751199999999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spans="2:51" x14ac:dyDescent="0.2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spans="2:51" x14ac:dyDescent="0.2">
      <c r="B25" s="2" t="s">
        <v>45</v>
      </c>
      <c r="C25" s="3"/>
      <c r="D25" s="3"/>
      <c r="E25" s="3"/>
      <c r="F25" s="3"/>
      <c r="G25" s="9">
        <f>+G5/C5-1</f>
        <v>0.16118223451802938</v>
      </c>
      <c r="H25" s="9">
        <f t="shared" ref="H25:M27" si="18">+H5/D5-1</f>
        <v>0.23018665910898028</v>
      </c>
      <c r="I25" s="9">
        <f t="shared" si="18"/>
        <v>0.10394004206953844</v>
      </c>
      <c r="J25" s="9">
        <f t="shared" si="18"/>
        <v>0.11021273952055965</v>
      </c>
      <c r="K25" s="9">
        <f t="shared" si="18"/>
        <v>5.2558139534883752E-2</v>
      </c>
      <c r="L25" s="9">
        <f t="shared" si="18"/>
        <v>3.7869091653760956E-2</v>
      </c>
      <c r="M25" s="9">
        <f t="shared" si="18"/>
        <v>0.11262193130215903</v>
      </c>
      <c r="N25" s="9"/>
      <c r="O25" s="3"/>
      <c r="P25" s="3"/>
      <c r="Q25" s="9" t="e">
        <f t="shared" ref="Q25:U27" si="19">+Q5/P5-1</f>
        <v>#DIV/0!</v>
      </c>
      <c r="R25" s="9" t="e">
        <f t="shared" si="19"/>
        <v>#DIV/0!</v>
      </c>
      <c r="S25" s="9" t="e">
        <f t="shared" si="19"/>
        <v>#DIV/0!</v>
      </c>
      <c r="T25" s="9" t="e">
        <f t="shared" si="19"/>
        <v>#DIV/0!</v>
      </c>
      <c r="U25" s="9">
        <f t="shared" si="19"/>
        <v>0.20573220635103784</v>
      </c>
      <c r="V25" s="9">
        <f>+V5/U5-1</f>
        <v>0.17276218170972668</v>
      </c>
      <c r="W25" s="9">
        <f>+W5/V5-1</f>
        <v>0.15042968708607507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spans="2:51" x14ac:dyDescent="0.2">
      <c r="B26" s="2" t="s">
        <v>46</v>
      </c>
      <c r="C26" s="3"/>
      <c r="D26" s="3"/>
      <c r="E26" s="3"/>
      <c r="F26" s="3"/>
      <c r="G26" s="9">
        <f t="shared" ref="G26:G27" si="20">+G6/C6-1</f>
        <v>0.17401288730463382</v>
      </c>
      <c r="H26" s="9">
        <f t="shared" si="18"/>
        <v>0.12308000780924333</v>
      </c>
      <c r="I26" s="9">
        <f t="shared" si="18"/>
        <v>0.12903408892459223</v>
      </c>
      <c r="J26" s="9">
        <f t="shared" si="18"/>
        <v>0.52041529471947445</v>
      </c>
      <c r="K26" s="9">
        <f t="shared" si="18"/>
        <v>0.16017088527525569</v>
      </c>
      <c r="L26" s="9">
        <f t="shared" si="18"/>
        <v>0.10470530198031436</v>
      </c>
      <c r="M26" s="9">
        <f t="shared" si="18"/>
        <v>0.14931767999597834</v>
      </c>
      <c r="N26" s="9"/>
      <c r="O26" s="3"/>
      <c r="P26" s="3"/>
      <c r="Q26" s="9" t="e">
        <f t="shared" si="19"/>
        <v>#DIV/0!</v>
      </c>
      <c r="R26" s="9" t="e">
        <f t="shared" si="19"/>
        <v>#DIV/0!</v>
      </c>
      <c r="S26" s="9" t="e">
        <f t="shared" si="19"/>
        <v>#DIV/0!</v>
      </c>
      <c r="T26" s="9" t="e">
        <f t="shared" si="19"/>
        <v>#DIV/0!</v>
      </c>
      <c r="U26" s="9">
        <f t="shared" si="19"/>
        <v>0.17895892289777371</v>
      </c>
      <c r="V26" s="9">
        <f t="shared" ref="V26:W27" si="21">+V6/U6-1</f>
        <v>0.21790269061598821</v>
      </c>
      <c r="W26" s="9">
        <f t="shared" si="21"/>
        <v>0.21762228479984125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2:51" x14ac:dyDescent="0.2">
      <c r="B27" s="2" t="s">
        <v>47</v>
      </c>
      <c r="C27" s="3"/>
      <c r="D27" s="3"/>
      <c r="E27" s="3"/>
      <c r="F27" s="3"/>
      <c r="G27" s="9">
        <f t="shared" si="20"/>
        <v>0.46811494826081534</v>
      </c>
      <c r="H27" s="9">
        <f t="shared" si="18"/>
        <v>0.30186213655668093</v>
      </c>
      <c r="I27" s="9">
        <f t="shared" si="18"/>
        <v>0.21393436323111215</v>
      </c>
      <c r="J27" s="9">
        <f t="shared" si="18"/>
        <v>-0.29931830676195714</v>
      </c>
      <c r="K27" s="9">
        <f t="shared" si="18"/>
        <v>0.28055537863830327</v>
      </c>
      <c r="L27" s="9">
        <f t="shared" si="18"/>
        <v>0.2246131325805103</v>
      </c>
      <c r="M27" s="9">
        <f t="shared" si="18"/>
        <v>0.18308588432682282</v>
      </c>
      <c r="N27" s="9"/>
      <c r="O27" s="3"/>
      <c r="P27" s="3"/>
      <c r="Q27" s="9" t="e">
        <f t="shared" si="19"/>
        <v>#DIV/0!</v>
      </c>
      <c r="R27" s="9" t="e">
        <f t="shared" si="19"/>
        <v>#DIV/0!</v>
      </c>
      <c r="S27" s="9" t="e">
        <f t="shared" si="19"/>
        <v>#DIV/0!</v>
      </c>
      <c r="T27" s="9" t="e">
        <f t="shared" si="19"/>
        <v>#DIV/0!</v>
      </c>
      <c r="U27" s="9">
        <f t="shared" si="19"/>
        <v>0.23888712784374921</v>
      </c>
      <c r="V27" s="9">
        <f t="shared" si="21"/>
        <v>0.38961056001679517</v>
      </c>
      <c r="W27" s="9">
        <f t="shared" si="21"/>
        <v>4.7297105896794367E-2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spans="2:51" x14ac:dyDescent="0.2">
      <c r="B28" s="1" t="s">
        <v>48</v>
      </c>
      <c r="C28" s="7"/>
      <c r="D28" s="7"/>
      <c r="E28" s="7"/>
      <c r="F28" s="7"/>
      <c r="G28" s="10">
        <f t="shared" ref="G28:M28" si="22">+G9/C9-1</f>
        <v>0.19409158732883491</v>
      </c>
      <c r="H28" s="10">
        <f t="shared" si="22"/>
        <v>0.19342786611365548</v>
      </c>
      <c r="I28" s="10">
        <f t="shared" si="22"/>
        <v>0.12444976432383426</v>
      </c>
      <c r="J28" s="10">
        <f t="shared" si="22"/>
        <v>0.1548476843278539</v>
      </c>
      <c r="K28" s="10">
        <f t="shared" si="22"/>
        <v>0.1110889944957274</v>
      </c>
      <c r="L28" s="10">
        <f t="shared" si="22"/>
        <v>7.6616231086657383E-2</v>
      </c>
      <c r="M28" s="10">
        <f t="shared" si="22"/>
        <v>0.13303844470129533</v>
      </c>
      <c r="N28" s="10"/>
      <c r="O28" s="7"/>
      <c r="P28" s="7"/>
      <c r="Q28" s="10" t="e">
        <f t="shared" ref="Q28:W28" si="23">+Q9/P9-1</f>
        <v>#DIV/0!</v>
      </c>
      <c r="R28" s="10" t="e">
        <f t="shared" si="23"/>
        <v>#DIV/0!</v>
      </c>
      <c r="S28" s="10" t="e">
        <f t="shared" si="23"/>
        <v>#DIV/0!</v>
      </c>
      <c r="T28" s="10" t="e">
        <f t="shared" si="23"/>
        <v>#DIV/0!</v>
      </c>
      <c r="U28" s="10">
        <f t="shared" si="23"/>
        <v>0.20041147925747071</v>
      </c>
      <c r="V28" s="10">
        <f t="shared" si="23"/>
        <v>0.20964990538979866</v>
      </c>
      <c r="W28" s="10">
        <f t="shared" si="23"/>
        <v>0.16221013027168119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 spans="2:51" x14ac:dyDescent="0.2">
      <c r="B29" s="2" t="s">
        <v>49</v>
      </c>
      <c r="C29" s="9">
        <f t="shared" ref="C29:F29" si="24">+C11/C9</f>
        <v>0.61027848569278109</v>
      </c>
      <c r="D29" s="9">
        <f t="shared" si="24"/>
        <v>0.56345637556000705</v>
      </c>
      <c r="E29" s="9">
        <f t="shared" si="24"/>
        <v>0.59481229128228386</v>
      </c>
      <c r="F29" s="9">
        <f t="shared" si="24"/>
        <v>0.58961216770082747</v>
      </c>
      <c r="G29" s="9">
        <f t="shared" ref="G29:L29" si="25">+G11/G9</f>
        <v>0.60277176482297035</v>
      </c>
      <c r="H29" s="9">
        <f t="shared" si="25"/>
        <v>0.57732314174777577</v>
      </c>
      <c r="I29" s="9">
        <f t="shared" si="25"/>
        <v>0.60480724109586459</v>
      </c>
      <c r="J29" s="9">
        <f t="shared" si="25"/>
        <v>0.58141346435180441</v>
      </c>
      <c r="K29" s="9">
        <f t="shared" si="25"/>
        <v>0.55721544058004191</v>
      </c>
      <c r="L29" s="9">
        <f t="shared" si="25"/>
        <v>0.53943910481892443</v>
      </c>
      <c r="M29" s="9">
        <f t="shared" ref="M29" si="26">+M11/M9</f>
        <v>0.59052822201251665</v>
      </c>
      <c r="N29" s="9"/>
      <c r="O29" s="3"/>
      <c r="P29" s="9" t="e">
        <f t="shared" ref="P29:W29" si="27">+P11/P9</f>
        <v>#DIV/0!</v>
      </c>
      <c r="Q29" s="9" t="e">
        <f t="shared" si="27"/>
        <v>#DIV/0!</v>
      </c>
      <c r="R29" s="9" t="e">
        <f t="shared" si="27"/>
        <v>#DIV/0!</v>
      </c>
      <c r="S29" s="9" t="e">
        <f t="shared" si="27"/>
        <v>#DIV/0!</v>
      </c>
      <c r="T29" s="9">
        <f t="shared" si="27"/>
        <v>0.60330068480640597</v>
      </c>
      <c r="U29" s="9">
        <f t="shared" si="27"/>
        <v>0.62054170791689311</v>
      </c>
      <c r="V29" s="9">
        <f t="shared" si="27"/>
        <v>0.58773362738198787</v>
      </c>
      <c r="W29" s="9">
        <f t="shared" si="27"/>
        <v>0.59105981656590045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 spans="2:51" x14ac:dyDescent="0.2">
      <c r="B30" s="2" t="s">
        <v>50</v>
      </c>
      <c r="C30" s="9">
        <f t="shared" ref="C30:F30" si="28">+C16/C9</f>
        <v>0.11742219170485005</v>
      </c>
      <c r="D30" s="9">
        <f t="shared" si="28"/>
        <v>0.27535096541463377</v>
      </c>
      <c r="E30" s="9">
        <f t="shared" si="28"/>
        <v>0.27529136373455537</v>
      </c>
      <c r="F30" s="9">
        <f t="shared" si="28"/>
        <v>0.21398794112742545</v>
      </c>
      <c r="G30" s="9">
        <f t="shared" ref="G30:L30" si="29">+G16/G9</f>
        <v>0.177015860377807</v>
      </c>
      <c r="H30" s="9">
        <f t="shared" si="29"/>
        <v>0.30526526561384582</v>
      </c>
      <c r="I30" s="9">
        <f t="shared" si="29"/>
        <v>0.31176048198386885</v>
      </c>
      <c r="J30" s="9">
        <f t="shared" si="29"/>
        <v>0.21319000338185717</v>
      </c>
      <c r="K30" s="9">
        <f t="shared" si="29"/>
        <v>0.19490821145453366</v>
      </c>
      <c r="L30" s="9">
        <f t="shared" si="29"/>
        <v>0.25140175277722521</v>
      </c>
      <c r="M30" s="9">
        <f t="shared" ref="M30" si="30">+M16/M9</f>
        <v>0.28220066793879872</v>
      </c>
      <c r="N30" s="9"/>
      <c r="O30" s="3"/>
      <c r="P30" s="9" t="e">
        <f t="shared" ref="P30:W30" si="31">+P16/P9</f>
        <v>#DIV/0!</v>
      </c>
      <c r="Q30" s="9" t="e">
        <f t="shared" si="31"/>
        <v>#DIV/0!</v>
      </c>
      <c r="R30" s="9" t="e">
        <f t="shared" si="31"/>
        <v>#DIV/0!</v>
      </c>
      <c r="S30" s="9" t="e">
        <f t="shared" si="31"/>
        <v>#DIV/0!</v>
      </c>
      <c r="T30" s="9">
        <f t="shared" si="31"/>
        <v>0.29209636371097319</v>
      </c>
      <c r="U30" s="9">
        <f t="shared" si="31"/>
        <v>0.17473428374748889</v>
      </c>
      <c r="V30" s="9">
        <f t="shared" si="31"/>
        <v>0.23332649928796623</v>
      </c>
      <c r="W30" s="9">
        <f t="shared" si="31"/>
        <v>0.26200839217918703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 spans="2:51" x14ac:dyDescent="0.2">
      <c r="B31" s="2" t="s">
        <v>51</v>
      </c>
      <c r="C31" s="9">
        <f t="shared" ref="C31:F31" si="32">+C19/C18</f>
        <v>-13.904166666666551</v>
      </c>
      <c r="D31" s="9">
        <f t="shared" si="32"/>
        <v>0.31839196362321864</v>
      </c>
      <c r="E31" s="9">
        <f t="shared" si="32"/>
        <v>0.3266648631588438</v>
      </c>
      <c r="F31" s="9">
        <f t="shared" si="32"/>
        <v>0.32986772317720037</v>
      </c>
      <c r="G31" s="9">
        <f t="shared" ref="G31:L31" si="33">+G19/G18</f>
        <v>0.48744013043921358</v>
      </c>
      <c r="H31" s="9">
        <f t="shared" si="33"/>
        <v>0.29789394232888683</v>
      </c>
      <c r="I31" s="9">
        <f t="shared" si="33"/>
        <v>0.28078406491576635</v>
      </c>
      <c r="J31" s="9">
        <f t="shared" si="33"/>
        <v>7.3723578519410499E-2</v>
      </c>
      <c r="K31" s="9">
        <f t="shared" si="33"/>
        <v>0.26923466069234664</v>
      </c>
      <c r="L31" s="9">
        <f t="shared" si="33"/>
        <v>0.32686916848205849</v>
      </c>
      <c r="M31" s="9">
        <f t="shared" ref="M31" si="34">+M19/M18</f>
        <v>0.31528598742830005</v>
      </c>
      <c r="N31" s="9"/>
      <c r="O31" s="3"/>
      <c r="P31" s="9" t="e">
        <f t="shared" ref="P31:W31" si="35">+P19/P18</f>
        <v>#DIV/0!</v>
      </c>
      <c r="Q31" s="9" t="e">
        <f t="shared" si="35"/>
        <v>#DIV/0!</v>
      </c>
      <c r="R31" s="9" t="e">
        <f t="shared" si="35"/>
        <v>#DIV/0!</v>
      </c>
      <c r="S31" s="9" t="e">
        <f t="shared" si="35"/>
        <v>#DIV/0!</v>
      </c>
      <c r="T31" s="9">
        <f t="shared" si="35"/>
        <v>0.25312145742523673</v>
      </c>
      <c r="U31" s="9">
        <f t="shared" si="35"/>
        <v>0.51174081691094186</v>
      </c>
      <c r="V31" s="9">
        <f t="shared" si="35"/>
        <v>0.34780891953897825</v>
      </c>
      <c r="W31" s="9">
        <f t="shared" si="35"/>
        <v>0.25884718498659509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spans="2:51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spans="3:51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spans="3:51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 spans="3:51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spans="3:51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3:51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3:51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3:51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3:51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spans="3:51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3:51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3:51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3:51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3:51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3:51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3:51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3:51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spans="3:51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3:51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spans="3:51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3:51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3:51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3:51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3:51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spans="3:51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3:51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3:51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3:51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3:51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spans="3:51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spans="3:51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spans="3:51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spans="3:51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spans="3:51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spans="3:51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3:51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3:51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3:51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3:51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3:51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3:51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3:51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3:51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3:51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3:51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3:51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3:51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3:51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3:51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3:51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3:51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3:51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3:51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3:51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3:51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3:51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3:51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3:51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3:51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3:51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3:51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3:51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3:51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3:51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3:51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3:51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3:51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3:51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3:51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3:51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3:51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3:51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3:51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3:51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3:51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3:51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3:51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3:51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3:51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3:51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3:51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3:51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3:51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3:51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3:51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3:51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3:51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3:51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3:51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3:51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3:51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3:51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3:51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3:51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3:51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3:51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3:51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3:51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3:51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3:51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3:51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3:51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3:51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3:51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3:51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3:51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3:51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3:51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3:51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3:51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3:51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3:51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3:51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3:51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3:51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3:51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3:51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3:51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3:51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3:51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3:51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3:51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3:51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3:51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3:51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3:51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3:51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3:51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3:51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3:51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3:51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3:51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3:51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3:51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3:51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3:51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3:51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3:51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3:51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3:51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3:51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3:51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3:51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3:51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3:51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3:51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3:51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3:51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3:51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3:51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3:51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3:51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3:51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3:51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3:51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3:51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3:51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3:51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3:51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3:51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3:51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3:51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3:51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3:51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3:51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3:51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3:51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3:51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3:51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3:51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3:51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3:51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3:51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3:51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3:51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3:51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3:51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3:51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3:51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3:51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3:51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3:51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3:51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3:51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3:51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3:51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3:51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3:51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3:51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3:51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3:51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3:51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3:51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3:51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3:51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3:51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3:51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3:51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3:51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3:51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3:51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3:51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3:51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3:51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3:51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3:51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3:51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3:51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3:51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3:51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3:51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3:51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3:51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3:51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3:51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3:51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3:51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3:51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3:51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3:51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3:51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3:51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3:51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3:51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3:51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3:51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3:51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3:51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3:51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3:51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3:51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3:51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3:51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3:51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3:51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3:51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3:51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3:51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3:51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3:51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3:51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3:51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3:51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3:51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3:51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3:51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3:51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3:51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3:51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3:51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3:51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3:51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3:51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3:51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3:51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3:51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3:51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3:51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3:51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3:51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3:51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3:51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3:51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3:51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3:51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3:51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3:51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3:51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3:51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3:51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3:51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3:51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3:51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3:51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3:51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3:51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3:51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3:51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3:51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3:51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3:51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3:51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3:51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3:51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</sheetData>
  <hyperlinks>
    <hyperlink ref="A1" location="Main!A1" display="Main" xr:uid="{245417BE-B86B-4955-B496-68D380313D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2025-01-30T13:16:26Z</dcterms:created>
  <dcterms:modified xsi:type="dcterms:W3CDTF">2026-08-14T09:46:13Z</dcterms:modified>
</cp:coreProperties>
</file>