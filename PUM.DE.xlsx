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5DF26DAD-30CF-443E-9221-177DF5A52A81}" xr6:coauthVersionLast="47" xr6:coauthVersionMax="47" xr10:uidLastSave="{00000000-0000-0000-0000-000000000000}"/>
  <bookViews>
    <workbookView xWindow="19095" yWindow="0" windowWidth="19410" windowHeight="20985" xr2:uid="{DF056538-1695-47DF-BC32-BA7DD1F9A83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2" l="1"/>
  <c r="P29" i="2"/>
  <c r="P28" i="2"/>
  <c r="P27" i="2"/>
  <c r="P24" i="2"/>
  <c r="P22" i="2"/>
  <c r="P20" i="2"/>
  <c r="P18" i="2"/>
  <c r="L15" i="2"/>
  <c r="P15" i="2"/>
  <c r="P16" i="2"/>
  <c r="P13" i="2"/>
  <c r="L13" i="2"/>
  <c r="O30" i="2"/>
  <c r="O29" i="2"/>
  <c r="O28" i="2"/>
  <c r="O27" i="2"/>
  <c r="I6" i="1"/>
  <c r="O24" i="2"/>
  <c r="O22" i="2"/>
  <c r="O20" i="2"/>
  <c r="O15" i="2"/>
  <c r="O16" i="2"/>
  <c r="O18" i="2" s="1"/>
  <c r="O13" i="2"/>
  <c r="N19" i="2"/>
  <c r="N14" i="2"/>
  <c r="N12" i="2"/>
  <c r="N11" i="2"/>
  <c r="N10" i="2"/>
  <c r="N9" i="2"/>
  <c r="N8" i="2"/>
  <c r="N7" i="2"/>
  <c r="N6" i="2"/>
  <c r="Z5" i="2"/>
  <c r="N5" i="2" s="1"/>
  <c r="Z4" i="2"/>
  <c r="N4" i="2" s="1"/>
  <c r="Z3" i="2"/>
  <c r="N3" i="2" s="1"/>
  <c r="Z21" i="2"/>
  <c r="N21" i="2" s="1"/>
  <c r="Z15" i="2"/>
  <c r="Z13" i="2"/>
  <c r="Z16" i="2" s="1"/>
  <c r="Z18" i="2" s="1"/>
  <c r="Z20" i="2" s="1"/>
  <c r="M27" i="2"/>
  <c r="M15" i="2"/>
  <c r="M13" i="2"/>
  <c r="I4" i="1"/>
  <c r="L27" i="2"/>
  <c r="N17" i="2"/>
  <c r="K27" i="2"/>
  <c r="K15" i="2"/>
  <c r="K13" i="2"/>
  <c r="K28" i="2" s="1"/>
  <c r="X13" i="2"/>
  <c r="X16" i="2" s="1"/>
  <c r="X18" i="2" s="1"/>
  <c r="X20" i="2" s="1"/>
  <c r="X22" i="2" s="1"/>
  <c r="X24" i="2" s="1"/>
  <c r="W13" i="2"/>
  <c r="W16" i="2" s="1"/>
  <c r="W18" i="2" s="1"/>
  <c r="W20" i="2" s="1"/>
  <c r="W22" i="2" s="1"/>
  <c r="W24" i="2" s="1"/>
  <c r="V13" i="2"/>
  <c r="V16" i="2" s="1"/>
  <c r="V18" i="2" s="1"/>
  <c r="V20" i="2" s="1"/>
  <c r="V22" i="2" s="1"/>
  <c r="V24" i="2" s="1"/>
  <c r="U13" i="2"/>
  <c r="U16" i="2" s="1"/>
  <c r="U18" i="2" s="1"/>
  <c r="U20" i="2" s="1"/>
  <c r="U22" i="2" s="1"/>
  <c r="U24" i="2" s="1"/>
  <c r="T13" i="2"/>
  <c r="T16" i="2" s="1"/>
  <c r="T18" i="2" s="1"/>
  <c r="T20" i="2" s="1"/>
  <c r="T22" i="2" s="1"/>
  <c r="T24" i="2" s="1"/>
  <c r="Y13" i="2"/>
  <c r="Y16" i="2" s="1"/>
  <c r="Y18" i="2" s="1"/>
  <c r="Y20" i="2" s="1"/>
  <c r="Y22" i="2" s="1"/>
  <c r="Y24" i="2" s="1"/>
  <c r="J27" i="2"/>
  <c r="I27" i="2"/>
  <c r="J13" i="2"/>
  <c r="J28" i="2" s="1"/>
  <c r="H13" i="2"/>
  <c r="H16" i="2" s="1"/>
  <c r="G13" i="2"/>
  <c r="G28" i="2" s="1"/>
  <c r="F13" i="2"/>
  <c r="F28" i="2" s="1"/>
  <c r="E13" i="2"/>
  <c r="E28" i="2" s="1"/>
  <c r="D13" i="2"/>
  <c r="D28" i="2" s="1"/>
  <c r="C13" i="2"/>
  <c r="C28" i="2" s="1"/>
  <c r="I13" i="2"/>
  <c r="I16" i="2" s="1"/>
  <c r="I29" i="2" s="1"/>
  <c r="N15" i="2" l="1"/>
  <c r="M16" i="2"/>
  <c r="M28" i="2"/>
  <c r="Z22" i="2"/>
  <c r="Z24" i="2" s="1"/>
  <c r="N27" i="2"/>
  <c r="N13" i="2"/>
  <c r="L28" i="2"/>
  <c r="L16" i="2"/>
  <c r="K16" i="2"/>
  <c r="G16" i="2"/>
  <c r="G18" i="2" s="1"/>
  <c r="G20" i="2" s="1"/>
  <c r="G22" i="2" s="1"/>
  <c r="G24" i="2" s="1"/>
  <c r="C16" i="2"/>
  <c r="C29" i="2" s="1"/>
  <c r="D16" i="2"/>
  <c r="E16" i="2"/>
  <c r="E29" i="2" s="1"/>
  <c r="I7" i="1"/>
  <c r="I18" i="2"/>
  <c r="I28" i="2"/>
  <c r="E18" i="2"/>
  <c r="C18" i="2"/>
  <c r="F16" i="2"/>
  <c r="H18" i="2"/>
  <c r="H29" i="2"/>
  <c r="H28" i="2"/>
  <c r="J16" i="2"/>
  <c r="J18" i="2" s="1"/>
  <c r="M29" i="2" l="1"/>
  <c r="M18" i="2"/>
  <c r="N28" i="2"/>
  <c r="N16" i="2"/>
  <c r="M30" i="2"/>
  <c r="M20" i="2"/>
  <c r="M22" i="2" s="1"/>
  <c r="M24" i="2" s="1"/>
  <c r="L18" i="2"/>
  <c r="L29" i="2"/>
  <c r="K18" i="2"/>
  <c r="K29" i="2"/>
  <c r="D29" i="2"/>
  <c r="D18" i="2"/>
  <c r="G30" i="2"/>
  <c r="G29" i="2"/>
  <c r="I20" i="2"/>
  <c r="I22" i="2" s="1"/>
  <c r="I24" i="2" s="1"/>
  <c r="I30" i="2"/>
  <c r="C20" i="2"/>
  <c r="C22" i="2" s="1"/>
  <c r="C24" i="2" s="1"/>
  <c r="C30" i="2"/>
  <c r="E30" i="2"/>
  <c r="E20" i="2"/>
  <c r="E22" i="2" s="1"/>
  <c r="E24" i="2" s="1"/>
  <c r="F18" i="2"/>
  <c r="F29" i="2"/>
  <c r="H30" i="2"/>
  <c r="H20" i="2"/>
  <c r="H22" i="2" s="1"/>
  <c r="H24" i="2" s="1"/>
  <c r="J29" i="2"/>
  <c r="D30" i="2" l="1"/>
  <c r="D20" i="2"/>
  <c r="D22" i="2" s="1"/>
  <c r="D24" i="2" s="1"/>
  <c r="N18" i="2"/>
  <c r="N29" i="2"/>
  <c r="L20" i="2"/>
  <c r="L22" i="2" s="1"/>
  <c r="L24" i="2" s="1"/>
  <c r="L30" i="2"/>
  <c r="K30" i="2"/>
  <c r="K20" i="2"/>
  <c r="K22" i="2" s="1"/>
  <c r="K24" i="2" s="1"/>
  <c r="F20" i="2"/>
  <c r="F22" i="2" s="1"/>
  <c r="F24" i="2" s="1"/>
  <c r="F30" i="2"/>
  <c r="J30" i="2"/>
  <c r="J20" i="2"/>
  <c r="J22" i="2" s="1"/>
  <c r="J24" i="2" s="1"/>
  <c r="N30" i="2" l="1"/>
  <c r="N20" i="2"/>
  <c r="N22" i="2" s="1"/>
  <c r="N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tc={CF0A33D2-AD11-4BDD-A1E8-78D7360A19D7}</author>
  </authors>
  <commentList>
    <comment ref="L2" authorId="0" shapeId="0" xr:uid="{CF0A33D2-AD11-4BDD-A1E8-78D7360A19D7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numbers</t>
      </text>
    </comment>
  </commentList>
</comments>
</file>

<file path=xl/sharedStrings.xml><?xml version="1.0" encoding="utf-8"?>
<sst xmlns="http://schemas.openxmlformats.org/spreadsheetml/2006/main" count="65" uniqueCount="61">
  <si>
    <t xml:space="preserve">Puma </t>
  </si>
  <si>
    <t>numbers in mio EUR</t>
  </si>
  <si>
    <t>Price</t>
  </si>
  <si>
    <t>Shares</t>
  </si>
  <si>
    <t>MC</t>
  </si>
  <si>
    <t>Cash</t>
  </si>
  <si>
    <t>Debt</t>
  </si>
  <si>
    <t>EV</t>
  </si>
  <si>
    <t>IR</t>
  </si>
  <si>
    <t>PUM.DE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</si>
  <si>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</si>
  <si>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</si>
  <si>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</si>
  <si>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</si>
  <si>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</si>
  <si>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</si>
  <si>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</si>
  <si>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</si>
  <si>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</si>
  <si>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</si>
  <si>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</si>
  <si>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</si>
  <si>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SGA</t>
  </si>
  <si>
    <t>Operating Income</t>
  </si>
  <si>
    <t>Interest Expense</t>
  </si>
  <si>
    <t>Pretax Income</t>
  </si>
  <si>
    <t>Tax Expense</t>
  </si>
  <si>
    <t>Net Income</t>
  </si>
  <si>
    <t>Net Income to Company</t>
  </si>
  <si>
    <t>Minority Interet Share</t>
  </si>
  <si>
    <t>EPS</t>
  </si>
  <si>
    <t>Revenue Growth</t>
  </si>
  <si>
    <t>Gross Margin</t>
  </si>
  <si>
    <t>Operating Margin</t>
  </si>
  <si>
    <t>Tax Rate</t>
  </si>
  <si>
    <t>EMEA Revenue</t>
  </si>
  <si>
    <t>Americas Revenue</t>
  </si>
  <si>
    <t>Asia Pacific Revenue</t>
  </si>
  <si>
    <t>Shoe Revenue</t>
  </si>
  <si>
    <t>Textile Revenue</t>
  </si>
  <si>
    <t>Accessoires Revenue</t>
  </si>
  <si>
    <t>Wholesale Revenue</t>
  </si>
  <si>
    <t>DTC Revenue</t>
  </si>
  <si>
    <t>FY19</t>
  </si>
  <si>
    <t>FY20</t>
  </si>
  <si>
    <t>FY21</t>
  </si>
  <si>
    <t>FY22</t>
  </si>
  <si>
    <t>FY23</t>
  </si>
  <si>
    <t>FY24</t>
  </si>
  <si>
    <t>Q125</t>
  </si>
  <si>
    <t>Q225</t>
  </si>
  <si>
    <t>Q325</t>
  </si>
  <si>
    <t>Q425</t>
  </si>
  <si>
    <t>Royalties</t>
  </si>
  <si>
    <t>FY25</t>
  </si>
  <si>
    <t>CEO:</t>
  </si>
  <si>
    <t>Arthur Hoeld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</si>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</sst>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\(#,##0.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9" fillId="0" borderId="0" xfId="2" applyFont="1"/>
    <xf numFmtId="0" fontId="5" fillId="0" borderId="0" xfId="0" applyFont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8" fillId="0" borderId="0" xfId="0" applyFont="1"/>
    <xf numFmtId="164" fontId="8" fillId="0" borderId="0" xfId="0" applyNumberFormat="1" applyFont="1"/>
    <xf numFmtId="4" fontId="5" fillId="0" borderId="0" xfId="0" applyNumberFormat="1" applyFont="1"/>
    <xf numFmtId="9" fontId="8" fillId="0" borderId="0" xfId="1" applyFont="1"/>
    <xf numFmtId="9" fontId="5" fillId="0" borderId="0" xfId="1" applyFont="1"/>
    <xf numFmtId="0" fontId="4" fillId="0" borderId="0" xfId="0" applyFont="1" applyAlignment="1">
      <alignment horizontal="right"/>
    </xf>
    <xf numFmtId="0" fontId="3" fillId="0" borderId="0" xfId="0" applyFont="1"/>
    <xf numFmtId="165" fontId="5" fillId="0" borderId="0" xfId="0" applyNumberFormat="1" applyFont="1"/>
    <xf numFmtId="165" fontId="8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341856C5-C3D4-43DE-A51A-08F910ECF662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8-18T15:15:19.67" personId="{341856C5-C3D4-43DE-A51A-08F910ECF662}" id="{CF0A33D2-AD11-4BDD-A1E8-78D7360A19D7}">
    <text>Adjusted numbers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bout.puma.com/de/investor-relatio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6356-DDAA-46AE-8571-B699D0C98654}">
  <dimension ref="A1:J10"/>
  <sheetViews>
    <sheetView tabSelected="1" topLeftCell="B1" zoomScale="200" zoomScaleNormal="200" workbookViewId="0">
      <selection activeCell="J5" sqref="J5:J6"/>
    </sheetView>
  </sheetViews>
  <sheetFormatPr defaultRowHeight="12.75" x14ac:dyDescent="0.2"/>
  <cols>
    <col min="1" max="1" width="4.5703125" style="2" customWidth="1"/>
    <col min="2" max="16384" width="9.140625" style="2"/>
  </cols>
  <sheetData>
    <row r="1" spans="1:10" x14ac:dyDescent="0.2">
      <c r="A1" s="5" t="s">
        <v>0</v>
      </c>
    </row>
    <row r="2" spans="1:10" x14ac:dyDescent="0.2">
      <c r="A2" s="2" t="s">
        <v>1</v>
      </c>
      <c r="H2" s="2" t="s">
        <v>2</v>
      </c>
      <c r="I2" s="2">
        <v>25.8</v>
      </c>
    </row>
    <row r="3" spans="1:10" x14ac:dyDescent="0.2">
      <c r="H3" s="2" t="s">
        <v>3</v>
      </c>
      <c r="I3" s="4">
        <v>147.20890499999999</v>
      </c>
      <c r="J3" s="15" t="s">
        <v>58</v>
      </c>
    </row>
    <row r="4" spans="1:10" x14ac:dyDescent="0.2">
      <c r="B4" s="1" t="s">
        <v>8</v>
      </c>
      <c r="H4" s="2" t="s">
        <v>4</v>
      </c>
      <c r="I4" s="4">
        <f>+I2*I3</f>
        <v>3797.9897489999998</v>
      </c>
    </row>
    <row r="5" spans="1:10" x14ac:dyDescent="0.2">
      <c r="B5" s="2" t="s">
        <v>9</v>
      </c>
      <c r="H5" s="2" t="s">
        <v>5</v>
      </c>
      <c r="I5" s="4">
        <v>326.2</v>
      </c>
      <c r="J5" s="15" t="s">
        <v>58</v>
      </c>
    </row>
    <row r="6" spans="1:10" x14ac:dyDescent="0.2">
      <c r="H6" s="2" t="s">
        <v>6</v>
      </c>
      <c r="I6" s="4">
        <f>1139.8+544</f>
        <v>1683.8</v>
      </c>
      <c r="J6" s="15" t="s">
        <v>58</v>
      </c>
    </row>
    <row r="7" spans="1:10" x14ac:dyDescent="0.2">
      <c r="H7" s="2" t="s">
        <v>7</v>
      </c>
      <c r="I7" s="4">
        <f>+I4-I5+I6</f>
        <v>5155.5897489999998</v>
      </c>
    </row>
    <row r="8" spans="1:10" x14ac:dyDescent="0.2">
      <c r="I8" s="4"/>
    </row>
    <row r="10" spans="1:10" x14ac:dyDescent="0.2">
      <c r="H10" s="11" t="s">
        <v>55</v>
      </c>
      <c r="I10" s="11" t="s">
        <v>56</v>
      </c>
    </row>
  </sheetData>
  <hyperlinks>
    <hyperlink ref="B4" r:id="rId1" xr:uid="{4C14D8CD-2127-46C6-8211-E47AE6320B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BAD2-1CB2-460A-BF2B-D7C2BA58E00E}">
  <dimension ref="A1:BL264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26" sqref="P26"/>
    </sheetView>
  </sheetViews>
  <sheetFormatPr defaultRowHeight="12.75" x14ac:dyDescent="0.2"/>
  <cols>
    <col min="1" max="1" width="5.42578125" style="2" bestFit="1" customWidth="1"/>
    <col min="2" max="2" width="26.5703125" style="2" customWidth="1"/>
    <col min="3" max="16384" width="9.140625" style="2"/>
  </cols>
  <sheetData>
    <row r="1" spans="1:64" x14ac:dyDescent="0.2">
      <c r="A1" s="1" t="s">
        <v>11</v>
      </c>
    </row>
    <row r="2" spans="1:64" x14ac:dyDescent="0.2"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10</v>
      </c>
      <c r="J2" s="3" t="s">
        <v>18</v>
      </c>
      <c r="K2" s="3" t="s">
        <v>49</v>
      </c>
      <c r="L2" s="3" t="s">
        <v>50</v>
      </c>
      <c r="M2" s="3" t="s">
        <v>51</v>
      </c>
      <c r="N2" s="3" t="s">
        <v>52</v>
      </c>
      <c r="O2" s="14" t="s">
        <v>57</v>
      </c>
      <c r="P2" s="14" t="s">
        <v>58</v>
      </c>
      <c r="Q2" s="14" t="s">
        <v>59</v>
      </c>
      <c r="R2" s="14" t="s">
        <v>60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10" t="s">
        <v>54</v>
      </c>
    </row>
    <row r="3" spans="1:64" x14ac:dyDescent="0.2">
      <c r="B3" s="2" t="s">
        <v>35</v>
      </c>
      <c r="C3" s="12"/>
      <c r="D3" s="12"/>
      <c r="E3" s="12"/>
      <c r="F3" s="12">
        <v>667.9</v>
      </c>
      <c r="G3" s="12">
        <v>855.7</v>
      </c>
      <c r="H3" s="12">
        <v>817.9</v>
      </c>
      <c r="I3" s="12">
        <v>1005.5</v>
      </c>
      <c r="J3" s="12">
        <v>796.5</v>
      </c>
      <c r="K3" s="12">
        <v>891.7</v>
      </c>
      <c r="L3" s="12">
        <v>771.7</v>
      </c>
      <c r="M3" s="12">
        <v>910.6</v>
      </c>
      <c r="N3" s="12">
        <f>+Z3-SUM(K3:M3)</f>
        <v>504.09999999999991</v>
      </c>
      <c r="O3" s="12">
        <v>774.5</v>
      </c>
      <c r="P3" s="12">
        <v>674.1</v>
      </c>
      <c r="Q3" s="12"/>
      <c r="R3" s="12"/>
      <c r="S3" s="12"/>
      <c r="T3" s="12"/>
      <c r="U3" s="12"/>
      <c r="V3" s="12"/>
      <c r="W3" s="12"/>
      <c r="X3" s="12">
        <v>3418.4</v>
      </c>
      <c r="Y3" s="12">
        <v>3475.7</v>
      </c>
      <c r="Z3" s="12">
        <f>2204+874.1</f>
        <v>3078.1</v>
      </c>
      <c r="AA3" s="12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x14ac:dyDescent="0.2">
      <c r="B4" s="2" t="s">
        <v>36</v>
      </c>
      <c r="C4" s="12"/>
      <c r="D4" s="12"/>
      <c r="E4" s="12"/>
      <c r="F4" s="12">
        <v>846</v>
      </c>
      <c r="G4" s="12">
        <v>790</v>
      </c>
      <c r="H4" s="12">
        <v>887.5</v>
      </c>
      <c r="I4" s="12">
        <v>872.2</v>
      </c>
      <c r="J4" s="12">
        <v>986.3</v>
      </c>
      <c r="K4" s="12">
        <v>753.7</v>
      </c>
      <c r="L4" s="12">
        <v>709</v>
      </c>
      <c r="M4" s="12">
        <v>678.1</v>
      </c>
      <c r="N4" s="12">
        <f t="shared" ref="N4:N21" si="0">+Z4-SUM(K4:M4)</f>
        <v>347.80000000000018</v>
      </c>
      <c r="O4" s="12">
        <v>655.6</v>
      </c>
      <c r="P4" s="12">
        <v>600.4</v>
      </c>
      <c r="Q4" s="12"/>
      <c r="R4" s="12"/>
      <c r="S4" s="12"/>
      <c r="T4" s="12"/>
      <c r="U4" s="12"/>
      <c r="V4" s="12"/>
      <c r="W4" s="12"/>
      <c r="X4" s="12">
        <v>3389.9</v>
      </c>
      <c r="Y4" s="12">
        <v>3536</v>
      </c>
      <c r="Z4" s="12">
        <f>1315.2+1173.4</f>
        <v>2488.6000000000004</v>
      </c>
      <c r="AA4" s="12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x14ac:dyDescent="0.2">
      <c r="B5" s="2" t="s">
        <v>37</v>
      </c>
      <c r="C5" s="12"/>
      <c r="D5" s="12"/>
      <c r="E5" s="12"/>
      <c r="F5" s="12">
        <v>468.3</v>
      </c>
      <c r="G5" s="12">
        <v>456.6</v>
      </c>
      <c r="H5" s="12">
        <v>411.9</v>
      </c>
      <c r="I5" s="12">
        <v>430.4</v>
      </c>
      <c r="J5" s="12">
        <v>506.6</v>
      </c>
      <c r="K5" s="12">
        <v>430.5</v>
      </c>
      <c r="L5" s="12">
        <v>390.5</v>
      </c>
      <c r="M5" s="12">
        <v>367.1</v>
      </c>
      <c r="N5" s="12">
        <f t="shared" si="0"/>
        <v>518.09999999999991</v>
      </c>
      <c r="O5" s="12">
        <v>433.8</v>
      </c>
      <c r="P5" s="12">
        <v>416</v>
      </c>
      <c r="Q5" s="12"/>
      <c r="R5" s="12"/>
      <c r="S5" s="12"/>
      <c r="T5" s="12"/>
      <c r="U5" s="12"/>
      <c r="V5" s="12"/>
      <c r="W5" s="12"/>
      <c r="X5" s="12">
        <v>1793.4</v>
      </c>
      <c r="Y5" s="12">
        <v>1805.5</v>
      </c>
      <c r="Z5" s="12">
        <f>488.4+750.8+467</f>
        <v>1706.1999999999998</v>
      </c>
      <c r="AA5" s="12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 x14ac:dyDescent="0.2">
      <c r="B6" s="2" t="s">
        <v>38</v>
      </c>
      <c r="C6" s="12"/>
      <c r="D6" s="12"/>
      <c r="E6" s="12"/>
      <c r="F6" s="12">
        <v>1031.9000000000001</v>
      </c>
      <c r="G6" s="12">
        <v>1181.5</v>
      </c>
      <c r="H6" s="12">
        <v>1097</v>
      </c>
      <c r="I6" s="12">
        <v>1240.3</v>
      </c>
      <c r="J6" s="12">
        <v>1214.8</v>
      </c>
      <c r="K6" s="12">
        <v>1186</v>
      </c>
      <c r="L6" s="12">
        <v>1061.0999999999999</v>
      </c>
      <c r="M6" s="12">
        <v>1045.8</v>
      </c>
      <c r="N6" s="12">
        <f t="shared" si="0"/>
        <v>820.80000000000018</v>
      </c>
      <c r="O6" s="12">
        <v>1089.5999999999999</v>
      </c>
      <c r="P6" s="12">
        <v>935.6</v>
      </c>
      <c r="Q6" s="12"/>
      <c r="R6" s="12"/>
      <c r="S6" s="12"/>
      <c r="T6" s="12"/>
      <c r="U6" s="12"/>
      <c r="V6" s="12"/>
      <c r="W6" s="12"/>
      <c r="X6" s="12">
        <v>4583.3999999999996</v>
      </c>
      <c r="Y6" s="12">
        <v>4733.6000000000004</v>
      </c>
      <c r="Z6" s="12">
        <v>4113.7</v>
      </c>
      <c r="AA6" s="12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</row>
    <row r="7" spans="1:64" x14ac:dyDescent="0.2">
      <c r="B7" s="2" t="s">
        <v>39</v>
      </c>
      <c r="C7" s="12"/>
      <c r="D7" s="12"/>
      <c r="E7" s="12"/>
      <c r="F7" s="12">
        <v>657.4</v>
      </c>
      <c r="G7" s="12">
        <v>608.1</v>
      </c>
      <c r="H7" s="12">
        <v>705.6</v>
      </c>
      <c r="I7" s="12">
        <v>763.6</v>
      </c>
      <c r="J7" s="12">
        <v>736.5</v>
      </c>
      <c r="K7" s="12">
        <v>594.29999999999995</v>
      </c>
      <c r="L7" s="12">
        <v>579.20000000000005</v>
      </c>
      <c r="M7" s="12">
        <v>635.5</v>
      </c>
      <c r="N7" s="12">
        <f t="shared" si="0"/>
        <v>519.5</v>
      </c>
      <c r="O7" s="12">
        <v>546.29999999999995</v>
      </c>
      <c r="P7" s="12">
        <v>552.1</v>
      </c>
      <c r="Q7" s="12"/>
      <c r="R7" s="12"/>
      <c r="S7" s="12"/>
      <c r="T7" s="12"/>
      <c r="U7" s="12"/>
      <c r="V7" s="12"/>
      <c r="W7" s="12"/>
      <c r="X7" s="12">
        <v>2763</v>
      </c>
      <c r="Y7" s="12">
        <v>2813.9</v>
      </c>
      <c r="Z7" s="12">
        <v>2328.5</v>
      </c>
      <c r="AA7" s="12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 spans="1:64" x14ac:dyDescent="0.2">
      <c r="B8" s="2" t="s">
        <v>40</v>
      </c>
      <c r="C8" s="12"/>
      <c r="D8" s="12"/>
      <c r="E8" s="12"/>
      <c r="F8" s="12">
        <v>292.89999999999998</v>
      </c>
      <c r="G8" s="12">
        <v>312.7</v>
      </c>
      <c r="H8" s="12">
        <v>314.8</v>
      </c>
      <c r="I8" s="12">
        <v>304.2</v>
      </c>
      <c r="J8" s="12">
        <v>338</v>
      </c>
      <c r="K8" s="12">
        <v>295.7</v>
      </c>
      <c r="L8" s="12">
        <v>230.9</v>
      </c>
      <c r="M8" s="12">
        <v>274.39999999999998</v>
      </c>
      <c r="N8" s="12">
        <f t="shared" si="0"/>
        <v>52.899999999999977</v>
      </c>
      <c r="O8" s="12">
        <v>227.9</v>
      </c>
      <c r="P8" s="12">
        <v>202.8</v>
      </c>
      <c r="Q8" s="12"/>
      <c r="R8" s="12"/>
      <c r="S8" s="12"/>
      <c r="T8" s="12"/>
      <c r="U8" s="12"/>
      <c r="V8" s="12"/>
      <c r="W8" s="12"/>
      <c r="X8" s="12">
        <v>1255.3</v>
      </c>
      <c r="Y8" s="12">
        <v>1269.7</v>
      </c>
      <c r="Z8" s="12">
        <v>853.9</v>
      </c>
      <c r="AA8" s="12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x14ac:dyDescent="0.2">
      <c r="B9" s="2" t="s">
        <v>41</v>
      </c>
      <c r="C9" s="12"/>
      <c r="D9" s="12"/>
      <c r="E9" s="12"/>
      <c r="F9" s="12">
        <v>1355</v>
      </c>
      <c r="G9" s="12">
        <v>1608.1</v>
      </c>
      <c r="H9" s="12">
        <v>1529.6</v>
      </c>
      <c r="I9" s="12">
        <v>1728.2</v>
      </c>
      <c r="J9" s="12">
        <v>1525.8</v>
      </c>
      <c r="K9" s="12">
        <v>1529.5</v>
      </c>
      <c r="L9" s="12">
        <v>1270.2</v>
      </c>
      <c r="M9" s="12">
        <v>1385.7</v>
      </c>
      <c r="N9" s="12">
        <f t="shared" si="0"/>
        <v>749.60000000000036</v>
      </c>
      <c r="O9" s="12">
        <v>1335.7</v>
      </c>
      <c r="P9" s="12">
        <v>1094.8</v>
      </c>
      <c r="Q9" s="12"/>
      <c r="R9" s="12"/>
      <c r="S9" s="12"/>
      <c r="T9" s="12"/>
      <c r="U9" s="12"/>
      <c r="V9" s="12"/>
      <c r="W9" s="12"/>
      <c r="X9" s="12">
        <v>6468.7</v>
      </c>
      <c r="Y9" s="12">
        <v>6391.8</v>
      </c>
      <c r="Z9" s="12">
        <v>4935</v>
      </c>
      <c r="AA9" s="12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x14ac:dyDescent="0.2">
      <c r="B10" s="2" t="s">
        <v>42</v>
      </c>
      <c r="C10" s="12"/>
      <c r="D10" s="12"/>
      <c r="E10" s="12"/>
      <c r="F10" s="12">
        <v>627.20000000000005</v>
      </c>
      <c r="G10" s="12">
        <v>494.2</v>
      </c>
      <c r="H10" s="12">
        <v>587.70000000000005</v>
      </c>
      <c r="I10" s="12">
        <v>580</v>
      </c>
      <c r="J10" s="12">
        <v>763.5</v>
      </c>
      <c r="K10" s="12">
        <v>546.5</v>
      </c>
      <c r="L10" s="12">
        <v>601.1</v>
      </c>
      <c r="M10" s="12">
        <v>570</v>
      </c>
      <c r="N10" s="12">
        <f t="shared" si="0"/>
        <v>643.5</v>
      </c>
      <c r="O10" s="12">
        <v>528.1</v>
      </c>
      <c r="P10" s="12">
        <v>595.79999999999995</v>
      </c>
      <c r="Q10" s="12"/>
      <c r="R10" s="12"/>
      <c r="S10" s="12"/>
      <c r="T10" s="12"/>
      <c r="U10" s="12"/>
      <c r="V10" s="12"/>
      <c r="W10" s="12"/>
      <c r="X10" s="12">
        <v>2133</v>
      </c>
      <c r="Y10" s="12">
        <v>2425.4</v>
      </c>
      <c r="Z10" s="12">
        <v>2361.1</v>
      </c>
      <c r="AA10" s="12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x14ac:dyDescent="0.2">
      <c r="B11" s="5" t="s">
        <v>19</v>
      </c>
      <c r="C11" s="13"/>
      <c r="D11" s="13"/>
      <c r="E11" s="13">
        <v>2311.1</v>
      </c>
      <c r="F11" s="13">
        <v>1982.2</v>
      </c>
      <c r="G11" s="13">
        <v>2102.3000000000002</v>
      </c>
      <c r="H11" s="13">
        <v>2117.3000000000002</v>
      </c>
      <c r="I11" s="13">
        <v>2308.1999999999998</v>
      </c>
      <c r="J11" s="13">
        <v>2289.4</v>
      </c>
      <c r="K11" s="13">
        <v>2076</v>
      </c>
      <c r="L11" s="13">
        <v>1871.3</v>
      </c>
      <c r="M11" s="13">
        <v>1955.7</v>
      </c>
      <c r="N11" s="13">
        <f t="shared" si="0"/>
        <v>1393.1999999999998</v>
      </c>
      <c r="O11" s="13">
        <v>1863.8</v>
      </c>
      <c r="P11" s="13">
        <v>1690.6</v>
      </c>
      <c r="Q11" s="13"/>
      <c r="R11" s="13"/>
      <c r="S11" s="12"/>
      <c r="T11" s="12"/>
      <c r="U11" s="12"/>
      <c r="V11" s="12"/>
      <c r="W11" s="12"/>
      <c r="X11" s="13">
        <v>8601.7000000000007</v>
      </c>
      <c r="Y11" s="13">
        <v>8817.2000000000007</v>
      </c>
      <c r="Z11" s="13">
        <v>7296.2</v>
      </c>
      <c r="AA11" s="12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x14ac:dyDescent="0.2">
      <c r="B12" s="2" t="s">
        <v>20</v>
      </c>
      <c r="C12" s="12"/>
      <c r="D12" s="12"/>
      <c r="E12" s="12">
        <v>1222.4000000000001</v>
      </c>
      <c r="F12" s="12">
        <v>1051.0999999999999</v>
      </c>
      <c r="G12" s="12">
        <v>1103.3</v>
      </c>
      <c r="H12" s="12">
        <v>1126.7</v>
      </c>
      <c r="I12" s="12">
        <v>1202.7</v>
      </c>
      <c r="J12" s="12">
        <v>1206.5</v>
      </c>
      <c r="K12" s="12">
        <v>1100.9000000000001</v>
      </c>
      <c r="L12" s="12">
        <v>1006.9</v>
      </c>
      <c r="M12" s="12">
        <v>1070.8</v>
      </c>
      <c r="N12" s="12">
        <f t="shared" si="0"/>
        <v>837.89999999999964</v>
      </c>
      <c r="O12" s="12">
        <v>974.9</v>
      </c>
      <c r="P12" s="12">
        <v>878.3</v>
      </c>
      <c r="Q12" s="12"/>
      <c r="R12" s="12"/>
      <c r="S12" s="12"/>
      <c r="T12" s="12"/>
      <c r="U12" s="12"/>
      <c r="V12" s="12"/>
      <c r="W12" s="12"/>
      <c r="X12" s="12">
        <v>4615.1000000000004</v>
      </c>
      <c r="Y12" s="12">
        <v>4639.2</v>
      </c>
      <c r="Z12" s="12">
        <v>4016.5</v>
      </c>
      <c r="AA12" s="12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x14ac:dyDescent="0.2">
      <c r="B13" s="2" t="s">
        <v>21</v>
      </c>
      <c r="C13" s="12">
        <f t="shared" ref="C13:H13" si="1">+C11-C12</f>
        <v>0</v>
      </c>
      <c r="D13" s="12">
        <f t="shared" si="1"/>
        <v>0</v>
      </c>
      <c r="E13" s="12">
        <f t="shared" si="1"/>
        <v>1088.6999999999998</v>
      </c>
      <c r="F13" s="12">
        <f t="shared" si="1"/>
        <v>931.10000000000014</v>
      </c>
      <c r="G13" s="12">
        <f t="shared" si="1"/>
        <v>999.00000000000023</v>
      </c>
      <c r="H13" s="12">
        <f t="shared" si="1"/>
        <v>990.60000000000014</v>
      </c>
      <c r="I13" s="12">
        <f>+I11-I12</f>
        <v>1105.4999999999998</v>
      </c>
      <c r="J13" s="12">
        <f t="shared" ref="J13:P13" si="2">+J11-J12</f>
        <v>1082.9000000000001</v>
      </c>
      <c r="K13" s="12">
        <f t="shared" si="2"/>
        <v>975.09999999999991</v>
      </c>
      <c r="L13" s="12">
        <f t="shared" si="2"/>
        <v>864.4</v>
      </c>
      <c r="M13" s="12">
        <f t="shared" si="2"/>
        <v>884.90000000000009</v>
      </c>
      <c r="N13" s="12">
        <f t="shared" si="2"/>
        <v>555.30000000000018</v>
      </c>
      <c r="O13" s="12">
        <f t="shared" si="2"/>
        <v>888.9</v>
      </c>
      <c r="P13" s="12">
        <f t="shared" si="2"/>
        <v>812.3</v>
      </c>
      <c r="Q13" s="12"/>
      <c r="R13" s="12"/>
      <c r="S13" s="12"/>
      <c r="T13" s="12">
        <f t="shared" ref="T13:X13" si="3">+T11-T12</f>
        <v>0</v>
      </c>
      <c r="U13" s="12">
        <f t="shared" si="3"/>
        <v>0</v>
      </c>
      <c r="V13" s="12">
        <f t="shared" si="3"/>
        <v>0</v>
      </c>
      <c r="W13" s="12">
        <f t="shared" si="3"/>
        <v>0</v>
      </c>
      <c r="X13" s="12">
        <f t="shared" si="3"/>
        <v>3986.6000000000004</v>
      </c>
      <c r="Y13" s="12">
        <f>+Y11-Y12</f>
        <v>4178.0000000000009</v>
      </c>
      <c r="Z13" s="12">
        <f>+Z11-Z12</f>
        <v>3279.7</v>
      </c>
      <c r="AA13" s="12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x14ac:dyDescent="0.2">
      <c r="B14" s="2" t="s">
        <v>53</v>
      </c>
      <c r="C14" s="12"/>
      <c r="D14" s="12"/>
      <c r="E14" s="12">
        <v>11.3</v>
      </c>
      <c r="F14" s="12">
        <v>11.3</v>
      </c>
      <c r="G14" s="12">
        <v>5.2</v>
      </c>
      <c r="H14" s="12">
        <v>5.9</v>
      </c>
      <c r="I14" s="12">
        <v>4.9000000000000004</v>
      </c>
      <c r="J14" s="12">
        <v>8.1999999999999993</v>
      </c>
      <c r="K14" s="12">
        <v>5.5</v>
      </c>
      <c r="L14" s="12">
        <v>20.2</v>
      </c>
      <c r="M14" s="12">
        <v>5.2</v>
      </c>
      <c r="N14" s="12">
        <f t="shared" si="0"/>
        <v>61.500000000000007</v>
      </c>
      <c r="O14" s="12">
        <v>23.9</v>
      </c>
      <c r="P14" s="12">
        <v>18.399999999999999</v>
      </c>
      <c r="Q14" s="12"/>
      <c r="R14" s="12"/>
      <c r="S14" s="12"/>
      <c r="T14" s="12"/>
      <c r="U14" s="12"/>
      <c r="V14" s="12"/>
      <c r="W14" s="12"/>
      <c r="X14" s="12">
        <v>38.5</v>
      </c>
      <c r="Y14" s="12">
        <v>24.3</v>
      </c>
      <c r="Z14" s="12">
        <v>92.4</v>
      </c>
      <c r="AA14" s="12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x14ac:dyDescent="0.2">
      <c r="B15" s="2" t="s">
        <v>22</v>
      </c>
      <c r="C15" s="12"/>
      <c r="D15" s="12"/>
      <c r="E15" s="12">
        <v>863.7</v>
      </c>
      <c r="F15" s="12">
        <v>848</v>
      </c>
      <c r="G15" s="12">
        <v>845.3</v>
      </c>
      <c r="H15" s="12">
        <v>879.3</v>
      </c>
      <c r="I15" s="12">
        <v>873.4</v>
      </c>
      <c r="J15" s="12">
        <v>982.2</v>
      </c>
      <c r="K15" s="12">
        <f>904.9+18</f>
        <v>922.9</v>
      </c>
      <c r="L15" s="12">
        <f>909+84.6</f>
        <v>993.6</v>
      </c>
      <c r="M15" s="12">
        <f>850.6+10.1</f>
        <v>860.7</v>
      </c>
      <c r="N15" s="12">
        <f t="shared" si="0"/>
        <v>952.09999999999991</v>
      </c>
      <c r="O15" s="12">
        <f>848.5+12.6</f>
        <v>861.1</v>
      </c>
      <c r="P15" s="12">
        <f>872.6+11.2</f>
        <v>883.80000000000007</v>
      </c>
      <c r="Q15" s="12"/>
      <c r="R15" s="12"/>
      <c r="S15" s="12"/>
      <c r="T15" s="12"/>
      <c r="U15" s="12"/>
      <c r="V15" s="12"/>
      <c r="W15" s="12"/>
      <c r="X15" s="12">
        <v>3403.5</v>
      </c>
      <c r="Y15" s="12">
        <v>3580.2</v>
      </c>
      <c r="Z15" s="12">
        <f>3537.7+191.6</f>
        <v>3729.2999999999997</v>
      </c>
      <c r="AA15" s="12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x14ac:dyDescent="0.2">
      <c r="B16" s="2" t="s">
        <v>23</v>
      </c>
      <c r="C16" s="12">
        <f t="shared" ref="C16:H16" si="4">+C13+C14-C15</f>
        <v>0</v>
      </c>
      <c r="D16" s="12">
        <f t="shared" si="4"/>
        <v>0</v>
      </c>
      <c r="E16" s="12">
        <f t="shared" si="4"/>
        <v>236.29999999999973</v>
      </c>
      <c r="F16" s="12">
        <f t="shared" si="4"/>
        <v>94.400000000000091</v>
      </c>
      <c r="G16" s="12">
        <f t="shared" si="4"/>
        <v>158.90000000000032</v>
      </c>
      <c r="H16" s="12">
        <f t="shared" si="4"/>
        <v>117.20000000000016</v>
      </c>
      <c r="I16" s="12">
        <f>+I13+I14-I15</f>
        <v>236.99999999999989</v>
      </c>
      <c r="J16" s="12">
        <f t="shared" ref="J16:P16" si="5">+J13+J14-J15</f>
        <v>108.90000000000009</v>
      </c>
      <c r="K16" s="12">
        <f t="shared" si="5"/>
        <v>57.699999999999932</v>
      </c>
      <c r="L16" s="12">
        <f t="shared" si="5"/>
        <v>-109</v>
      </c>
      <c r="M16" s="12">
        <f t="shared" si="5"/>
        <v>29.400000000000091</v>
      </c>
      <c r="N16" s="12">
        <f t="shared" si="5"/>
        <v>-335.29999999999973</v>
      </c>
      <c r="O16" s="12">
        <f t="shared" si="5"/>
        <v>51.699999999999932</v>
      </c>
      <c r="P16" s="12">
        <f t="shared" si="5"/>
        <v>-53.100000000000136</v>
      </c>
      <c r="Q16" s="12"/>
      <c r="R16" s="12"/>
      <c r="S16" s="12"/>
      <c r="T16" s="12">
        <f t="shared" ref="T16:X16" si="6">+T13+T14-T15</f>
        <v>0</v>
      </c>
      <c r="U16" s="12">
        <f t="shared" si="6"/>
        <v>0</v>
      </c>
      <c r="V16" s="12">
        <f t="shared" si="6"/>
        <v>0</v>
      </c>
      <c r="W16" s="12">
        <f t="shared" si="6"/>
        <v>0</v>
      </c>
      <c r="X16" s="12">
        <f t="shared" si="6"/>
        <v>621.60000000000036</v>
      </c>
      <c r="Y16" s="12">
        <f>+Y13+Y14-Y15</f>
        <v>622.10000000000127</v>
      </c>
      <c r="Z16" s="12">
        <f>+Z13+Z14-Z15</f>
        <v>-357.19999999999982</v>
      </c>
      <c r="AA16" s="12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2:64" x14ac:dyDescent="0.2">
      <c r="B17" s="2" t="s">
        <v>24</v>
      </c>
      <c r="C17" s="12"/>
      <c r="D17" s="12"/>
      <c r="E17" s="12">
        <v>45.5</v>
      </c>
      <c r="F17" s="12">
        <v>67.099999999999994</v>
      </c>
      <c r="G17" s="12">
        <v>26.8</v>
      </c>
      <c r="H17" s="12">
        <v>42.6</v>
      </c>
      <c r="I17" s="12">
        <v>46.7</v>
      </c>
      <c r="J17" s="12">
        <v>43.5</v>
      </c>
      <c r="K17" s="12">
        <v>42</v>
      </c>
      <c r="L17" s="12">
        <v>43.7</v>
      </c>
      <c r="M17" s="12">
        <v>43.8</v>
      </c>
      <c r="N17" s="12">
        <f t="shared" si="0"/>
        <v>36.199999999999989</v>
      </c>
      <c r="O17" s="12">
        <v>15.6</v>
      </c>
      <c r="P17" s="12">
        <v>20.3</v>
      </c>
      <c r="Q17" s="12"/>
      <c r="R17" s="12"/>
      <c r="S17" s="12"/>
      <c r="T17" s="12"/>
      <c r="U17" s="12"/>
      <c r="V17" s="12"/>
      <c r="W17" s="12"/>
      <c r="X17" s="12">
        <v>143.30000000000001</v>
      </c>
      <c r="Y17" s="12">
        <v>159.69999999999999</v>
      </c>
      <c r="Z17" s="12">
        <v>165.7</v>
      </c>
      <c r="AA17" s="12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2:64" x14ac:dyDescent="0.2">
      <c r="B18" s="2" t="s">
        <v>25</v>
      </c>
      <c r="C18" s="12">
        <f t="shared" ref="C18:D18" si="7">+C16-C17</f>
        <v>0</v>
      </c>
      <c r="D18" s="12">
        <f t="shared" si="7"/>
        <v>0</v>
      </c>
      <c r="E18" s="12">
        <f>+E16-E17</f>
        <v>190.79999999999973</v>
      </c>
      <c r="F18" s="12">
        <f t="shared" ref="F18:P18" si="8">+F16-F17</f>
        <v>27.300000000000097</v>
      </c>
      <c r="G18" s="12">
        <f t="shared" si="8"/>
        <v>132.10000000000031</v>
      </c>
      <c r="H18" s="12">
        <f t="shared" si="8"/>
        <v>74.600000000000165</v>
      </c>
      <c r="I18" s="12">
        <f t="shared" si="8"/>
        <v>190.2999999999999</v>
      </c>
      <c r="J18" s="12">
        <f t="shared" si="8"/>
        <v>65.400000000000091</v>
      </c>
      <c r="K18" s="12">
        <f t="shared" si="8"/>
        <v>15.699999999999932</v>
      </c>
      <c r="L18" s="12">
        <f t="shared" si="8"/>
        <v>-152.69999999999999</v>
      </c>
      <c r="M18" s="12">
        <f t="shared" si="8"/>
        <v>-14.399999999999906</v>
      </c>
      <c r="N18" s="12">
        <f t="shared" si="8"/>
        <v>-371.49999999999972</v>
      </c>
      <c r="O18" s="12">
        <f t="shared" si="8"/>
        <v>36.09999999999993</v>
      </c>
      <c r="P18" s="12">
        <f t="shared" si="8"/>
        <v>-73.400000000000134</v>
      </c>
      <c r="Q18" s="12"/>
      <c r="R18" s="12"/>
      <c r="S18" s="12"/>
      <c r="T18" s="12">
        <f t="shared" ref="T18:X18" si="9">+T16-T17</f>
        <v>0</v>
      </c>
      <c r="U18" s="12">
        <f t="shared" si="9"/>
        <v>0</v>
      </c>
      <c r="V18" s="12">
        <f t="shared" si="9"/>
        <v>0</v>
      </c>
      <c r="W18" s="12">
        <f t="shared" si="9"/>
        <v>0</v>
      </c>
      <c r="X18" s="12">
        <f t="shared" si="9"/>
        <v>478.30000000000035</v>
      </c>
      <c r="Y18" s="12">
        <f>+Y16-Y17</f>
        <v>462.40000000000128</v>
      </c>
      <c r="Z18" s="12">
        <f>+Z16-Z17</f>
        <v>-522.89999999999986</v>
      </c>
      <c r="AA18" s="12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2:64" x14ac:dyDescent="0.2">
      <c r="B19" s="2" t="s">
        <v>26</v>
      </c>
      <c r="C19" s="12"/>
      <c r="D19" s="12"/>
      <c r="E19" s="12">
        <v>47.9</v>
      </c>
      <c r="F19" s="12">
        <v>4.9000000000000004</v>
      </c>
      <c r="G19" s="12">
        <v>33</v>
      </c>
      <c r="H19" s="12">
        <v>18.399999999999999</v>
      </c>
      <c r="I19" s="12">
        <v>47.8</v>
      </c>
      <c r="J19" s="12">
        <v>20.7</v>
      </c>
      <c r="K19" s="12">
        <v>4.2</v>
      </c>
      <c r="L19" s="12">
        <v>94.3</v>
      </c>
      <c r="M19" s="12">
        <v>37.9</v>
      </c>
      <c r="N19" s="12">
        <f t="shared" si="0"/>
        <v>-15.700000000000003</v>
      </c>
      <c r="O19" s="12">
        <v>9.8000000000000007</v>
      </c>
      <c r="P19" s="12">
        <v>-0.6</v>
      </c>
      <c r="Q19" s="12"/>
      <c r="R19" s="12"/>
      <c r="S19" s="12"/>
      <c r="T19" s="12"/>
      <c r="U19" s="12"/>
      <c r="V19" s="12"/>
      <c r="W19" s="12"/>
      <c r="X19" s="12">
        <v>117.8</v>
      </c>
      <c r="Y19" s="12">
        <v>120</v>
      </c>
      <c r="Z19" s="12">
        <v>120.7</v>
      </c>
      <c r="AA19" s="12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2:64" x14ac:dyDescent="0.2">
      <c r="B20" s="2" t="s">
        <v>27</v>
      </c>
      <c r="C20" s="12">
        <f t="shared" ref="C20:D20" si="10">+C18-C19</f>
        <v>0</v>
      </c>
      <c r="D20" s="12">
        <f t="shared" si="10"/>
        <v>0</v>
      </c>
      <c r="E20" s="12">
        <f>+E18-E19</f>
        <v>142.89999999999972</v>
      </c>
      <c r="F20" s="12">
        <f t="shared" ref="F20:P20" si="11">+F18-F19</f>
        <v>22.400000000000098</v>
      </c>
      <c r="G20" s="12">
        <f t="shared" si="11"/>
        <v>99.100000000000307</v>
      </c>
      <c r="H20" s="12">
        <f t="shared" si="11"/>
        <v>56.200000000000166</v>
      </c>
      <c r="I20" s="12">
        <f t="shared" si="11"/>
        <v>142.49999999999989</v>
      </c>
      <c r="J20" s="12">
        <f t="shared" si="11"/>
        <v>44.700000000000088</v>
      </c>
      <c r="K20" s="12">
        <f t="shared" si="11"/>
        <v>11.499999999999932</v>
      </c>
      <c r="L20" s="12">
        <f t="shared" si="11"/>
        <v>-247</v>
      </c>
      <c r="M20" s="12">
        <f t="shared" si="11"/>
        <v>-52.299999999999905</v>
      </c>
      <c r="N20" s="12">
        <f t="shared" si="11"/>
        <v>-355.79999999999973</v>
      </c>
      <c r="O20" s="12">
        <f t="shared" si="11"/>
        <v>26.29999999999993</v>
      </c>
      <c r="P20" s="12">
        <f t="shared" si="11"/>
        <v>-72.800000000000139</v>
      </c>
      <c r="Q20" s="12"/>
      <c r="R20" s="12"/>
      <c r="S20" s="12"/>
      <c r="T20" s="12">
        <f t="shared" ref="T20:X20" si="12">+T18-T19</f>
        <v>0</v>
      </c>
      <c r="U20" s="12">
        <f t="shared" si="12"/>
        <v>0</v>
      </c>
      <c r="V20" s="12">
        <f t="shared" si="12"/>
        <v>0</v>
      </c>
      <c r="W20" s="12">
        <f t="shared" si="12"/>
        <v>0</v>
      </c>
      <c r="X20" s="12">
        <f t="shared" si="12"/>
        <v>360.50000000000034</v>
      </c>
      <c r="Y20" s="12">
        <f>+Y18-Y19</f>
        <v>342.40000000000128</v>
      </c>
      <c r="Z20" s="12">
        <f>+Z18-Z19</f>
        <v>-643.59999999999991</v>
      </c>
      <c r="AA20" s="12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2:64" x14ac:dyDescent="0.2">
      <c r="B21" s="2" t="s">
        <v>29</v>
      </c>
      <c r="C21" s="12"/>
      <c r="D21" s="12"/>
      <c r="E21" s="12">
        <v>11.3</v>
      </c>
      <c r="F21" s="12">
        <v>21.6</v>
      </c>
      <c r="G21" s="12">
        <v>11.8</v>
      </c>
      <c r="H21" s="12">
        <v>14.3</v>
      </c>
      <c r="I21" s="12">
        <v>14.6</v>
      </c>
      <c r="J21" s="12">
        <v>20.100000000000001</v>
      </c>
      <c r="K21" s="12">
        <v>11.1</v>
      </c>
      <c r="L21" s="12">
        <v>0.1</v>
      </c>
      <c r="M21" s="12">
        <v>10</v>
      </c>
      <c r="N21" s="12">
        <f t="shared" si="0"/>
        <v>-19.299999999999997</v>
      </c>
      <c r="O21" s="12">
        <v>0</v>
      </c>
      <c r="P21" s="16">
        <v>0</v>
      </c>
      <c r="Q21" s="12"/>
      <c r="R21" s="12"/>
      <c r="S21" s="12"/>
      <c r="T21" s="12"/>
      <c r="U21" s="12"/>
      <c r="V21" s="12"/>
      <c r="W21" s="12"/>
      <c r="X21" s="12">
        <v>55.7</v>
      </c>
      <c r="Y21" s="12">
        <v>60.7</v>
      </c>
      <c r="Z21" s="12">
        <f>30.3-28.4</f>
        <v>1.9000000000000021</v>
      </c>
      <c r="AA21" s="12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2:64" x14ac:dyDescent="0.2">
      <c r="B22" s="2" t="s">
        <v>28</v>
      </c>
      <c r="C22" s="12">
        <f t="shared" ref="C22:D22" si="13">+C20-C21</f>
        <v>0</v>
      </c>
      <c r="D22" s="12">
        <f t="shared" si="13"/>
        <v>0</v>
      </c>
      <c r="E22" s="12">
        <f>+E20-E21</f>
        <v>131.59999999999971</v>
      </c>
      <c r="F22" s="12">
        <f t="shared" ref="F22:P22" si="14">+F20-F21</f>
        <v>0.80000000000009663</v>
      </c>
      <c r="G22" s="12">
        <f t="shared" si="14"/>
        <v>87.30000000000031</v>
      </c>
      <c r="H22" s="12">
        <f t="shared" si="14"/>
        <v>41.900000000000162</v>
      </c>
      <c r="I22" s="12">
        <f t="shared" si="14"/>
        <v>127.89999999999989</v>
      </c>
      <c r="J22" s="12">
        <f t="shared" si="14"/>
        <v>24.600000000000087</v>
      </c>
      <c r="K22" s="12">
        <f t="shared" si="14"/>
        <v>0.39999999999993285</v>
      </c>
      <c r="L22" s="12">
        <f t="shared" si="14"/>
        <v>-247.1</v>
      </c>
      <c r="M22" s="12">
        <f t="shared" si="14"/>
        <v>-62.299999999999905</v>
      </c>
      <c r="N22" s="12">
        <f t="shared" si="14"/>
        <v>-336.49999999999972</v>
      </c>
      <c r="O22" s="12">
        <f t="shared" si="14"/>
        <v>26.29999999999993</v>
      </c>
      <c r="P22" s="12">
        <f t="shared" si="14"/>
        <v>-72.800000000000139</v>
      </c>
      <c r="Q22" s="12"/>
      <c r="R22" s="12"/>
      <c r="S22" s="12"/>
      <c r="T22" s="12">
        <f t="shared" ref="T22:X22" si="15">+T20-T21</f>
        <v>0</v>
      </c>
      <c r="U22" s="12">
        <f t="shared" si="15"/>
        <v>0</v>
      </c>
      <c r="V22" s="12">
        <f t="shared" si="15"/>
        <v>0</v>
      </c>
      <c r="W22" s="12">
        <f t="shared" si="15"/>
        <v>0</v>
      </c>
      <c r="X22" s="12">
        <f t="shared" si="15"/>
        <v>304.80000000000035</v>
      </c>
      <c r="Y22" s="12">
        <f>+Y20-Y21</f>
        <v>281.7000000000013</v>
      </c>
      <c r="Z22" s="12">
        <f>+Z20-Z21</f>
        <v>-645.49999999999989</v>
      </c>
      <c r="AA22" s="12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2:64" x14ac:dyDescent="0.2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2:64" x14ac:dyDescent="0.2">
      <c r="B24" s="2" t="s">
        <v>30</v>
      </c>
      <c r="C24" s="7" t="e">
        <f t="shared" ref="C24:D24" si="16">+C22/C25</f>
        <v>#DIV/0!</v>
      </c>
      <c r="D24" s="7" t="e">
        <f t="shared" si="16"/>
        <v>#DIV/0!</v>
      </c>
      <c r="E24" s="7">
        <f>+E22/E25</f>
        <v>0.87838739821118483</v>
      </c>
      <c r="F24" s="7">
        <f t="shared" ref="F24:P24" si="17">+F22/F25</f>
        <v>5.3386720053393167E-3</v>
      </c>
      <c r="G24" s="7">
        <f t="shared" si="17"/>
        <v>0.58231056563500749</v>
      </c>
      <c r="H24" s="7">
        <f t="shared" si="17"/>
        <v>0.27973192148337656</v>
      </c>
      <c r="I24" s="7">
        <f t="shared" si="17"/>
        <v>0.85557562378754359</v>
      </c>
      <c r="J24" s="7">
        <f t="shared" si="17"/>
        <v>0.16474685239753609</v>
      </c>
      <c r="K24" s="7">
        <f t="shared" si="17"/>
        <v>2.7012425715824745E-3</v>
      </c>
      <c r="L24" s="7">
        <f t="shared" si="17"/>
        <v>-1.6738973477269268</v>
      </c>
      <c r="M24" s="7">
        <f t="shared" si="17"/>
        <v>-0.4224588051807141</v>
      </c>
      <c r="N24" s="7">
        <f t="shared" si="17"/>
        <v>-2.2818200311927832</v>
      </c>
      <c r="O24" s="7">
        <f t="shared" si="17"/>
        <v>0.17863207226787972</v>
      </c>
      <c r="P24" s="7">
        <f t="shared" si="17"/>
        <v>-0.49453530002142293</v>
      </c>
      <c r="Q24" s="7"/>
      <c r="R24" s="7"/>
      <c r="S24" s="4"/>
      <c r="T24" s="7" t="e">
        <f t="shared" ref="T24:W24" si="18">+T22/T25</f>
        <v>#DIV/0!</v>
      </c>
      <c r="U24" s="7" t="e">
        <f t="shared" si="18"/>
        <v>#DIV/0!</v>
      </c>
      <c r="V24" s="7" t="e">
        <f t="shared" si="18"/>
        <v>#DIV/0!</v>
      </c>
      <c r="W24" s="7" t="e">
        <f t="shared" si="18"/>
        <v>#DIV/0!</v>
      </c>
      <c r="X24" s="7">
        <f>+X22/X25</f>
        <v>2.0340340340340366</v>
      </c>
      <c r="Y24" s="7">
        <f t="shared" ref="Y24:Z24" si="19">+Y22/Y25</f>
        <v>1.886552370747397</v>
      </c>
      <c r="Z24" s="7">
        <f t="shared" si="19"/>
        <v>-4.3789430839156092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2:64" x14ac:dyDescent="0.2">
      <c r="B25" s="2" t="s">
        <v>3</v>
      </c>
      <c r="C25" s="4"/>
      <c r="D25" s="4"/>
      <c r="E25" s="4">
        <v>149.82</v>
      </c>
      <c r="F25" s="4">
        <v>149.85</v>
      </c>
      <c r="G25" s="4">
        <v>149.91999999999999</v>
      </c>
      <c r="H25" s="4">
        <v>149.78626600000001</v>
      </c>
      <c r="I25" s="4">
        <v>149.49</v>
      </c>
      <c r="J25" s="4">
        <v>149.32</v>
      </c>
      <c r="K25" s="4">
        <v>148.08000000000001</v>
      </c>
      <c r="L25" s="4">
        <v>147.61956599999999</v>
      </c>
      <c r="M25" s="4">
        <v>147.47</v>
      </c>
      <c r="N25" s="4">
        <v>147.47</v>
      </c>
      <c r="O25" s="4">
        <v>147.22999999999999</v>
      </c>
      <c r="P25" s="4">
        <v>147.20890499999999</v>
      </c>
      <c r="Q25" s="4"/>
      <c r="R25" s="4"/>
      <c r="S25" s="4"/>
      <c r="T25" s="4"/>
      <c r="U25" s="4"/>
      <c r="V25" s="4"/>
      <c r="W25" s="4"/>
      <c r="X25" s="4">
        <v>149.85</v>
      </c>
      <c r="Y25" s="4">
        <v>149.32</v>
      </c>
      <c r="Z25" s="4">
        <v>147.41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2:64" x14ac:dyDescent="0.2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2:64" x14ac:dyDescent="0.2">
      <c r="B27" s="5" t="s">
        <v>31</v>
      </c>
      <c r="C27" s="6"/>
      <c r="D27" s="6"/>
      <c r="E27" s="6"/>
      <c r="F27" s="6"/>
      <c r="G27" s="6"/>
      <c r="H27" s="6"/>
      <c r="I27" s="8">
        <f>+I11/E11-1</f>
        <v>-1.254813725065973E-3</v>
      </c>
      <c r="J27" s="8">
        <f>+J11/F11-1</f>
        <v>0.15497931591161329</v>
      </c>
      <c r="K27" s="8">
        <f t="shared" ref="K27:P27" si="20">+K11/G11-1</f>
        <v>-1.2510107976977713E-2</v>
      </c>
      <c r="L27" s="8">
        <f t="shared" si="20"/>
        <v>-0.11618570821329066</v>
      </c>
      <c r="M27" s="8">
        <f t="shared" si="20"/>
        <v>-0.15271640239147377</v>
      </c>
      <c r="N27" s="8">
        <f t="shared" si="20"/>
        <v>-0.39145627675373473</v>
      </c>
      <c r="O27" s="8">
        <f t="shared" si="20"/>
        <v>-0.10221579961464355</v>
      </c>
      <c r="P27" s="8">
        <f t="shared" si="20"/>
        <v>-9.656388606850852E-2</v>
      </c>
      <c r="Q27" s="8"/>
      <c r="R27" s="8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2:64" x14ac:dyDescent="0.2">
      <c r="B28" s="2" t="s">
        <v>32</v>
      </c>
      <c r="C28" s="9" t="e">
        <f t="shared" ref="C28:H28" si="21">+C13/C11</f>
        <v>#DIV/0!</v>
      </c>
      <c r="D28" s="9" t="e">
        <f t="shared" si="21"/>
        <v>#DIV/0!</v>
      </c>
      <c r="E28" s="9">
        <f t="shared" si="21"/>
        <v>0.47107438016528919</v>
      </c>
      <c r="F28" s="9">
        <f t="shared" si="21"/>
        <v>0.46973060236101305</v>
      </c>
      <c r="G28" s="9">
        <f t="shared" si="21"/>
        <v>0.47519383532321752</v>
      </c>
      <c r="H28" s="9">
        <f t="shared" si="21"/>
        <v>0.46786001039059183</v>
      </c>
      <c r="I28" s="9">
        <f>+I13/I11</f>
        <v>0.47894463218092015</v>
      </c>
      <c r="J28" s="9">
        <f t="shared" ref="J28:K28" si="22">+J13/J11</f>
        <v>0.47300602778020445</v>
      </c>
      <c r="K28" s="9">
        <f t="shared" si="22"/>
        <v>0.46970134874759145</v>
      </c>
      <c r="L28" s="9">
        <f t="shared" ref="L28:M28" si="23">+L13/L11</f>
        <v>0.46192486506706565</v>
      </c>
      <c r="M28" s="9">
        <f t="shared" si="23"/>
        <v>0.45247226057166234</v>
      </c>
      <c r="N28" s="9">
        <f t="shared" ref="N28:O28" si="24">+N13/N11</f>
        <v>0.39857881136950923</v>
      </c>
      <c r="O28" s="9">
        <f t="shared" si="24"/>
        <v>0.47692885502736343</v>
      </c>
      <c r="P28" s="9">
        <f t="shared" ref="P28" si="25">+P13/P11</f>
        <v>0.4804803028510588</v>
      </c>
      <c r="Q28" s="9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2:64" x14ac:dyDescent="0.2">
      <c r="B29" s="2" t="s">
        <v>33</v>
      </c>
      <c r="C29" s="9" t="e">
        <f t="shared" ref="C29:H29" si="26">+C16/C11</f>
        <v>#DIV/0!</v>
      </c>
      <c r="D29" s="9" t="e">
        <f t="shared" si="26"/>
        <v>#DIV/0!</v>
      </c>
      <c r="E29" s="9">
        <f t="shared" si="26"/>
        <v>0.10224568387348004</v>
      </c>
      <c r="F29" s="9">
        <f t="shared" si="26"/>
        <v>4.7623852285339566E-2</v>
      </c>
      <c r="G29" s="9">
        <f t="shared" si="26"/>
        <v>7.5583884317176567E-2</v>
      </c>
      <c r="H29" s="9">
        <f t="shared" si="26"/>
        <v>5.5353516270722214E-2</v>
      </c>
      <c r="I29" s="9">
        <f>+I16/I11</f>
        <v>0.10267741096958664</v>
      </c>
      <c r="J29" s="9">
        <f t="shared" ref="J29:K29" si="27">+J16/J11</f>
        <v>4.7567048134882536E-2</v>
      </c>
      <c r="K29" s="9">
        <f t="shared" si="27"/>
        <v>2.7793834296724437E-2</v>
      </c>
      <c r="L29" s="9">
        <f t="shared" ref="L29:M29" si="28">+L16/L11</f>
        <v>-5.8248276599155671E-2</v>
      </c>
      <c r="M29" s="9">
        <f t="shared" si="28"/>
        <v>1.5032980518484475E-2</v>
      </c>
      <c r="N29" s="9">
        <f t="shared" ref="N29:O29" si="29">+N16/N11</f>
        <v>-0.24066896353718042</v>
      </c>
      <c r="O29" s="9">
        <f t="shared" si="29"/>
        <v>2.7739027792681583E-2</v>
      </c>
      <c r="P29" s="9">
        <f t="shared" ref="P29" si="30">+P16/P11</f>
        <v>-3.1408967230569108E-2</v>
      </c>
      <c r="Q29" s="9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2:64" x14ac:dyDescent="0.2">
      <c r="B30" s="2" t="s">
        <v>34</v>
      </c>
      <c r="C30" s="9" t="e">
        <f t="shared" ref="C30:H30" si="31">+C19/C18</f>
        <v>#DIV/0!</v>
      </c>
      <c r="D30" s="9" t="e">
        <f t="shared" si="31"/>
        <v>#DIV/0!</v>
      </c>
      <c r="E30" s="9">
        <f t="shared" si="31"/>
        <v>0.25104821802935046</v>
      </c>
      <c r="F30" s="9">
        <f t="shared" si="31"/>
        <v>0.17948717948717888</v>
      </c>
      <c r="G30" s="9">
        <f t="shared" si="31"/>
        <v>0.24981074943224771</v>
      </c>
      <c r="H30" s="9">
        <f t="shared" si="31"/>
        <v>0.24664879356568309</v>
      </c>
      <c r="I30" s="9">
        <f>+I19/I18</f>
        <v>0.25118234366789294</v>
      </c>
      <c r="J30" s="9">
        <f t="shared" ref="J30:K30" si="32">+J19/J18</f>
        <v>0.31651376146788945</v>
      </c>
      <c r="K30" s="9">
        <f t="shared" si="32"/>
        <v>0.26751592356688014</v>
      </c>
      <c r="L30" s="9">
        <f t="shared" ref="L30:M30" si="33">+L19/L18</f>
        <v>-0.61755075311067453</v>
      </c>
      <c r="M30" s="9">
        <f t="shared" si="33"/>
        <v>-2.6319444444444615</v>
      </c>
      <c r="N30" s="9">
        <f t="shared" ref="N30:O30" si="34">+N19/N18</f>
        <v>4.2261103633916594E-2</v>
      </c>
      <c r="O30" s="9">
        <f t="shared" si="34"/>
        <v>0.27146814404432185</v>
      </c>
      <c r="P30" s="9">
        <f t="shared" ref="P30" si="35">+P19/P18</f>
        <v>8.1743869209809118E-3</v>
      </c>
      <c r="Q30" s="9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2:64" x14ac:dyDescent="0.2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2:64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3:64" x14ac:dyDescent="0.2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3:64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3:64" x14ac:dyDescent="0.2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3:64" x14ac:dyDescent="0.2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3:64" x14ac:dyDescent="0.2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3:64" x14ac:dyDescent="0.2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3:64" x14ac:dyDescent="0.2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3:64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3:64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3:64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3:64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3:64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3:64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3:64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3:64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3:64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3:64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3:64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3:64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3:64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3:64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3:64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3:64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3:64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3:64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3:64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3:64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3:64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3:64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3:64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3:64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3:64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3:64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3:64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3:64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3:64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3:64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3:64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3:64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3:64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3:64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3:64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3:64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3:64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3:64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3:64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3:64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3:64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3:64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3:64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3:64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3:64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3:64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3:64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3:64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3:64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3:64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3:64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3:64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3:64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3:64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3:64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3:64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3:64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3:64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3:64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3:64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3:64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3:64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3:64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3:64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3:64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3:64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3:64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3:64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3:64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3:64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3:64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3:64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3:64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3:64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3:64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3:64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3:64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3:64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3:64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3:64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3:64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3:64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3:64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3:64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3:64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3:64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3:64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3:64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3:64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3:64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3:64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3:64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3:64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3:64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3:64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3:64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3:64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3:64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3:64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3:64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3:64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3:64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3:64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3:64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3:64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3:64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3:64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3:64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3:64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3:64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3:64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3:64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3:64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3:64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3:64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3:64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3:64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3:64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3:64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3:64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3:64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3:64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3:64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3:64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3:64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3:64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3:64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3:64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3:64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3:64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3:64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3:64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3:64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3:64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3:64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3:64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3:64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3:64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3:64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3:64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3:64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3:64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3:64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3:64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3:64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3:64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3:64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3:64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3:64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3:64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3:64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3:64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3:64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3:64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3:64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3:64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3:64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3:64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3:64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3:64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3:64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3:64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3:64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3:64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3:64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3:64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3:64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3:64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3:64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3:64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3:64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3:64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3:64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3:64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3:64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3:64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3:64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3:64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3:64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3:64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3:64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3:64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3:64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3:64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3:64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3:64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3:64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3:64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3:64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3:64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3:64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3:64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3:64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3:64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3:64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3:64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3:64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3:64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3:64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3:64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3:64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3:64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3:64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3:64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3:64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3:64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3:64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3:64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3:64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3:64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3:64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3:64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3:64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3:64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3:64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3:64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3:64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3:64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3:64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3:64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3:64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3:64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3:64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3:64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3:64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</sheetData>
  <hyperlinks>
    <hyperlink ref="A1" location="Main!A1" display="Main" xr:uid="{DCA36589-14B8-41CC-BB0C-FA02D922EC0B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2025-01-30T16:41:51Z</dcterms:created>
  <dcterms:modified xsi:type="dcterms:W3CDTF">2026-08-18T15:21:52Z</dcterms:modified>
</cp:coreProperties>
</file>