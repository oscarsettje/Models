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6F04CD7B-779B-4176-8F3F-C6A61921F131}" xr6:coauthVersionLast="47" xr6:coauthVersionMax="47" xr10:uidLastSave="{00000000-0000-0000-0000-000000000000}"/>
  <bookViews>
    <workbookView xWindow="19095" yWindow="0" windowWidth="19410" windowHeight="20985" activeTab="1" xr2:uid="{6AFCE97C-0CAA-47F0-9D92-585A8A3029E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2" l="1"/>
  <c r="K45" i="2"/>
  <c r="J45" i="2"/>
  <c r="J6" i="1"/>
  <c r="J5" i="1"/>
  <c r="K20" i="2"/>
  <c r="K28" i="2" s="1"/>
  <c r="J20" i="2"/>
  <c r="J46" i="2" s="1"/>
  <c r="U44" i="2"/>
  <c r="U43" i="2"/>
  <c r="U42" i="2"/>
  <c r="U41" i="2"/>
  <c r="U40" i="2"/>
  <c r="U20" i="2"/>
  <c r="U46" i="2" s="1"/>
  <c r="I20" i="2"/>
  <c r="I28" i="2" s="1"/>
  <c r="H20" i="2"/>
  <c r="H46" i="2" s="1"/>
  <c r="H45" i="2"/>
  <c r="T44" i="2"/>
  <c r="T43" i="2"/>
  <c r="T42" i="2"/>
  <c r="T41" i="2"/>
  <c r="T18" i="2"/>
  <c r="U45" i="2" s="1"/>
  <c r="F34" i="2"/>
  <c r="F32" i="2"/>
  <c r="F30" i="2"/>
  <c r="F29" i="2"/>
  <c r="F27" i="2"/>
  <c r="F26" i="2"/>
  <c r="F25" i="2"/>
  <c r="F24" i="2"/>
  <c r="F23" i="2"/>
  <c r="F22" i="2"/>
  <c r="F21" i="2"/>
  <c r="F19" i="2"/>
  <c r="F17" i="2"/>
  <c r="F16" i="2"/>
  <c r="F18" i="2" s="1"/>
  <c r="F15" i="2"/>
  <c r="F14" i="2"/>
  <c r="F13" i="2"/>
  <c r="F12" i="2"/>
  <c r="F6" i="2"/>
  <c r="F5" i="2"/>
  <c r="F4" i="2"/>
  <c r="E9" i="2"/>
  <c r="D9" i="2"/>
  <c r="C9" i="2"/>
  <c r="F3" i="2"/>
  <c r="H6" i="2"/>
  <c r="H5" i="2"/>
  <c r="H4" i="2"/>
  <c r="H3" i="2"/>
  <c r="R44" i="2"/>
  <c r="Q44" i="2"/>
  <c r="P44" i="2"/>
  <c r="R43" i="2"/>
  <c r="Q43" i="2"/>
  <c r="P43" i="2"/>
  <c r="O43" i="2"/>
  <c r="R42" i="2"/>
  <c r="Q42" i="2"/>
  <c r="P42" i="2"/>
  <c r="O42" i="2"/>
  <c r="R41" i="2"/>
  <c r="Q41" i="2"/>
  <c r="P41" i="2"/>
  <c r="O41" i="2"/>
  <c r="S44" i="2"/>
  <c r="S43" i="2"/>
  <c r="S42" i="2"/>
  <c r="S41" i="2"/>
  <c r="N6" i="2"/>
  <c r="N9" i="2" s="1"/>
  <c r="O18" i="2"/>
  <c r="O20" i="2" s="1"/>
  <c r="O28" i="2" s="1"/>
  <c r="O31" i="2" s="1"/>
  <c r="O33" i="2" s="1"/>
  <c r="O35" i="2" s="1"/>
  <c r="O37" i="2" s="1"/>
  <c r="N17" i="2"/>
  <c r="N18" i="2" s="1"/>
  <c r="N15" i="2"/>
  <c r="O44" i="2" s="1"/>
  <c r="O6" i="2"/>
  <c r="P6" i="2"/>
  <c r="P9" i="2" s="1"/>
  <c r="O9" i="2"/>
  <c r="S9" i="2"/>
  <c r="R9" i="2"/>
  <c r="Q9" i="2"/>
  <c r="R18" i="2"/>
  <c r="R20" i="2" s="1"/>
  <c r="Q18" i="2"/>
  <c r="Q20" i="2" s="1"/>
  <c r="Q28" i="2" s="1"/>
  <c r="Q31" i="2" s="1"/>
  <c r="Q33" i="2" s="1"/>
  <c r="Q35" i="2" s="1"/>
  <c r="Q37" i="2" s="1"/>
  <c r="P18" i="2"/>
  <c r="S18" i="2"/>
  <c r="S20" i="2" s="1"/>
  <c r="J4" i="1"/>
  <c r="G18" i="2"/>
  <c r="G20" i="2" s="1"/>
  <c r="G28" i="2" s="1"/>
  <c r="G31" i="2" s="1"/>
  <c r="G33" i="2" s="1"/>
  <c r="G35" i="2" s="1"/>
  <c r="G37" i="2" s="1"/>
  <c r="D18" i="2"/>
  <c r="D20" i="2" s="1"/>
  <c r="D28" i="2" s="1"/>
  <c r="D31" i="2" s="1"/>
  <c r="D33" i="2" s="1"/>
  <c r="D35" i="2" s="1"/>
  <c r="D37" i="2" s="1"/>
  <c r="C18" i="2"/>
  <c r="C20" i="2" s="1"/>
  <c r="C28" i="2" s="1"/>
  <c r="C31" i="2" s="1"/>
  <c r="C33" i="2" s="1"/>
  <c r="C35" i="2" s="1"/>
  <c r="C37" i="2" s="1"/>
  <c r="E18" i="2"/>
  <c r="E20" i="2" s="1"/>
  <c r="E28" i="2" s="1"/>
  <c r="E31" i="2" s="1"/>
  <c r="E33" i="2" s="1"/>
  <c r="E35" i="2" s="1"/>
  <c r="E37" i="2" s="1"/>
  <c r="G9" i="2"/>
  <c r="H9" i="2" l="1"/>
  <c r="K47" i="2"/>
  <c r="K31" i="2"/>
  <c r="J28" i="2"/>
  <c r="K46" i="2"/>
  <c r="Q40" i="2"/>
  <c r="P10" i="2"/>
  <c r="T10" i="2"/>
  <c r="E45" i="2"/>
  <c r="F45" i="2"/>
  <c r="E46" i="2"/>
  <c r="E47" i="2"/>
  <c r="G45" i="2"/>
  <c r="C46" i="2"/>
  <c r="C47" i="2"/>
  <c r="C48" i="2"/>
  <c r="E48" i="2"/>
  <c r="F9" i="2"/>
  <c r="F10" i="2" s="1"/>
  <c r="I47" i="2"/>
  <c r="I31" i="2"/>
  <c r="I46" i="2"/>
  <c r="G47" i="2"/>
  <c r="D48" i="2"/>
  <c r="I45" i="2"/>
  <c r="D46" i="2"/>
  <c r="G46" i="2"/>
  <c r="U28" i="2"/>
  <c r="D47" i="2"/>
  <c r="G48" i="2"/>
  <c r="G10" i="2"/>
  <c r="O45" i="2"/>
  <c r="Q45" i="2"/>
  <c r="S40" i="2"/>
  <c r="S45" i="2"/>
  <c r="T20" i="2"/>
  <c r="T28" i="2" s="1"/>
  <c r="T31" i="2" s="1"/>
  <c r="T45" i="2"/>
  <c r="P20" i="2"/>
  <c r="P28" i="2" s="1"/>
  <c r="P47" i="2" s="1"/>
  <c r="P45" i="2"/>
  <c r="R40" i="2"/>
  <c r="R45" i="2"/>
  <c r="P40" i="2"/>
  <c r="Q46" i="2"/>
  <c r="C10" i="2"/>
  <c r="D10" i="2"/>
  <c r="E10" i="2"/>
  <c r="J7" i="1"/>
  <c r="N20" i="2"/>
  <c r="N10" i="2"/>
  <c r="O10" i="2"/>
  <c r="Q10" i="2"/>
  <c r="R10" i="2"/>
  <c r="T40" i="2"/>
  <c r="O40" i="2"/>
  <c r="Q47" i="2"/>
  <c r="S10" i="2"/>
  <c r="F20" i="2"/>
  <c r="H28" i="2"/>
  <c r="H10" i="2"/>
  <c r="S46" i="2"/>
  <c r="S28" i="2"/>
  <c r="R46" i="2"/>
  <c r="R28" i="2"/>
  <c r="O47" i="2"/>
  <c r="O48" i="2"/>
  <c r="Q48" i="2"/>
  <c r="O46" i="2"/>
  <c r="J31" i="2" l="1"/>
  <c r="J47" i="2"/>
  <c r="K33" i="2"/>
  <c r="K35" i="2" s="1"/>
  <c r="K37" i="2" s="1"/>
  <c r="K48" i="2"/>
  <c r="F28" i="2"/>
  <c r="F46" i="2"/>
  <c r="U31" i="2"/>
  <c r="U47" i="2"/>
  <c r="I48" i="2"/>
  <c r="I33" i="2"/>
  <c r="I35" i="2" s="1"/>
  <c r="I37" i="2" s="1"/>
  <c r="P46" i="2"/>
  <c r="H31" i="2"/>
  <c r="H47" i="2"/>
  <c r="T48" i="2"/>
  <c r="T33" i="2"/>
  <c r="T35" i="2" s="1"/>
  <c r="T37" i="2" s="1"/>
  <c r="P31" i="2"/>
  <c r="T46" i="2"/>
  <c r="T47" i="2"/>
  <c r="N28" i="2"/>
  <c r="N46" i="2"/>
  <c r="P33" i="2"/>
  <c r="P35" i="2" s="1"/>
  <c r="P37" i="2" s="1"/>
  <c r="P48" i="2"/>
  <c r="R31" i="2"/>
  <c r="R47" i="2"/>
  <c r="S47" i="2"/>
  <c r="S31" i="2"/>
  <c r="J48" i="2" l="1"/>
  <c r="J33" i="2"/>
  <c r="J35" i="2" s="1"/>
  <c r="J37" i="2" s="1"/>
  <c r="U48" i="2"/>
  <c r="U33" i="2"/>
  <c r="U35" i="2" s="1"/>
  <c r="U37" i="2" s="1"/>
  <c r="F31" i="2"/>
  <c r="F47" i="2"/>
  <c r="H33" i="2"/>
  <c r="H35" i="2" s="1"/>
  <c r="H37" i="2" s="1"/>
  <c r="H48" i="2"/>
  <c r="N31" i="2"/>
  <c r="N47" i="2"/>
  <c r="S33" i="2"/>
  <c r="S35" i="2" s="1"/>
  <c r="S37" i="2" s="1"/>
  <c r="S48" i="2"/>
  <c r="R48" i="2"/>
  <c r="R33" i="2"/>
  <c r="R35" i="2" s="1"/>
  <c r="R37" i="2" s="1"/>
  <c r="F33" i="2" l="1"/>
  <c r="F35" i="2" s="1"/>
  <c r="F37" i="2" s="1"/>
  <c r="F48" i="2"/>
  <c r="N33" i="2"/>
  <c r="N35" i="2" s="1"/>
  <c r="N37" i="2" s="1"/>
  <c r="N48" i="2"/>
</calcChain>
</file>

<file path=xl/sharedStrings.xml><?xml version="1.0" encoding="utf-8"?>
<sst xmlns="http://schemas.openxmlformats.org/spreadsheetml/2006/main" count="83" uniqueCount="77">
  <si>
    <t>numbers in mio EUR</t>
  </si>
  <si>
    <t>Price</t>
  </si>
  <si>
    <t>Shares</t>
  </si>
  <si>
    <t>MC</t>
  </si>
  <si>
    <t>Cash</t>
  </si>
  <si>
    <t>Debt</t>
  </si>
  <si>
    <t>EV</t>
  </si>
  <si>
    <t>IR</t>
  </si>
  <si>
    <t>Main</t>
  </si>
  <si>
    <t>H122</t>
  </si>
  <si>
    <t>H222</t>
  </si>
  <si>
    <t>H123</t>
  </si>
  <si>
    <t>H223</t>
  </si>
  <si>
    <t>H124</t>
  </si>
  <si>
    <t>H224</t>
  </si>
  <si>
    <t>FY18</t>
  </si>
  <si>
    <t>FY19</t>
  </si>
  <si>
    <t>FY20</t>
  </si>
  <si>
    <t>FY21</t>
  </si>
  <si>
    <t>FY22</t>
  </si>
  <si>
    <t>FY23</t>
  </si>
  <si>
    <t>FY24</t>
  </si>
  <si>
    <t>Italy Stores</t>
  </si>
  <si>
    <t>Europe Stores</t>
  </si>
  <si>
    <t>America Stores</t>
  </si>
  <si>
    <t>Asia Stores</t>
  </si>
  <si>
    <t>Total Stores</t>
  </si>
  <si>
    <t>Europe Revenue</t>
  </si>
  <si>
    <t>Italy Revenue</t>
  </si>
  <si>
    <t>America Revenue</t>
  </si>
  <si>
    <t>Asia Revenue</t>
  </si>
  <si>
    <t>Retail Revenue</t>
  </si>
  <si>
    <t>Wholesale Revenue</t>
  </si>
  <si>
    <t>Revenue</t>
  </si>
  <si>
    <t>COGS</t>
  </si>
  <si>
    <t>Gross Profit</t>
  </si>
  <si>
    <t>Cost for Services</t>
  </si>
  <si>
    <t>Payroll Cost</t>
  </si>
  <si>
    <t>Other operating expenses</t>
  </si>
  <si>
    <t>Other operating income</t>
  </si>
  <si>
    <t>Cost capitalized</t>
  </si>
  <si>
    <t>D&amp;A</t>
  </si>
  <si>
    <t>Impairment of assets</t>
  </si>
  <si>
    <t>Operating Income</t>
  </si>
  <si>
    <t>Financial expenses</t>
  </si>
  <si>
    <t>Financial income</t>
  </si>
  <si>
    <t>Pretax Income</t>
  </si>
  <si>
    <t>Net Income</t>
  </si>
  <si>
    <t>Tax Expense</t>
  </si>
  <si>
    <t>Minority Interest Share</t>
  </si>
  <si>
    <t>Net Income to Company</t>
  </si>
  <si>
    <t>EPS</t>
  </si>
  <si>
    <t>Brunello Cucinelli</t>
  </si>
  <si>
    <t>BC.MI</t>
  </si>
  <si>
    <t>Store Growth</t>
  </si>
  <si>
    <t>Europe Revenue Growth</t>
  </si>
  <si>
    <t>Italy Revenue Growth</t>
  </si>
  <si>
    <t>Americas Revenue Growth</t>
  </si>
  <si>
    <t>Asia Revenue Growth</t>
  </si>
  <si>
    <t xml:space="preserve">Operating Margin </t>
  </si>
  <si>
    <t>Tax Rate</t>
  </si>
  <si>
    <t>Gross Margin</t>
  </si>
  <si>
    <t>ARPS</t>
  </si>
  <si>
    <t>Revenue Growth</t>
  </si>
  <si>
    <t>Notes</t>
  </si>
  <si>
    <t>H125</t>
  </si>
  <si>
    <t>H225</t>
  </si>
  <si>
    <t>Short Report:</t>
  </si>
  <si>
    <t>https://www.morpheus-research.com/cucinelli/</t>
  </si>
  <si>
    <t>FY25</t>
  </si>
  <si>
    <t>H126</t>
  </si>
  <si>
    <t>H226</t>
  </si>
  <si>
    <t>n.a.</t>
  </si>
  <si>
    <t>Q226</t>
  </si>
  <si>
    <t>CEO&amp;CD</t>
  </si>
  <si>
    <t>Retail Boutiques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</si>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</sst>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9" fillId="0" borderId="0" xfId="1" applyFont="1"/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0" xfId="0" applyNumberFormat="1" applyFont="1"/>
    <xf numFmtId="0" fontId="8" fillId="0" borderId="0" xfId="0" applyFont="1"/>
    <xf numFmtId="3" fontId="8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164" fontId="8" fillId="0" borderId="0" xfId="0" applyNumberFormat="1" applyFont="1"/>
    <xf numFmtId="9" fontId="5" fillId="0" borderId="0" xfId="2" applyFont="1"/>
    <xf numFmtId="9" fontId="8" fillId="0" borderId="0" xfId="2" applyFont="1"/>
    <xf numFmtId="0" fontId="10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14288</xdr:colOff>
      <xdr:row>11</xdr:row>
      <xdr:rowOff>38101</xdr:rowOff>
    </xdr:from>
    <xdr:to>
      <xdr:col>6</xdr:col>
      <xdr:colOff>142876</xdr:colOff>
      <xdr:row>31</xdr:row>
      <xdr:rowOff>94759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5CEBB-31DC-89DE-CB20-5FF30DE07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8" y="2133601"/>
          <a:ext cx="3176588" cy="3295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vestor.brunellocucinelli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51A1-D74E-4AEB-99AF-D5881E06E123}">
  <dimension ref="A1:K35"/>
  <sheetViews>
    <sheetView topLeftCell="D1" zoomScale="200" zoomScaleNormal="200" workbookViewId="0">
      <selection activeCell="J7" sqref="J7"/>
    </sheetView>
  </sheetViews>
  <sheetFormatPr defaultRowHeight="12.75" x14ac:dyDescent="0.2"/>
  <cols>
    <col min="1" max="1" width="4.85546875" style="2" customWidth="1"/>
    <col min="2" max="16384" width="9.140625" style="2"/>
  </cols>
  <sheetData>
    <row r="1" spans="1:11" x14ac:dyDescent="0.2">
      <c r="A1" s="5" t="s">
        <v>52</v>
      </c>
    </row>
    <row r="2" spans="1:11" x14ac:dyDescent="0.2">
      <c r="A2" s="2" t="s">
        <v>0</v>
      </c>
      <c r="I2" s="2" t="s">
        <v>1</v>
      </c>
      <c r="J2" s="2">
        <v>87.92</v>
      </c>
    </row>
    <row r="3" spans="1:11" x14ac:dyDescent="0.2">
      <c r="I3" s="2" t="s">
        <v>2</v>
      </c>
      <c r="J3" s="8">
        <v>67.993675999999994</v>
      </c>
      <c r="K3" s="15" t="s">
        <v>73</v>
      </c>
    </row>
    <row r="4" spans="1:11" x14ac:dyDescent="0.2">
      <c r="B4" s="2" t="s">
        <v>53</v>
      </c>
      <c r="I4" s="2" t="s">
        <v>3</v>
      </c>
      <c r="J4" s="8">
        <f>+J2*J3</f>
        <v>5978.0039939199996</v>
      </c>
    </row>
    <row r="5" spans="1:11" x14ac:dyDescent="0.2">
      <c r="B5" s="1" t="s">
        <v>7</v>
      </c>
      <c r="I5" s="2" t="s">
        <v>4</v>
      </c>
      <c r="J5" s="8">
        <f>179.77+0.999</f>
        <v>180.76900000000001</v>
      </c>
      <c r="K5" s="15" t="s">
        <v>73</v>
      </c>
    </row>
    <row r="6" spans="1:11" x14ac:dyDescent="0.2">
      <c r="I6" s="2" t="s">
        <v>5</v>
      </c>
      <c r="J6" s="8">
        <f>230.987+168.736</f>
        <v>399.72299999999996</v>
      </c>
      <c r="K6" s="15" t="s">
        <v>73</v>
      </c>
    </row>
    <row r="7" spans="1:11" x14ac:dyDescent="0.2">
      <c r="I7" s="2" t="s">
        <v>6</v>
      </c>
      <c r="J7" s="8">
        <f>+J4+J6-J5</f>
        <v>6196.9579939199994</v>
      </c>
    </row>
    <row r="9" spans="1:11" x14ac:dyDescent="0.2">
      <c r="I9" s="17" t="s">
        <v>74</v>
      </c>
      <c r="J9" s="2" t="s">
        <v>52</v>
      </c>
    </row>
    <row r="11" spans="1:11" x14ac:dyDescent="0.2">
      <c r="B11" s="12" t="s">
        <v>64</v>
      </c>
    </row>
    <row r="34" spans="2:2" x14ac:dyDescent="0.2">
      <c r="B34" s="13" t="s">
        <v>67</v>
      </c>
    </row>
    <row r="35" spans="2:2" x14ac:dyDescent="0.2">
      <c r="B35" s="2" t="s">
        <v>68</v>
      </c>
    </row>
  </sheetData>
  <hyperlinks>
    <hyperlink ref="B5" r:id="rId1" xr:uid="{7374A89A-6021-4988-A070-080777F6DB0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857E-06C9-4A6E-809B-B62D56C178F7}">
  <dimension ref="A1:BO271"/>
  <sheetViews>
    <sheetView tabSelected="1" zoomScale="200" zoomScaleNormal="20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J10" sqref="J10"/>
    </sheetView>
  </sheetViews>
  <sheetFormatPr defaultRowHeight="12.75" x14ac:dyDescent="0.2"/>
  <cols>
    <col min="1" max="1" width="5.42578125" style="2" bestFit="1" customWidth="1"/>
    <col min="2" max="2" width="27.140625" style="2" customWidth="1"/>
    <col min="3" max="16384" width="9.140625" style="2"/>
  </cols>
  <sheetData>
    <row r="1" spans="1:67" x14ac:dyDescent="0.2">
      <c r="A1" s="1" t="s">
        <v>8</v>
      </c>
    </row>
    <row r="2" spans="1:67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65</v>
      </c>
      <c r="J2" s="3" t="s">
        <v>66</v>
      </c>
      <c r="K2" s="15" t="s">
        <v>70</v>
      </c>
      <c r="L2" s="15" t="s">
        <v>71</v>
      </c>
      <c r="M2" s="3"/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14" t="s">
        <v>69</v>
      </c>
    </row>
    <row r="3" spans="1:67" x14ac:dyDescent="0.2">
      <c r="B3" s="2" t="s">
        <v>22</v>
      </c>
      <c r="C3" s="4"/>
      <c r="D3" s="4"/>
      <c r="E3" s="4"/>
      <c r="F3" s="4">
        <f>+S3</f>
        <v>13</v>
      </c>
      <c r="G3" s="4">
        <v>13</v>
      </c>
      <c r="H3" s="4">
        <f>+T3</f>
        <v>0</v>
      </c>
      <c r="I3" s="4"/>
      <c r="J3" s="4"/>
      <c r="K3" s="4"/>
      <c r="L3" s="4"/>
      <c r="M3" s="4"/>
      <c r="N3" s="4">
        <v>15</v>
      </c>
      <c r="O3" s="4">
        <v>14</v>
      </c>
      <c r="P3" s="4">
        <v>14</v>
      </c>
      <c r="Q3" s="4">
        <v>14</v>
      </c>
      <c r="R3" s="4">
        <v>14</v>
      </c>
      <c r="S3" s="4">
        <v>13</v>
      </c>
      <c r="T3" s="4"/>
      <c r="U3" s="20" t="s">
        <v>72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7" x14ac:dyDescent="0.2">
      <c r="B4" s="2" t="s">
        <v>23</v>
      </c>
      <c r="C4" s="4"/>
      <c r="D4" s="4"/>
      <c r="E4" s="4"/>
      <c r="F4" s="4">
        <f t="shared" ref="F4:F6" si="0">+S4</f>
        <v>46</v>
      </c>
      <c r="G4" s="4">
        <v>46</v>
      </c>
      <c r="H4" s="4">
        <f t="shared" ref="H4:H6" si="1">+T4</f>
        <v>0</v>
      </c>
      <c r="I4" s="4"/>
      <c r="J4" s="4"/>
      <c r="K4" s="4"/>
      <c r="L4" s="4"/>
      <c r="M4" s="4"/>
      <c r="N4" s="4">
        <v>46</v>
      </c>
      <c r="O4" s="4">
        <v>48</v>
      </c>
      <c r="P4" s="4">
        <v>49</v>
      </c>
      <c r="Q4" s="4">
        <v>46</v>
      </c>
      <c r="R4" s="4">
        <v>45</v>
      </c>
      <c r="S4" s="4">
        <v>46</v>
      </c>
      <c r="T4" s="4"/>
      <c r="U4" s="4">
        <v>60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7" x14ac:dyDescent="0.2">
      <c r="B5" s="2" t="s">
        <v>24</v>
      </c>
      <c r="C5" s="4"/>
      <c r="D5" s="4"/>
      <c r="E5" s="4"/>
      <c r="F5" s="4">
        <f t="shared" si="0"/>
        <v>35</v>
      </c>
      <c r="G5" s="4">
        <v>36</v>
      </c>
      <c r="H5" s="4">
        <f t="shared" si="1"/>
        <v>0</v>
      </c>
      <c r="I5" s="4"/>
      <c r="J5" s="4"/>
      <c r="K5" s="4"/>
      <c r="L5" s="4"/>
      <c r="M5" s="4"/>
      <c r="N5" s="4">
        <v>26</v>
      </c>
      <c r="O5" s="4">
        <v>31</v>
      </c>
      <c r="P5" s="4">
        <v>32</v>
      </c>
      <c r="Q5" s="4">
        <v>36</v>
      </c>
      <c r="R5" s="4">
        <v>38</v>
      </c>
      <c r="S5" s="4">
        <v>35</v>
      </c>
      <c r="T5" s="4"/>
      <c r="U5" s="4">
        <v>39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 spans="1:67" x14ac:dyDescent="0.2">
      <c r="B6" s="2" t="s">
        <v>25</v>
      </c>
      <c r="C6" s="4"/>
      <c r="D6" s="4"/>
      <c r="E6" s="4"/>
      <c r="F6" s="4">
        <f t="shared" si="0"/>
        <v>58</v>
      </c>
      <c r="G6" s="4">
        <v>58</v>
      </c>
      <c r="H6" s="4">
        <f t="shared" si="1"/>
        <v>0</v>
      </c>
      <c r="I6" s="4"/>
      <c r="J6" s="4"/>
      <c r="K6" s="4"/>
      <c r="L6" s="4"/>
      <c r="M6" s="4"/>
      <c r="N6" s="4">
        <f>22+18</f>
        <v>40</v>
      </c>
      <c r="O6" s="4">
        <f>24+19</f>
        <v>43</v>
      </c>
      <c r="P6" s="4">
        <f>24+19</f>
        <v>43</v>
      </c>
      <c r="Q6" s="4">
        <v>48</v>
      </c>
      <c r="R6" s="4">
        <v>52</v>
      </c>
      <c r="S6" s="4">
        <v>58</v>
      </c>
      <c r="T6" s="4"/>
      <c r="U6" s="4">
        <v>65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spans="1:67" x14ac:dyDescent="0.2">
      <c r="B7" s="18" t="s">
        <v>75</v>
      </c>
      <c r="C7" s="4"/>
      <c r="D7" s="4"/>
      <c r="E7" s="4"/>
      <c r="F7" s="4"/>
      <c r="G7" s="4"/>
      <c r="H7" s="4"/>
      <c r="I7" s="4"/>
      <c r="J7" s="6">
        <v>136</v>
      </c>
      <c r="K7" s="6">
        <v>141</v>
      </c>
      <c r="L7" s="4"/>
      <c r="M7" s="4"/>
      <c r="N7" s="4"/>
      <c r="O7" s="4"/>
      <c r="P7" s="4"/>
      <c r="Q7" s="4"/>
      <c r="R7" s="4"/>
      <c r="S7" s="4"/>
      <c r="T7" s="4">
        <v>130</v>
      </c>
      <c r="U7" s="4">
        <v>136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spans="1:67" x14ac:dyDescent="0.2">
      <c r="B8" s="18" t="s">
        <v>76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v>27</v>
      </c>
      <c r="U8" s="4">
        <v>28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</row>
    <row r="9" spans="1:67" x14ac:dyDescent="0.2">
      <c r="B9" s="5" t="s">
        <v>26</v>
      </c>
      <c r="C9" s="6">
        <f t="shared" ref="C9:F9" si="2">+SUM(C3:C6)</f>
        <v>0</v>
      </c>
      <c r="D9" s="6">
        <f t="shared" si="2"/>
        <v>0</v>
      </c>
      <c r="E9" s="6">
        <f t="shared" si="2"/>
        <v>0</v>
      </c>
      <c r="F9" s="6">
        <f t="shared" si="2"/>
        <v>152</v>
      </c>
      <c r="G9" s="6">
        <f>+SUM(G3:G6)</f>
        <v>153</v>
      </c>
      <c r="H9" s="6">
        <f>+SUM(H3:H6)</f>
        <v>0</v>
      </c>
      <c r="I9" s="6"/>
      <c r="J9" s="19"/>
      <c r="K9" s="6"/>
      <c r="L9" s="4"/>
      <c r="M9" s="6"/>
      <c r="N9" s="6">
        <f t="shared" ref="N9:S9" si="3">+SUM(N3:N6)</f>
        <v>127</v>
      </c>
      <c r="O9" s="6">
        <f t="shared" si="3"/>
        <v>136</v>
      </c>
      <c r="P9" s="6">
        <f t="shared" si="3"/>
        <v>138</v>
      </c>
      <c r="Q9" s="6">
        <f t="shared" si="3"/>
        <v>144</v>
      </c>
      <c r="R9" s="6">
        <f t="shared" si="3"/>
        <v>149</v>
      </c>
      <c r="S9" s="6">
        <f t="shared" si="3"/>
        <v>152</v>
      </c>
      <c r="T9" s="6">
        <v>157</v>
      </c>
      <c r="U9" s="6">
        <v>164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</row>
    <row r="10" spans="1:67" x14ac:dyDescent="0.2">
      <c r="B10" s="2" t="s">
        <v>62</v>
      </c>
      <c r="C10" s="7" t="e">
        <f t="shared" ref="C10" si="4">+C18/C9</f>
        <v>#DIV/0!</v>
      </c>
      <c r="D10" s="7" t="e">
        <f t="shared" ref="D10" si="5">+D18/D9</f>
        <v>#DIV/0!</v>
      </c>
      <c r="E10" s="7" t="e">
        <f t="shared" ref="E10" si="6">+E18/E9</f>
        <v>#DIV/0!</v>
      </c>
      <c r="F10" s="7">
        <f t="shared" ref="F10" si="7">+F18/F9</f>
        <v>3.9176184210526315</v>
      </c>
      <c r="G10" s="7">
        <f t="shared" ref="G10" si="8">+G18/G9</f>
        <v>4.0566143790849676</v>
      </c>
      <c r="H10" s="7" t="e">
        <f t="shared" ref="H10" si="9">+H18/H9</f>
        <v>#DIV/0!</v>
      </c>
      <c r="I10" s="7"/>
      <c r="J10" s="7"/>
      <c r="K10" s="7"/>
      <c r="L10" s="7"/>
      <c r="M10" s="6"/>
      <c r="N10" s="7">
        <f t="shared" ref="N10:R10" si="10">+N18/N9</f>
        <v>4.3542992125984252</v>
      </c>
      <c r="O10" s="7">
        <f t="shared" si="10"/>
        <v>4.4688308823529406</v>
      </c>
      <c r="P10" s="7">
        <f t="shared" si="10"/>
        <v>3.9421231884057972</v>
      </c>
      <c r="Q10" s="7">
        <f t="shared" si="10"/>
        <v>4.9456875000000009</v>
      </c>
      <c r="R10" s="7">
        <f t="shared" si="10"/>
        <v>6.1725369127516787</v>
      </c>
      <c r="S10" s="7">
        <f>+S18/S9</f>
        <v>7.4961842105263159</v>
      </c>
      <c r="T10" s="7">
        <f t="shared" ref="T10:U10" si="11">+T18/T9</f>
        <v>8.1435668789808915</v>
      </c>
      <c r="U10" s="7">
        <f t="shared" si="11"/>
        <v>8.5850670731707321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</row>
    <row r="11" spans="1:67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7" x14ac:dyDescent="0.2">
      <c r="B12" s="2" t="s">
        <v>27</v>
      </c>
      <c r="C12" s="8"/>
      <c r="D12" s="8"/>
      <c r="E12" s="8">
        <v>141.881</v>
      </c>
      <c r="F12" s="8">
        <f>+S12-E12</f>
        <v>157.499</v>
      </c>
      <c r="G12" s="8">
        <v>152.959</v>
      </c>
      <c r="H12" s="8"/>
      <c r="I12" s="8">
        <v>243.21299999999999</v>
      </c>
      <c r="J12" s="8"/>
      <c r="K12" s="8">
        <v>255.58199999999999</v>
      </c>
      <c r="L12" s="8"/>
      <c r="M12" s="8"/>
      <c r="N12" s="8">
        <v>163.70699999999999</v>
      </c>
      <c r="O12" s="8">
        <v>176.9</v>
      </c>
      <c r="P12" s="8">
        <v>173.078</v>
      </c>
      <c r="Q12" s="8">
        <v>219.15</v>
      </c>
      <c r="R12" s="8">
        <v>263.81400000000002</v>
      </c>
      <c r="S12" s="8">
        <v>299.38</v>
      </c>
      <c r="T12" s="8">
        <v>315.666</v>
      </c>
      <c r="U12" s="8">
        <v>494.92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 spans="1:67" x14ac:dyDescent="0.2">
      <c r="B13" s="2" t="s">
        <v>28</v>
      </c>
      <c r="C13" s="8"/>
      <c r="D13" s="8"/>
      <c r="E13" s="8">
        <v>60.887999999999998</v>
      </c>
      <c r="F13" s="8">
        <f t="shared" ref="F13:F34" si="12">+S13-E13</f>
        <v>67.963999999999999</v>
      </c>
      <c r="G13" s="8">
        <v>68.093000000000004</v>
      </c>
      <c r="H13" s="8"/>
      <c r="I13" s="16" t="s">
        <v>72</v>
      </c>
      <c r="J13" s="8"/>
      <c r="K13" s="16" t="s">
        <v>72</v>
      </c>
      <c r="L13" s="8"/>
      <c r="M13" s="8"/>
      <c r="N13" s="8">
        <v>88.22</v>
      </c>
      <c r="O13" s="8">
        <v>89.72</v>
      </c>
      <c r="P13" s="8">
        <v>68.322999999999993</v>
      </c>
      <c r="Q13" s="8">
        <v>84.222999999999999</v>
      </c>
      <c r="R13" s="8">
        <v>102.753</v>
      </c>
      <c r="S13" s="8">
        <v>128.852</v>
      </c>
      <c r="T13" s="8">
        <v>140.92099999999999</v>
      </c>
      <c r="U13" s="8">
        <v>0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</row>
    <row r="14" spans="1:67" x14ac:dyDescent="0.2">
      <c r="B14" s="2" t="s">
        <v>29</v>
      </c>
      <c r="C14" s="8"/>
      <c r="D14" s="8"/>
      <c r="E14" s="8">
        <v>189.00700000000001</v>
      </c>
      <c r="F14" s="8">
        <f t="shared" si="12"/>
        <v>215.44599999999997</v>
      </c>
      <c r="G14" s="8">
        <v>225.61600000000001</v>
      </c>
      <c r="H14" s="8"/>
      <c r="I14" s="8">
        <v>245.23699999999999</v>
      </c>
      <c r="J14" s="8"/>
      <c r="K14" s="8">
        <v>278.67099999999999</v>
      </c>
      <c r="L14" s="8"/>
      <c r="M14" s="8"/>
      <c r="N14" s="8">
        <v>187.23599999999999</v>
      </c>
      <c r="O14" s="8">
        <v>205.768</v>
      </c>
      <c r="P14" s="8">
        <v>174.24199999999999</v>
      </c>
      <c r="Q14" s="8">
        <v>238.238</v>
      </c>
      <c r="R14" s="8">
        <v>334.69299999999998</v>
      </c>
      <c r="S14" s="8">
        <v>404.45299999999997</v>
      </c>
      <c r="T14" s="8">
        <v>476.55900000000003</v>
      </c>
      <c r="U14" s="8">
        <v>520.48800000000006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spans="1:67" x14ac:dyDescent="0.2">
      <c r="B15" s="2" t="s">
        <v>30</v>
      </c>
      <c r="C15" s="8"/>
      <c r="D15" s="8"/>
      <c r="E15" s="8">
        <v>152.166</v>
      </c>
      <c r="F15" s="8">
        <f t="shared" si="12"/>
        <v>154.56900000000002</v>
      </c>
      <c r="G15" s="8">
        <v>173.994</v>
      </c>
      <c r="H15" s="8"/>
      <c r="I15" s="8">
        <v>195.66200000000001</v>
      </c>
      <c r="J15" s="8"/>
      <c r="K15" s="8">
        <v>215.15799999999999</v>
      </c>
      <c r="L15" s="8"/>
      <c r="M15" s="8"/>
      <c r="N15" s="8">
        <f>54.887+58.946</f>
        <v>113.833</v>
      </c>
      <c r="O15" s="8">
        <v>135.37299999999999</v>
      </c>
      <c r="P15" s="8">
        <v>128.37</v>
      </c>
      <c r="Q15" s="8">
        <v>170.56800000000001</v>
      </c>
      <c r="R15" s="8">
        <v>218.44800000000001</v>
      </c>
      <c r="S15" s="8">
        <v>306.73500000000001</v>
      </c>
      <c r="T15" s="8">
        <v>345.39400000000001</v>
      </c>
      <c r="U15" s="8">
        <v>392.54300000000001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</row>
    <row r="16" spans="1:67" x14ac:dyDescent="0.2">
      <c r="B16" s="2" t="s">
        <v>31</v>
      </c>
      <c r="C16" s="8"/>
      <c r="D16" s="8"/>
      <c r="E16" s="8">
        <v>344.64800000000002</v>
      </c>
      <c r="F16" s="8">
        <f t="shared" si="12"/>
        <v>402.16800000000001</v>
      </c>
      <c r="G16" s="8">
        <v>395.18400000000003</v>
      </c>
      <c r="H16" s="8"/>
      <c r="I16" s="8">
        <v>435.80599999999998</v>
      </c>
      <c r="J16" s="8"/>
      <c r="K16" s="8">
        <v>499.76499999999999</v>
      </c>
      <c r="L16" s="8"/>
      <c r="M16" s="8"/>
      <c r="N16" s="8">
        <v>296.26499999999999</v>
      </c>
      <c r="O16" s="8">
        <v>339.435</v>
      </c>
      <c r="P16" s="8">
        <v>268.77300000000002</v>
      </c>
      <c r="Q16" s="8">
        <v>419.81700000000001</v>
      </c>
      <c r="R16" s="8">
        <v>573.32000000000005</v>
      </c>
      <c r="S16" s="8">
        <v>746.81600000000003</v>
      </c>
      <c r="T16" s="8">
        <v>851.24300000000005</v>
      </c>
      <c r="U16" s="8">
        <v>947.00900000000001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</row>
    <row r="17" spans="2:67" x14ac:dyDescent="0.2">
      <c r="B17" s="2" t="s">
        <v>32</v>
      </c>
      <c r="C17" s="8"/>
      <c r="D17" s="8"/>
      <c r="E17" s="8">
        <v>199.29400000000001</v>
      </c>
      <c r="F17" s="8">
        <f t="shared" si="12"/>
        <v>193.30999999999997</v>
      </c>
      <c r="G17" s="8">
        <v>225.47800000000001</v>
      </c>
      <c r="H17" s="8"/>
      <c r="I17" s="8">
        <v>248.24100000000001</v>
      </c>
      <c r="J17" s="8"/>
      <c r="K17" s="8">
        <v>249.64599999999999</v>
      </c>
      <c r="L17" s="8"/>
      <c r="M17" s="8"/>
      <c r="N17" s="8">
        <f>30.205+226.526</f>
        <v>256.73099999999999</v>
      </c>
      <c r="O17" s="8">
        <v>268.32600000000002</v>
      </c>
      <c r="P17" s="8">
        <v>275.24</v>
      </c>
      <c r="Q17" s="8">
        <v>292.36200000000002</v>
      </c>
      <c r="R17" s="8">
        <v>346.38799999999998</v>
      </c>
      <c r="S17" s="8">
        <v>392.60399999999998</v>
      </c>
      <c r="T17" s="8">
        <v>427.29700000000003</v>
      </c>
      <c r="U17" s="8">
        <v>460.94200000000001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</row>
    <row r="18" spans="2:67" x14ac:dyDescent="0.2">
      <c r="B18" s="5" t="s">
        <v>33</v>
      </c>
      <c r="C18" s="9">
        <f t="shared" ref="C18:D18" si="13">+C16+C17</f>
        <v>0</v>
      </c>
      <c r="D18" s="9">
        <f t="shared" si="13"/>
        <v>0</v>
      </c>
      <c r="E18" s="9">
        <f>+E16+E17</f>
        <v>543.94200000000001</v>
      </c>
      <c r="F18" s="9">
        <f t="shared" ref="F18:G18" si="14">+F16+F17</f>
        <v>595.47799999999995</v>
      </c>
      <c r="G18" s="9">
        <f t="shared" si="14"/>
        <v>620.66200000000003</v>
      </c>
      <c r="H18" s="9"/>
      <c r="I18" s="9">
        <v>684.13499999999999</v>
      </c>
      <c r="J18" s="9"/>
      <c r="K18" s="9">
        <v>749.41099999999994</v>
      </c>
      <c r="L18" s="9"/>
      <c r="M18" s="8"/>
      <c r="N18" s="9">
        <f t="shared" ref="N18:R18" si="15">+N16+N17</f>
        <v>552.99599999999998</v>
      </c>
      <c r="O18" s="9">
        <f t="shared" si="15"/>
        <v>607.76099999999997</v>
      </c>
      <c r="P18" s="9">
        <f t="shared" si="15"/>
        <v>544.01300000000003</v>
      </c>
      <c r="Q18" s="9">
        <f t="shared" si="15"/>
        <v>712.17900000000009</v>
      </c>
      <c r="R18" s="9">
        <f t="shared" si="15"/>
        <v>919.70800000000008</v>
      </c>
      <c r="S18" s="9">
        <f>+S16+S17</f>
        <v>1139.42</v>
      </c>
      <c r="T18" s="9">
        <f>+T16+T17</f>
        <v>1278.54</v>
      </c>
      <c r="U18" s="9">
        <v>1407.951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</row>
    <row r="19" spans="2:67" x14ac:dyDescent="0.2">
      <c r="B19" s="2" t="s">
        <v>34</v>
      </c>
      <c r="C19" s="8"/>
      <c r="D19" s="8"/>
      <c r="E19" s="8">
        <v>54</v>
      </c>
      <c r="F19" s="8">
        <f t="shared" si="12"/>
        <v>60.343000000000004</v>
      </c>
      <c r="G19" s="8">
        <v>39.276000000000003</v>
      </c>
      <c r="H19" s="8"/>
      <c r="I19" s="8">
        <v>58.384</v>
      </c>
      <c r="J19" s="8"/>
      <c r="K19" s="8">
        <v>68.566999999999993</v>
      </c>
      <c r="L19" s="8"/>
      <c r="M19" s="8"/>
      <c r="N19" s="8">
        <v>88.055999999999997</v>
      </c>
      <c r="O19" s="8">
        <v>72.278999999999996</v>
      </c>
      <c r="P19" s="8">
        <v>53.725000000000001</v>
      </c>
      <c r="Q19" s="8">
        <v>113.61</v>
      </c>
      <c r="R19" s="8">
        <v>95.537000000000006</v>
      </c>
      <c r="S19" s="8">
        <v>114.343</v>
      </c>
      <c r="T19" s="8">
        <v>101.8</v>
      </c>
      <c r="U19" s="8">
        <v>121.099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</row>
    <row r="20" spans="2:67" x14ac:dyDescent="0.2">
      <c r="B20" s="2" t="s">
        <v>35</v>
      </c>
      <c r="C20" s="8">
        <f t="shared" ref="C20:F20" si="16">+C18-C19</f>
        <v>0</v>
      </c>
      <c r="D20" s="8">
        <f t="shared" si="16"/>
        <v>0</v>
      </c>
      <c r="E20" s="8">
        <f t="shared" si="16"/>
        <v>489.94200000000001</v>
      </c>
      <c r="F20" s="8">
        <f t="shared" si="16"/>
        <v>535.13499999999999</v>
      </c>
      <c r="G20" s="8">
        <f>+G18-G19</f>
        <v>581.38600000000008</v>
      </c>
      <c r="H20" s="8">
        <f t="shared" ref="H20:K20" si="17">+H18-H19</f>
        <v>0</v>
      </c>
      <c r="I20" s="8">
        <f t="shared" si="17"/>
        <v>625.75099999999998</v>
      </c>
      <c r="J20" s="8">
        <f t="shared" si="17"/>
        <v>0</v>
      </c>
      <c r="K20" s="8">
        <f t="shared" si="17"/>
        <v>680.84399999999994</v>
      </c>
      <c r="L20" s="8"/>
      <c r="M20" s="8"/>
      <c r="N20" s="8">
        <f t="shared" ref="N20:Q20" si="18">+N18-N19</f>
        <v>464.94</v>
      </c>
      <c r="O20" s="8">
        <f t="shared" si="18"/>
        <v>535.48199999999997</v>
      </c>
      <c r="P20" s="8">
        <f t="shared" si="18"/>
        <v>490.28800000000001</v>
      </c>
      <c r="Q20" s="8">
        <f t="shared" si="18"/>
        <v>598.56900000000007</v>
      </c>
      <c r="R20" s="8">
        <f>+R18-R19</f>
        <v>824.17100000000005</v>
      </c>
      <c r="S20" s="8">
        <f>+S18-S19</f>
        <v>1025.077</v>
      </c>
      <c r="T20" s="8">
        <f>+T18-T19</f>
        <v>1176.74</v>
      </c>
      <c r="U20" s="8">
        <f>+U18-U19</f>
        <v>1286.8520000000001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2:67" x14ac:dyDescent="0.2">
      <c r="B21" s="2" t="s">
        <v>36</v>
      </c>
      <c r="C21" s="8"/>
      <c r="D21" s="8"/>
      <c r="E21" s="8">
        <v>227.84</v>
      </c>
      <c r="F21" s="8">
        <f t="shared" si="12"/>
        <v>247.929</v>
      </c>
      <c r="G21" s="8">
        <v>281.505</v>
      </c>
      <c r="H21" s="8"/>
      <c r="I21" s="8">
        <v>291.43700000000001</v>
      </c>
      <c r="J21" s="8"/>
      <c r="K21" s="8">
        <v>303.24099999999999</v>
      </c>
      <c r="L21" s="8"/>
      <c r="M21" s="8"/>
      <c r="N21" s="8">
        <v>268.32799999999997</v>
      </c>
      <c r="O21" s="8">
        <v>248.06700000000001</v>
      </c>
      <c r="P21" s="8">
        <v>243.29599999999999</v>
      </c>
      <c r="Q21" s="8">
        <v>271.084</v>
      </c>
      <c r="R21" s="8">
        <v>372.22399999999999</v>
      </c>
      <c r="S21" s="8">
        <v>475.76900000000001</v>
      </c>
      <c r="T21" s="8">
        <v>560.36099999999999</v>
      </c>
      <c r="U21" s="8">
        <v>595.73699999999997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</row>
    <row r="22" spans="2:67" x14ac:dyDescent="0.2">
      <c r="B22" s="2" t="s">
        <v>37</v>
      </c>
      <c r="C22" s="8"/>
      <c r="D22" s="8"/>
      <c r="E22" s="8">
        <v>93.332999999999998</v>
      </c>
      <c r="F22" s="8">
        <f t="shared" si="12"/>
        <v>101.636</v>
      </c>
      <c r="G22" s="8">
        <v>113.197</v>
      </c>
      <c r="H22" s="8"/>
      <c r="I22" s="8">
        <v>125.614</v>
      </c>
      <c r="J22" s="8"/>
      <c r="K22" s="8">
        <v>138.36699999999999</v>
      </c>
      <c r="L22" s="8"/>
      <c r="M22" s="8"/>
      <c r="N22" s="8">
        <v>98.328999999999994</v>
      </c>
      <c r="O22" s="8">
        <v>112.199</v>
      </c>
      <c r="P22" s="8">
        <v>119.569</v>
      </c>
      <c r="Q22" s="8">
        <v>132.94800000000001</v>
      </c>
      <c r="R22" s="8">
        <v>164.71299999999999</v>
      </c>
      <c r="S22" s="8">
        <v>194.96899999999999</v>
      </c>
      <c r="T22" s="8">
        <v>233.49199999999999</v>
      </c>
      <c r="U22" s="8">
        <v>255.36699999999999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</row>
    <row r="23" spans="2:67" x14ac:dyDescent="0.2">
      <c r="B23" s="2" t="s">
        <v>38</v>
      </c>
      <c r="C23" s="8"/>
      <c r="D23" s="8"/>
      <c r="E23" s="8">
        <v>13.581</v>
      </c>
      <c r="F23" s="8">
        <f t="shared" si="12"/>
        <v>7.9879999999999995</v>
      </c>
      <c r="G23" s="8">
        <v>10.613</v>
      </c>
      <c r="H23" s="8"/>
      <c r="I23" s="8">
        <v>8.9450000000000003</v>
      </c>
      <c r="J23" s="8"/>
      <c r="K23" s="8">
        <v>13.019</v>
      </c>
      <c r="L23" s="8"/>
      <c r="M23" s="8"/>
      <c r="N23" s="8">
        <v>5.9160000000000004</v>
      </c>
      <c r="O23" s="8">
        <v>7.53</v>
      </c>
      <c r="P23" s="8">
        <v>8.9019999999999992</v>
      </c>
      <c r="Q23" s="8">
        <v>9.8130000000000006</v>
      </c>
      <c r="R23" s="8">
        <v>16.491</v>
      </c>
      <c r="S23" s="8">
        <v>21.568999999999999</v>
      </c>
      <c r="T23" s="8">
        <v>21.079000000000001</v>
      </c>
      <c r="U23" s="8">
        <v>25.614000000000001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</row>
    <row r="24" spans="2:67" x14ac:dyDescent="0.2">
      <c r="B24" s="2" t="s">
        <v>39</v>
      </c>
      <c r="C24" s="8"/>
      <c r="D24" s="8"/>
      <c r="E24" s="8">
        <v>0.98299999999999998</v>
      </c>
      <c r="F24" s="8">
        <f t="shared" si="12"/>
        <v>1.3860000000000001</v>
      </c>
      <c r="G24" s="8">
        <v>1.7669999999999999</v>
      </c>
      <c r="H24" s="8"/>
      <c r="I24" s="8">
        <v>1.556</v>
      </c>
      <c r="J24" s="8"/>
      <c r="K24" s="8">
        <v>1.716</v>
      </c>
      <c r="L24" s="8"/>
      <c r="M24" s="8"/>
      <c r="N24" s="8">
        <v>1.448</v>
      </c>
      <c r="O24" s="8">
        <v>0.82599999999999996</v>
      </c>
      <c r="P24" s="8">
        <v>2.7719999999999998</v>
      </c>
      <c r="Q24" s="8">
        <v>10.054</v>
      </c>
      <c r="R24" s="8">
        <v>1.9470000000000001</v>
      </c>
      <c r="S24" s="8">
        <v>2.3690000000000002</v>
      </c>
      <c r="T24" s="8">
        <v>3.2709999999999999</v>
      </c>
      <c r="U24" s="8">
        <v>5.4039999999999999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</row>
    <row r="25" spans="2:67" x14ac:dyDescent="0.2">
      <c r="B25" s="2" t="s">
        <v>40</v>
      </c>
      <c r="C25" s="8"/>
      <c r="D25" s="8"/>
      <c r="E25" s="8">
        <v>0.76200000000000001</v>
      </c>
      <c r="F25" s="8">
        <f t="shared" si="12"/>
        <v>1.67</v>
      </c>
      <c r="G25" s="8">
        <v>0.78900000000000003</v>
      </c>
      <c r="H25" s="8"/>
      <c r="I25" s="8">
        <v>0.82099999999999995</v>
      </c>
      <c r="J25" s="8"/>
      <c r="K25" s="8">
        <v>0.55800000000000005</v>
      </c>
      <c r="L25" s="8"/>
      <c r="M25" s="8"/>
      <c r="N25" s="8">
        <v>2.4700000000000002</v>
      </c>
      <c r="O25" s="8">
        <v>2.3820000000000001</v>
      </c>
      <c r="P25" s="8">
        <v>3.258</v>
      </c>
      <c r="Q25" s="8">
        <v>3.4449999999999998</v>
      </c>
      <c r="R25" s="8">
        <v>2.153</v>
      </c>
      <c r="S25" s="8">
        <v>2.4319999999999999</v>
      </c>
      <c r="T25" s="8">
        <v>2.4169999999999998</v>
      </c>
      <c r="U25" s="8">
        <v>1.7350000000000001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</row>
    <row r="26" spans="2:67" x14ac:dyDescent="0.2">
      <c r="B26" s="2" t="s">
        <v>41</v>
      </c>
      <c r="C26" s="8"/>
      <c r="D26" s="8"/>
      <c r="E26" s="8">
        <v>67.114999999999995</v>
      </c>
      <c r="F26" s="8">
        <f t="shared" si="12"/>
        <v>71.73</v>
      </c>
      <c r="G26" s="8">
        <v>73.167000000000002</v>
      </c>
      <c r="H26" s="8"/>
      <c r="I26" s="8">
        <v>86.778000000000006</v>
      </c>
      <c r="J26" s="8"/>
      <c r="K26" s="8">
        <v>98.343000000000004</v>
      </c>
      <c r="L26" s="8"/>
      <c r="M26" s="8"/>
      <c r="N26" s="8">
        <v>25.605</v>
      </c>
      <c r="O26" s="8">
        <v>86.25</v>
      </c>
      <c r="P26" s="8">
        <v>104.28400000000001</v>
      </c>
      <c r="Q26" s="8">
        <v>116.27500000000001</v>
      </c>
      <c r="R26" s="8">
        <v>131.94499999999999</v>
      </c>
      <c r="S26" s="8">
        <v>138.845</v>
      </c>
      <c r="T26" s="8">
        <v>153.00399999999999</v>
      </c>
      <c r="U26" s="8">
        <v>180.61199999999999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</row>
    <row r="27" spans="2:67" x14ac:dyDescent="0.2">
      <c r="B27" s="2" t="s">
        <v>42</v>
      </c>
      <c r="C27" s="8"/>
      <c r="D27" s="8"/>
      <c r="E27" s="8">
        <v>2.125</v>
      </c>
      <c r="F27" s="8">
        <f t="shared" si="12"/>
        <v>9.1950000000000003</v>
      </c>
      <c r="G27" s="8">
        <v>0.873</v>
      </c>
      <c r="H27" s="8"/>
      <c r="I27" s="8">
        <v>1.5169999999999999</v>
      </c>
      <c r="J27" s="8"/>
      <c r="K27" s="8">
        <v>1.9490000000000001</v>
      </c>
      <c r="L27" s="8"/>
      <c r="M27" s="8"/>
      <c r="N27" s="8">
        <v>1.1419999999999999</v>
      </c>
      <c r="O27" s="8">
        <v>1.268</v>
      </c>
      <c r="P27" s="8">
        <v>35.085000000000001</v>
      </c>
      <c r="Q27" s="8">
        <v>4.9119999999999999</v>
      </c>
      <c r="R27" s="8">
        <v>8.4860000000000007</v>
      </c>
      <c r="S27" s="8">
        <v>11.32</v>
      </c>
      <c r="T27" s="8">
        <v>2.8210000000000002</v>
      </c>
      <c r="U27" s="8">
        <v>8.8770000000000007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</row>
    <row r="28" spans="2:67" x14ac:dyDescent="0.2">
      <c r="B28" s="2" t="s">
        <v>43</v>
      </c>
      <c r="C28" s="8">
        <f t="shared" ref="C28:F28" si="19">+C20-SUM(C21:C23)+C24+C25-C26-C27</f>
        <v>0</v>
      </c>
      <c r="D28" s="8">
        <f t="shared" si="19"/>
        <v>0</v>
      </c>
      <c r="E28" s="8">
        <f t="shared" si="19"/>
        <v>87.692999999999998</v>
      </c>
      <c r="F28" s="8">
        <f t="shared" si="19"/>
        <v>99.712999999999965</v>
      </c>
      <c r="G28" s="8">
        <f>+G20-SUM(G21:G23)+G24+G25-G26-G27</f>
        <v>104.58700000000006</v>
      </c>
      <c r="H28" s="8">
        <f t="shared" ref="H28:U28" si="20">+H20-SUM(H21:H23)+H24+H25-H26-H27</f>
        <v>0</v>
      </c>
      <c r="I28" s="8">
        <f t="shared" si="20"/>
        <v>113.83699999999995</v>
      </c>
      <c r="J28" s="8">
        <f t="shared" si="20"/>
        <v>0</v>
      </c>
      <c r="K28" s="8">
        <f t="shared" si="20"/>
        <v>128.19899999999996</v>
      </c>
      <c r="L28" s="8"/>
      <c r="M28" s="8"/>
      <c r="N28" s="8">
        <f t="shared" si="20"/>
        <v>69.538000000000011</v>
      </c>
      <c r="O28" s="8">
        <f t="shared" si="20"/>
        <v>83.375999999999976</v>
      </c>
      <c r="P28" s="8">
        <f t="shared" si="20"/>
        <v>-14.817999999999991</v>
      </c>
      <c r="Q28" s="8">
        <f t="shared" si="20"/>
        <v>77.03600000000003</v>
      </c>
      <c r="R28" s="8">
        <f t="shared" si="20"/>
        <v>134.41200000000009</v>
      </c>
      <c r="S28" s="8">
        <f t="shared" si="20"/>
        <v>187.40600000000003</v>
      </c>
      <c r="T28" s="8">
        <f t="shared" si="20"/>
        <v>211.67100000000011</v>
      </c>
      <c r="U28" s="8">
        <f t="shared" si="20"/>
        <v>227.78400000000013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</row>
    <row r="29" spans="2:67" x14ac:dyDescent="0.2">
      <c r="B29" s="2" t="s">
        <v>44</v>
      </c>
      <c r="C29" s="8"/>
      <c r="D29" s="8"/>
      <c r="E29" s="8">
        <v>49.067</v>
      </c>
      <c r="F29" s="8">
        <f t="shared" si="12"/>
        <v>12.271000000000001</v>
      </c>
      <c r="G29" s="8">
        <v>28.606000000000002</v>
      </c>
      <c r="H29" s="8"/>
      <c r="I29" s="8">
        <v>53.683999999999997</v>
      </c>
      <c r="J29" s="8"/>
      <c r="K29" s="8">
        <v>40.207000000000001</v>
      </c>
      <c r="L29" s="8"/>
      <c r="M29" s="8"/>
      <c r="N29" s="8">
        <v>26.33</v>
      </c>
      <c r="O29" s="8">
        <v>41.401000000000003</v>
      </c>
      <c r="P29" s="8">
        <v>46.956000000000003</v>
      </c>
      <c r="Q29" s="8">
        <v>34.908000000000001</v>
      </c>
      <c r="R29" s="8">
        <v>80.917000000000002</v>
      </c>
      <c r="S29" s="8">
        <v>61.338000000000001</v>
      </c>
      <c r="T29" s="8">
        <v>67.558999999999997</v>
      </c>
      <c r="U29" s="8">
        <v>84.634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</row>
    <row r="30" spans="2:67" x14ac:dyDescent="0.2">
      <c r="B30" s="2" t="s">
        <v>45</v>
      </c>
      <c r="C30" s="8"/>
      <c r="D30" s="8"/>
      <c r="E30" s="8">
        <v>46.637999999999998</v>
      </c>
      <c r="F30" s="8">
        <f t="shared" si="12"/>
        <v>0.63500000000000512</v>
      </c>
      <c r="G30" s="8">
        <v>19.265999999999998</v>
      </c>
      <c r="H30" s="8"/>
      <c r="I30" s="8">
        <v>47.203000000000003</v>
      </c>
      <c r="J30" s="8"/>
      <c r="K30" s="8">
        <v>21.797000000000001</v>
      </c>
      <c r="L30" s="8"/>
      <c r="M30" s="8"/>
      <c r="N30" s="8">
        <v>22.074000000000002</v>
      </c>
      <c r="O30" s="8">
        <v>27.201000000000001</v>
      </c>
      <c r="P30" s="8">
        <v>27.992000000000001</v>
      </c>
      <c r="Q30" s="8">
        <v>21.898</v>
      </c>
      <c r="R30" s="8">
        <v>70.471999999999994</v>
      </c>
      <c r="S30" s="8">
        <v>47.273000000000003</v>
      </c>
      <c r="T30" s="8">
        <v>35.625</v>
      </c>
      <c r="U30" s="8">
        <v>55.545999999999999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</row>
    <row r="31" spans="2:67" x14ac:dyDescent="0.2">
      <c r="B31" s="2" t="s">
        <v>46</v>
      </c>
      <c r="C31" s="8">
        <f t="shared" ref="C31:F31" si="21">+C28-C29+C30</f>
        <v>0</v>
      </c>
      <c r="D31" s="8">
        <f t="shared" si="21"/>
        <v>0</v>
      </c>
      <c r="E31" s="8">
        <f t="shared" si="21"/>
        <v>85.263999999999996</v>
      </c>
      <c r="F31" s="8">
        <f t="shared" si="21"/>
        <v>88.07699999999997</v>
      </c>
      <c r="G31" s="8">
        <f>+G28-G29+G30</f>
        <v>95.247000000000043</v>
      </c>
      <c r="H31" s="8">
        <f t="shared" ref="H31:K31" si="22">+H28-H29+H30</f>
        <v>0</v>
      </c>
      <c r="I31" s="8">
        <f t="shared" si="22"/>
        <v>107.35599999999995</v>
      </c>
      <c r="J31" s="8">
        <f t="shared" si="22"/>
        <v>0</v>
      </c>
      <c r="K31" s="8">
        <f t="shared" si="22"/>
        <v>109.78899999999996</v>
      </c>
      <c r="L31" s="8"/>
      <c r="M31" s="8"/>
      <c r="N31" s="8">
        <f t="shared" ref="N31:R31" si="23">+N28-N29+N30</f>
        <v>65.282000000000011</v>
      </c>
      <c r="O31" s="8">
        <f t="shared" si="23"/>
        <v>69.175999999999974</v>
      </c>
      <c r="P31" s="8">
        <f t="shared" si="23"/>
        <v>-33.781999999999996</v>
      </c>
      <c r="Q31" s="8">
        <f t="shared" si="23"/>
        <v>64.026000000000025</v>
      </c>
      <c r="R31" s="8">
        <f t="shared" si="23"/>
        <v>123.96700000000008</v>
      </c>
      <c r="S31" s="8">
        <f>+S28-S29+S30</f>
        <v>173.34100000000004</v>
      </c>
      <c r="T31" s="8">
        <f>+T28-T29+T30</f>
        <v>179.73700000000011</v>
      </c>
      <c r="U31" s="8">
        <f>+U28-U29+U30</f>
        <v>198.69600000000014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</row>
    <row r="32" spans="2:67" x14ac:dyDescent="0.2">
      <c r="B32" s="2" t="s">
        <v>48</v>
      </c>
      <c r="C32" s="8"/>
      <c r="D32" s="8"/>
      <c r="E32" s="8">
        <v>18.577000000000002</v>
      </c>
      <c r="F32" s="8">
        <f t="shared" si="12"/>
        <v>30.954999999999995</v>
      </c>
      <c r="G32" s="8">
        <v>29.17</v>
      </c>
      <c r="H32" s="8"/>
      <c r="I32" s="8">
        <v>30.706</v>
      </c>
      <c r="J32" s="8"/>
      <c r="K32" s="8">
        <v>31.62</v>
      </c>
      <c r="L32" s="8"/>
      <c r="M32" s="8"/>
      <c r="N32" s="8">
        <v>14.24</v>
      </c>
      <c r="O32" s="8">
        <v>16.093</v>
      </c>
      <c r="P32" s="8">
        <v>-1.7130000000000001</v>
      </c>
      <c r="Q32" s="8">
        <v>7.7309999999999999</v>
      </c>
      <c r="R32" s="8">
        <v>36.762</v>
      </c>
      <c r="S32" s="8">
        <v>49.531999999999996</v>
      </c>
      <c r="T32" s="8">
        <v>51.223999999999997</v>
      </c>
      <c r="U32" s="8">
        <v>56.707000000000001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</row>
    <row r="33" spans="2:67" x14ac:dyDescent="0.2">
      <c r="B33" s="2" t="s">
        <v>47</v>
      </c>
      <c r="C33" s="8">
        <f t="shared" ref="C33:F33" si="24">+C31-C32</f>
        <v>0</v>
      </c>
      <c r="D33" s="8">
        <f t="shared" si="24"/>
        <v>0</v>
      </c>
      <c r="E33" s="8">
        <f t="shared" si="24"/>
        <v>66.686999999999998</v>
      </c>
      <c r="F33" s="8">
        <f t="shared" si="24"/>
        <v>57.121999999999971</v>
      </c>
      <c r="G33" s="8">
        <f>+G31-G32</f>
        <v>66.077000000000041</v>
      </c>
      <c r="H33" s="8">
        <f t="shared" ref="H33:K33" si="25">+H31-H32</f>
        <v>0</v>
      </c>
      <c r="I33" s="8">
        <f t="shared" si="25"/>
        <v>76.649999999999949</v>
      </c>
      <c r="J33" s="8">
        <f t="shared" si="25"/>
        <v>0</v>
      </c>
      <c r="K33" s="8">
        <f t="shared" si="25"/>
        <v>78.168999999999954</v>
      </c>
      <c r="L33" s="8"/>
      <c r="M33" s="8"/>
      <c r="N33" s="8">
        <f t="shared" ref="N33:R33" si="26">+N31-N32</f>
        <v>51.042000000000009</v>
      </c>
      <c r="O33" s="8">
        <f t="shared" si="26"/>
        <v>53.08299999999997</v>
      </c>
      <c r="P33" s="8">
        <f t="shared" si="26"/>
        <v>-32.068999999999996</v>
      </c>
      <c r="Q33" s="8">
        <f t="shared" si="26"/>
        <v>56.295000000000023</v>
      </c>
      <c r="R33" s="8">
        <f t="shared" si="26"/>
        <v>87.205000000000084</v>
      </c>
      <c r="S33" s="8">
        <f>+S31-S32</f>
        <v>123.80900000000004</v>
      </c>
      <c r="T33" s="8">
        <f>+T31-T32</f>
        <v>128.51300000000012</v>
      </c>
      <c r="U33" s="8">
        <f>+U31-U32</f>
        <v>141.98900000000015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</row>
    <row r="34" spans="2:67" x14ac:dyDescent="0.2">
      <c r="B34" s="2" t="s">
        <v>49</v>
      </c>
      <c r="C34" s="8"/>
      <c r="D34" s="8"/>
      <c r="E34" s="8">
        <v>4.9050000000000002</v>
      </c>
      <c r="F34" s="8">
        <f t="shared" si="12"/>
        <v>4.2869999999999999</v>
      </c>
      <c r="G34" s="8">
        <v>5.1379999999999999</v>
      </c>
      <c r="H34" s="8"/>
      <c r="I34" s="8">
        <v>3.387</v>
      </c>
      <c r="J34" s="8"/>
      <c r="K34" s="8">
        <v>2.0470000000000002</v>
      </c>
      <c r="L34" s="8"/>
      <c r="M34" s="8"/>
      <c r="N34" s="8">
        <v>0.35</v>
      </c>
      <c r="O34" s="8">
        <v>0.53</v>
      </c>
      <c r="P34" s="8">
        <v>1.147</v>
      </c>
      <c r="Q34" s="8">
        <v>2.9729999999999999</v>
      </c>
      <c r="R34" s="8">
        <v>6.6059999999999999</v>
      </c>
      <c r="S34" s="8">
        <v>9.1920000000000002</v>
      </c>
      <c r="T34" s="8">
        <v>9.0340000000000007</v>
      </c>
      <c r="U34" s="8">
        <v>6.9550000000000001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</row>
    <row r="35" spans="2:67" x14ac:dyDescent="0.2">
      <c r="B35" s="2" t="s">
        <v>50</v>
      </c>
      <c r="C35" s="8">
        <f t="shared" ref="C35:F35" si="27">+C33-C34</f>
        <v>0</v>
      </c>
      <c r="D35" s="8">
        <f t="shared" si="27"/>
        <v>0</v>
      </c>
      <c r="E35" s="8">
        <f t="shared" si="27"/>
        <v>61.781999999999996</v>
      </c>
      <c r="F35" s="8">
        <f t="shared" si="27"/>
        <v>52.834999999999972</v>
      </c>
      <c r="G35" s="8">
        <f>+G33-G34</f>
        <v>60.939000000000043</v>
      </c>
      <c r="H35" s="8">
        <f t="shared" ref="H35:K35" si="28">+H33-H34</f>
        <v>0</v>
      </c>
      <c r="I35" s="8">
        <f t="shared" si="28"/>
        <v>73.262999999999948</v>
      </c>
      <c r="J35" s="8">
        <f t="shared" si="28"/>
        <v>0</v>
      </c>
      <c r="K35" s="8">
        <f t="shared" si="28"/>
        <v>76.121999999999957</v>
      </c>
      <c r="L35" s="8"/>
      <c r="M35" s="8"/>
      <c r="N35" s="8">
        <f t="shared" ref="N35:Q35" si="29">+N33-N34</f>
        <v>50.692000000000007</v>
      </c>
      <c r="O35" s="8">
        <f t="shared" si="29"/>
        <v>52.552999999999969</v>
      </c>
      <c r="P35" s="8">
        <f>+P33-P34</f>
        <v>-33.215999999999994</v>
      </c>
      <c r="Q35" s="8">
        <f t="shared" si="29"/>
        <v>53.322000000000024</v>
      </c>
      <c r="R35" s="8">
        <f>+R33-R34</f>
        <v>80.599000000000089</v>
      </c>
      <c r="S35" s="8">
        <f>+S33-S34</f>
        <v>114.61700000000005</v>
      </c>
      <c r="T35" s="8">
        <f>+T33-T34</f>
        <v>119.47900000000011</v>
      </c>
      <c r="U35" s="8">
        <f>+U33-U34</f>
        <v>135.03400000000013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2:67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</row>
    <row r="37" spans="2:67" x14ac:dyDescent="0.2">
      <c r="B37" s="2" t="s">
        <v>51</v>
      </c>
      <c r="C37" s="7" t="e">
        <f t="shared" ref="C37:D37" si="30">+C35/C38</f>
        <v>#DIV/0!</v>
      </c>
      <c r="D37" s="7" t="e">
        <f t="shared" si="30"/>
        <v>#DIV/0!</v>
      </c>
      <c r="E37" s="7">
        <f>+E35/E38</f>
        <v>0.90879845229778977</v>
      </c>
      <c r="F37" s="7">
        <f t="shared" ref="F37:K37" si="31">+F35/F38</f>
        <v>0.77719022089206724</v>
      </c>
      <c r="G37" s="7">
        <f t="shared" si="31"/>
        <v>0.89703669208184811</v>
      </c>
      <c r="H37" s="7">
        <f t="shared" si="31"/>
        <v>0</v>
      </c>
      <c r="I37" s="7">
        <f t="shared" si="31"/>
        <v>1.0784489271565394</v>
      </c>
      <c r="J37" s="7" t="e">
        <f t="shared" si="31"/>
        <v>#DIV/0!</v>
      </c>
      <c r="K37" s="7">
        <f t="shared" si="31"/>
        <v>1.1205340926935847</v>
      </c>
      <c r="L37" s="7"/>
      <c r="M37" s="8"/>
      <c r="N37" s="7">
        <f t="shared" ref="N37" si="32">+N35/N38</f>
        <v>0.74547058823529422</v>
      </c>
      <c r="O37" s="7">
        <f t="shared" ref="O37" si="33">+O35/O38</f>
        <v>0.77283823529411722</v>
      </c>
      <c r="P37" s="7">
        <f t="shared" ref="P37" si="34">+P35/P38</f>
        <v>-0.48847058823529405</v>
      </c>
      <c r="Q37" s="7">
        <f t="shared" ref="Q37" si="35">+Q35/Q38</f>
        <v>0.78414705882352975</v>
      </c>
      <c r="R37" s="7">
        <f t="shared" ref="R37" si="36">+R35/R38</f>
        <v>1.1852794117647072</v>
      </c>
      <c r="S37" s="7">
        <f>+S35/S38</f>
        <v>1.6857645313595349</v>
      </c>
      <c r="T37" s="7">
        <f>+T35/T38</f>
        <v>1.7572738812070285</v>
      </c>
      <c r="U37" s="7">
        <f>+U35/U38</f>
        <v>1.98605379418065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</row>
    <row r="38" spans="2:67" x14ac:dyDescent="0.2">
      <c r="B38" s="2" t="s">
        <v>2</v>
      </c>
      <c r="C38" s="8"/>
      <c r="D38" s="8"/>
      <c r="E38" s="8">
        <v>67.982069999999993</v>
      </c>
      <c r="F38" s="8">
        <v>67.982069999999993</v>
      </c>
      <c r="G38" s="8">
        <v>67.933676000000006</v>
      </c>
      <c r="H38" s="8">
        <v>67.933676000000006</v>
      </c>
      <c r="I38" s="8">
        <v>67.933676000000006</v>
      </c>
      <c r="J38" s="8"/>
      <c r="K38" s="8">
        <v>67.933676000000006</v>
      </c>
      <c r="L38" s="8"/>
      <c r="M38" s="8"/>
      <c r="N38" s="8">
        <v>68</v>
      </c>
      <c r="O38" s="8">
        <v>68</v>
      </c>
      <c r="P38" s="8">
        <v>68</v>
      </c>
      <c r="Q38" s="8">
        <v>68</v>
      </c>
      <c r="R38" s="8">
        <v>68</v>
      </c>
      <c r="S38" s="8">
        <v>67.991108999999994</v>
      </c>
      <c r="T38" s="8">
        <v>67.991108999999994</v>
      </c>
      <c r="U38" s="8">
        <v>67.991108999999994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</row>
    <row r="39" spans="2:67" x14ac:dyDescent="0.2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</row>
    <row r="40" spans="2:67" x14ac:dyDescent="0.2">
      <c r="B40" s="2" t="s">
        <v>54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0">
        <f t="shared" ref="O40:R40" si="37">+O9/N9-1</f>
        <v>7.0866141732283561E-2</v>
      </c>
      <c r="P40" s="10">
        <f t="shared" si="37"/>
        <v>1.4705882352941124E-2</v>
      </c>
      <c r="Q40" s="10">
        <f t="shared" si="37"/>
        <v>4.3478260869565188E-2</v>
      </c>
      <c r="R40" s="10">
        <f t="shared" si="37"/>
        <v>3.4722222222222321E-2</v>
      </c>
      <c r="S40" s="10">
        <f>+S9/R9-1</f>
        <v>2.0134228187919545E-2</v>
      </c>
      <c r="T40" s="10">
        <f>+T9/S9-1</f>
        <v>3.289473684210531E-2</v>
      </c>
      <c r="U40" s="10">
        <f>+U9/T9-1</f>
        <v>4.4585987261146487E-2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</row>
    <row r="41" spans="2:67" x14ac:dyDescent="0.2">
      <c r="B41" s="2" t="s">
        <v>55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0">
        <f t="shared" ref="O41:R44" si="38">+O12/N12-1</f>
        <v>8.0589101260178264E-2</v>
      </c>
      <c r="P41" s="10">
        <f t="shared" si="38"/>
        <v>-2.1605426794799376E-2</v>
      </c>
      <c r="Q41" s="10">
        <f t="shared" si="38"/>
        <v>0.26619212147124416</v>
      </c>
      <c r="R41" s="10">
        <f t="shared" si="38"/>
        <v>0.20380561259411367</v>
      </c>
      <c r="S41" s="10">
        <f>+S12/R12-1</f>
        <v>0.13481468003972474</v>
      </c>
      <c r="T41" s="10">
        <f>+T12/S12-1</f>
        <v>5.4399091455675119E-2</v>
      </c>
      <c r="U41" s="10">
        <f>+U12/T12-1</f>
        <v>0.56785969980929218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</row>
    <row r="42" spans="2:67" x14ac:dyDescent="0.2">
      <c r="B42" s="2" t="s">
        <v>56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0">
        <f t="shared" si="38"/>
        <v>1.700294717751083E-2</v>
      </c>
      <c r="P42" s="10">
        <f t="shared" si="38"/>
        <v>-0.23848640213999117</v>
      </c>
      <c r="Q42" s="10">
        <f t="shared" si="38"/>
        <v>0.2327181183496041</v>
      </c>
      <c r="R42" s="10">
        <f t="shared" si="38"/>
        <v>0.22001116084679961</v>
      </c>
      <c r="S42" s="10">
        <f t="shared" ref="S42:U44" si="39">+S13/R13-1</f>
        <v>0.25399745019610132</v>
      </c>
      <c r="T42" s="10">
        <f t="shared" si="39"/>
        <v>9.3665600844379471E-2</v>
      </c>
      <c r="U42" s="10">
        <f t="shared" si="39"/>
        <v>-1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</row>
    <row r="43" spans="2:67" x14ac:dyDescent="0.2">
      <c r="B43" s="2" t="s">
        <v>57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0">
        <f t="shared" si="38"/>
        <v>9.8976692516396403E-2</v>
      </c>
      <c r="P43" s="10">
        <f t="shared" si="38"/>
        <v>-0.15321138369425769</v>
      </c>
      <c r="Q43" s="10">
        <f t="shared" si="38"/>
        <v>0.36728228555686915</v>
      </c>
      <c r="R43" s="10">
        <f t="shared" si="38"/>
        <v>0.4048682410026947</v>
      </c>
      <c r="S43" s="10">
        <f t="shared" si="39"/>
        <v>0.20842981478548994</v>
      </c>
      <c r="T43" s="10">
        <f t="shared" si="39"/>
        <v>0.17828029462014139</v>
      </c>
      <c r="U43" s="10">
        <f t="shared" si="39"/>
        <v>9.2179562236784918E-2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</row>
    <row r="44" spans="2:67" x14ac:dyDescent="0.2">
      <c r="B44" s="2" t="s">
        <v>58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0">
        <f t="shared" si="38"/>
        <v>0.18922456581132008</v>
      </c>
      <c r="P44" s="10">
        <f t="shared" si="38"/>
        <v>-5.1731142842368794E-2</v>
      </c>
      <c r="Q44" s="10">
        <f t="shared" si="38"/>
        <v>0.32872166394017288</v>
      </c>
      <c r="R44" s="10">
        <f t="shared" si="38"/>
        <v>0.2807091599831153</v>
      </c>
      <c r="S44" s="10">
        <f t="shared" si="39"/>
        <v>0.40415568007031433</v>
      </c>
      <c r="T44" s="10">
        <f t="shared" si="39"/>
        <v>0.12603387288701962</v>
      </c>
      <c r="U44" s="10">
        <f t="shared" si="39"/>
        <v>0.13650787216917482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</row>
    <row r="45" spans="2:67" x14ac:dyDescent="0.2">
      <c r="B45" s="5" t="s">
        <v>63</v>
      </c>
      <c r="C45" s="9"/>
      <c r="D45" s="9"/>
      <c r="E45" s="11" t="e">
        <f t="shared" ref="E45" si="40">+E18/C18-1</f>
        <v>#DIV/0!</v>
      </c>
      <c r="F45" s="11" t="e">
        <f t="shared" ref="F45" si="41">+F18/D18-1</f>
        <v>#DIV/0!</v>
      </c>
      <c r="G45" s="11">
        <f t="shared" ref="G45:H45" si="42">+G18/E18-1</f>
        <v>0.1410444495920522</v>
      </c>
      <c r="H45" s="11">
        <f t="shared" si="42"/>
        <v>-1</v>
      </c>
      <c r="I45" s="11">
        <f>+I18/G18-1</f>
        <v>0.10226661210127252</v>
      </c>
      <c r="J45" s="11" t="e">
        <f t="shared" ref="J45:K45" si="43">+J18/H18-1</f>
        <v>#DIV/0!</v>
      </c>
      <c r="K45" s="11">
        <f t="shared" si="43"/>
        <v>9.5413916843897661E-2</v>
      </c>
      <c r="L45" s="11"/>
      <c r="M45" s="9"/>
      <c r="N45" s="9"/>
      <c r="O45" s="11">
        <f t="shared" ref="O45:S45" si="44">+O18/N18-1</f>
        <v>9.9033266063407233E-2</v>
      </c>
      <c r="P45" s="11">
        <f t="shared" si="44"/>
        <v>-0.10488991560827354</v>
      </c>
      <c r="Q45" s="11">
        <f t="shared" si="44"/>
        <v>0.30912128938095229</v>
      </c>
      <c r="R45" s="11">
        <f t="shared" si="44"/>
        <v>0.29140005532317015</v>
      </c>
      <c r="S45" s="11">
        <f t="shared" si="44"/>
        <v>0.23889321393311791</v>
      </c>
      <c r="T45" s="11">
        <f>+T18/S18-1</f>
        <v>0.12209720735110841</v>
      </c>
      <c r="U45" s="11">
        <f>+U18/T18-1</f>
        <v>0.10121779529776154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 spans="2:67" x14ac:dyDescent="0.2">
      <c r="B46" s="2" t="s">
        <v>61</v>
      </c>
      <c r="C46" s="10" t="e">
        <f t="shared" ref="C46:I46" si="45">+C20/C18</f>
        <v>#DIV/0!</v>
      </c>
      <c r="D46" s="10" t="e">
        <f t="shared" si="45"/>
        <v>#DIV/0!</v>
      </c>
      <c r="E46" s="10">
        <f t="shared" si="45"/>
        <v>0.90072470961977569</v>
      </c>
      <c r="F46" s="10">
        <f t="shared" si="45"/>
        <v>0.8986646022187218</v>
      </c>
      <c r="G46" s="10">
        <f t="shared" si="45"/>
        <v>0.93671918048793068</v>
      </c>
      <c r="H46" s="10" t="e">
        <f t="shared" si="45"/>
        <v>#DIV/0!</v>
      </c>
      <c r="I46" s="10">
        <f t="shared" si="45"/>
        <v>0.91466011825151461</v>
      </c>
      <c r="J46" s="10" t="e">
        <f t="shared" ref="J46:K46" si="46">+J20/J18</f>
        <v>#DIV/0!</v>
      </c>
      <c r="K46" s="10">
        <f t="shared" si="46"/>
        <v>0.90850547963667461</v>
      </c>
      <c r="L46" s="10"/>
      <c r="M46" s="8"/>
      <c r="N46" s="10">
        <f t="shared" ref="N46:R46" si="47">+N20/N18</f>
        <v>0.84076557515786732</v>
      </c>
      <c r="O46" s="10">
        <f t="shared" si="47"/>
        <v>0.88107331664914335</v>
      </c>
      <c r="P46" s="10">
        <f t="shared" si="47"/>
        <v>0.90124316882133326</v>
      </c>
      <c r="Q46" s="10">
        <f t="shared" si="47"/>
        <v>0.8404754984350844</v>
      </c>
      <c r="R46" s="10">
        <f t="shared" si="47"/>
        <v>0.89612246495626868</v>
      </c>
      <c r="S46" s="10">
        <f>+S20/S18</f>
        <v>0.8996480665601797</v>
      </c>
      <c r="T46" s="10">
        <f>+T20/T18</f>
        <v>0.92037793107763544</v>
      </c>
      <c r="U46" s="10">
        <f>+U20/U18</f>
        <v>0.9139891942262196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 spans="2:67" x14ac:dyDescent="0.2">
      <c r="B47" s="2" t="s">
        <v>59</v>
      </c>
      <c r="C47" s="10" t="e">
        <f t="shared" ref="C47:I47" si="48">+C28/C18</f>
        <v>#DIV/0!</v>
      </c>
      <c r="D47" s="10" t="e">
        <f t="shared" si="48"/>
        <v>#DIV/0!</v>
      </c>
      <c r="E47" s="10">
        <f t="shared" si="48"/>
        <v>0.16121755628357434</v>
      </c>
      <c r="F47" s="10">
        <f t="shared" si="48"/>
        <v>0.16745035081060924</v>
      </c>
      <c r="G47" s="10">
        <f t="shared" si="48"/>
        <v>0.16850878578034431</v>
      </c>
      <c r="H47" s="10" t="e">
        <f t="shared" si="48"/>
        <v>#DIV/0!</v>
      </c>
      <c r="I47" s="10">
        <f t="shared" si="48"/>
        <v>0.1663955213517799</v>
      </c>
      <c r="J47" s="10" t="e">
        <f t="shared" ref="J47:K47" si="49">+J28/J18</f>
        <v>#DIV/0!</v>
      </c>
      <c r="K47" s="10">
        <f t="shared" si="49"/>
        <v>0.1710663441022349</v>
      </c>
      <c r="L47" s="10"/>
      <c r="M47" s="8"/>
      <c r="N47" s="10">
        <f t="shared" ref="N47:R47" si="50">+N28/N18</f>
        <v>0.12574774501081384</v>
      </c>
      <c r="O47" s="10">
        <f t="shared" si="50"/>
        <v>0.13718550548653169</v>
      </c>
      <c r="P47" s="10">
        <f t="shared" si="50"/>
        <v>-2.7238319672507807E-2</v>
      </c>
      <c r="Q47" s="10">
        <f t="shared" si="50"/>
        <v>0.10816943493138666</v>
      </c>
      <c r="R47" s="10">
        <f t="shared" si="50"/>
        <v>0.14614638559194884</v>
      </c>
      <c r="S47" s="10">
        <f>+S28/S18</f>
        <v>0.16447490828667219</v>
      </c>
      <c r="T47" s="10">
        <f>+T28/T18</f>
        <v>0.16555680698296504</v>
      </c>
      <c r="U47" s="10">
        <f>+U28/U18</f>
        <v>0.16178403935932439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</row>
    <row r="48" spans="2:67" x14ac:dyDescent="0.2">
      <c r="B48" s="2" t="s">
        <v>60</v>
      </c>
      <c r="C48" s="10" t="e">
        <f t="shared" ref="C48:I48" si="51">+C32/C31</f>
        <v>#DIV/0!</v>
      </c>
      <c r="D48" s="10" t="e">
        <f t="shared" si="51"/>
        <v>#DIV/0!</v>
      </c>
      <c r="E48" s="10">
        <f t="shared" si="51"/>
        <v>0.21787624319759807</v>
      </c>
      <c r="F48" s="10">
        <f t="shared" si="51"/>
        <v>0.35145384152502929</v>
      </c>
      <c r="G48" s="10">
        <f t="shared" si="51"/>
        <v>0.30625636502986958</v>
      </c>
      <c r="H48" s="10" t="e">
        <f t="shared" si="51"/>
        <v>#DIV/0!</v>
      </c>
      <c r="I48" s="10">
        <f t="shared" si="51"/>
        <v>0.28602034352993788</v>
      </c>
      <c r="J48" s="10" t="e">
        <f t="shared" ref="J48:K48" si="52">+J32/J31</f>
        <v>#DIV/0!</v>
      </c>
      <c r="K48" s="10">
        <f t="shared" si="52"/>
        <v>0.28800699523631706</v>
      </c>
      <c r="L48" s="10"/>
      <c r="M48" s="8"/>
      <c r="N48" s="10">
        <f t="shared" ref="N48:R48" si="53">+N32/N31</f>
        <v>0.21813057198002508</v>
      </c>
      <c r="O48" s="10">
        <f t="shared" si="53"/>
        <v>0.23263848733664863</v>
      </c>
      <c r="P48" s="10">
        <f t="shared" si="53"/>
        <v>5.0707477354804339E-2</v>
      </c>
      <c r="Q48" s="10">
        <f t="shared" si="53"/>
        <v>0.12074782119763841</v>
      </c>
      <c r="R48" s="10">
        <f t="shared" si="53"/>
        <v>0.29654666161155774</v>
      </c>
      <c r="S48" s="10">
        <f>+S32/S31</f>
        <v>0.28574889956790367</v>
      </c>
      <c r="T48" s="10">
        <f>+T32/T31</f>
        <v>0.2849941859494704</v>
      </c>
      <c r="U48" s="10">
        <f>+U32/U31</f>
        <v>0.28539578048878667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</row>
    <row r="49" spans="3:67" x14ac:dyDescent="0.2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</row>
    <row r="50" spans="3:67" x14ac:dyDescent="0.2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 spans="3:67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 spans="3:67" x14ac:dyDescent="0.2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 spans="3:67" x14ac:dyDescent="0.2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4" spans="3:67" x14ac:dyDescent="0.2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3:67" x14ac:dyDescent="0.2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3:67" x14ac:dyDescent="0.2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3:67" x14ac:dyDescent="0.2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</row>
    <row r="58" spans="3:67" x14ac:dyDescent="0.2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3:67" x14ac:dyDescent="0.2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3:67" x14ac:dyDescent="0.2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3:67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3:67" x14ac:dyDescent="0.2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3:67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3:67" x14ac:dyDescent="0.2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3:67" x14ac:dyDescent="0.2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3:67" x14ac:dyDescent="0.2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3:67" x14ac:dyDescent="0.2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3:67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3:67" x14ac:dyDescent="0.2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3:67" x14ac:dyDescent="0.2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3:67" x14ac:dyDescent="0.2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3:67" x14ac:dyDescent="0.2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3:67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3:67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3:67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3:67" x14ac:dyDescent="0.2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3:67" x14ac:dyDescent="0.2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3:67" x14ac:dyDescent="0.2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3:67" x14ac:dyDescent="0.2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3:67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3:67" x14ac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3:67" x14ac:dyDescent="0.2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3:67" x14ac:dyDescent="0.2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3:67" x14ac:dyDescent="0.2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3:67" x14ac:dyDescent="0.2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3:67" x14ac:dyDescent="0.2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3:67" x14ac:dyDescent="0.2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3:67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3:67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3:67" x14ac:dyDescent="0.2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3:67" x14ac:dyDescent="0.2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3:67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3:67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3:67" x14ac:dyDescent="0.2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3:67" x14ac:dyDescent="0.2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3:67" x14ac:dyDescent="0.2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3:67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3:67" x14ac:dyDescent="0.2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3:67" x14ac:dyDescent="0.2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3:67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3:67" x14ac:dyDescent="0.2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3:67" x14ac:dyDescent="0.2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3:67" x14ac:dyDescent="0.2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3:67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3:67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3:67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3:67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3:67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3:67" x14ac:dyDescent="0.2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3:67" x14ac:dyDescent="0.2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3:67" x14ac:dyDescent="0.2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3:67" x14ac:dyDescent="0.2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3:67" x14ac:dyDescent="0.2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3:67" x14ac:dyDescent="0.2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3:67" x14ac:dyDescent="0.2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3:67" x14ac:dyDescent="0.2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3:67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3:67" x14ac:dyDescent="0.2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3:67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3:67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3:67" x14ac:dyDescent="0.2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3:67" x14ac:dyDescent="0.2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3:67" x14ac:dyDescent="0.2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3:67" x14ac:dyDescent="0.2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3:67" x14ac:dyDescent="0.2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3:67" x14ac:dyDescent="0.2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3:67" x14ac:dyDescent="0.2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3:67" x14ac:dyDescent="0.2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3:67" x14ac:dyDescent="0.2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3:67" x14ac:dyDescent="0.2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3:67" x14ac:dyDescent="0.2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3:67" x14ac:dyDescent="0.2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3:67" x14ac:dyDescent="0.2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3:67" x14ac:dyDescent="0.2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3:67" x14ac:dyDescent="0.2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3:67" x14ac:dyDescent="0.2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</row>
    <row r="137" spans="3:67" x14ac:dyDescent="0.2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</row>
    <row r="138" spans="3:67" x14ac:dyDescent="0.2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</row>
    <row r="139" spans="3:67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</row>
    <row r="140" spans="3:67" x14ac:dyDescent="0.2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</row>
    <row r="141" spans="3:67" x14ac:dyDescent="0.2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</row>
    <row r="142" spans="3:67" x14ac:dyDescent="0.2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</row>
    <row r="143" spans="3:67" x14ac:dyDescent="0.2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</row>
    <row r="144" spans="3:67" x14ac:dyDescent="0.2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</row>
    <row r="145" spans="3:67" x14ac:dyDescent="0.2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</row>
    <row r="146" spans="3:67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</row>
    <row r="147" spans="3:67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</row>
    <row r="148" spans="3:67" x14ac:dyDescent="0.2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</row>
    <row r="149" spans="3:67" x14ac:dyDescent="0.2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</row>
    <row r="150" spans="3:67" x14ac:dyDescent="0.2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</row>
    <row r="151" spans="3:67" x14ac:dyDescent="0.2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</row>
    <row r="152" spans="3:67" x14ac:dyDescent="0.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</row>
    <row r="153" spans="3:67" x14ac:dyDescent="0.2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</row>
    <row r="154" spans="3:67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</row>
    <row r="155" spans="3:67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</row>
    <row r="156" spans="3:67" x14ac:dyDescent="0.2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</row>
    <row r="157" spans="3:67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</row>
    <row r="158" spans="3:67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</row>
    <row r="159" spans="3:67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</row>
    <row r="160" spans="3:67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</row>
    <row r="161" spans="3:66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</row>
    <row r="162" spans="3:66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</row>
    <row r="163" spans="3:66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</row>
    <row r="164" spans="3:66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</row>
    <row r="165" spans="3:66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  <row r="166" spans="3:66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</row>
    <row r="167" spans="3:66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</row>
    <row r="168" spans="3:66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</row>
    <row r="169" spans="3:66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</row>
    <row r="170" spans="3:66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</row>
    <row r="171" spans="3:66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</row>
    <row r="172" spans="3:66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</row>
    <row r="173" spans="3:66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</row>
    <row r="174" spans="3:66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</row>
    <row r="175" spans="3:66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</row>
    <row r="176" spans="3:66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</row>
    <row r="177" spans="3:66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</row>
    <row r="178" spans="3:66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</row>
    <row r="179" spans="3:66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spans="3:66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</row>
    <row r="181" spans="3:66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</row>
    <row r="182" spans="3:66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</row>
    <row r="183" spans="3:66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</row>
    <row r="184" spans="3:66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</row>
    <row r="185" spans="3:66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</row>
    <row r="186" spans="3:66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</row>
    <row r="187" spans="3:66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</row>
    <row r="188" spans="3:66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</row>
    <row r="189" spans="3:66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</row>
    <row r="190" spans="3:66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</row>
    <row r="191" spans="3:66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</row>
    <row r="192" spans="3:66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</row>
    <row r="193" spans="3:66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</row>
    <row r="194" spans="3:66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</row>
    <row r="195" spans="3:66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</row>
    <row r="196" spans="3:66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</row>
    <row r="197" spans="3:66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</row>
    <row r="198" spans="3:66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</row>
    <row r="199" spans="3:66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</row>
    <row r="200" spans="3:66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</row>
    <row r="201" spans="3:66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</row>
    <row r="202" spans="3:66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</row>
    <row r="203" spans="3:66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</row>
    <row r="204" spans="3:66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</row>
    <row r="205" spans="3:66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</row>
    <row r="206" spans="3:66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</row>
    <row r="207" spans="3:66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</row>
    <row r="208" spans="3:66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</row>
    <row r="209" spans="3:66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</row>
    <row r="210" spans="3:66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</row>
    <row r="211" spans="3:66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</row>
    <row r="212" spans="3:66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</row>
    <row r="213" spans="3:66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</row>
    <row r="214" spans="3:66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</row>
    <row r="215" spans="3:66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</row>
    <row r="216" spans="3:66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</row>
    <row r="217" spans="3:66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</row>
    <row r="218" spans="3:66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</row>
    <row r="219" spans="3:66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</row>
    <row r="220" spans="3:66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spans="3:66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spans="3:66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spans="3:66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spans="3:66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spans="3:66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spans="3:66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27" spans="3:66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</row>
    <row r="228" spans="3:66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</row>
    <row r="229" spans="3:66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</row>
    <row r="230" spans="3:66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</row>
    <row r="231" spans="3:66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</row>
    <row r="232" spans="3:66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</row>
    <row r="233" spans="3:66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</row>
    <row r="234" spans="3:66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</row>
    <row r="235" spans="3:66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spans="3:66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spans="3:66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spans="3:66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spans="3:66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</row>
    <row r="240" spans="3:66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</row>
    <row r="241" spans="3:66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</row>
    <row r="242" spans="3:66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</row>
    <row r="243" spans="3:66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</row>
    <row r="244" spans="3:66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</row>
    <row r="245" spans="3:66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</row>
    <row r="246" spans="3:66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</row>
    <row r="247" spans="3:66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</row>
    <row r="248" spans="3:66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</row>
    <row r="249" spans="3:66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</row>
    <row r="250" spans="3:66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</row>
    <row r="251" spans="3:66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</row>
    <row r="252" spans="3:66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</row>
    <row r="253" spans="3:66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</row>
    <row r="254" spans="3:66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</row>
    <row r="255" spans="3:66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</row>
    <row r="256" spans="3:66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</row>
    <row r="257" spans="3:66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</row>
    <row r="258" spans="3:66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</row>
    <row r="259" spans="3:66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</row>
    <row r="260" spans="3:66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</row>
    <row r="261" spans="3:66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</row>
    <row r="262" spans="3:66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</row>
    <row r="263" spans="3:66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</row>
    <row r="264" spans="3:66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</row>
    <row r="265" spans="3:66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</row>
    <row r="266" spans="3:66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</row>
    <row r="267" spans="3:66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</row>
    <row r="268" spans="3:66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</row>
    <row r="269" spans="3:66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</row>
    <row r="270" spans="3:66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</row>
    <row r="271" spans="3:66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</row>
  </sheetData>
  <hyperlinks>
    <hyperlink ref="A1" location="Main!A1" display="Main" xr:uid="{C142CE63-C4C9-4B20-8ADA-397E84BD03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2025-01-31T12:38:35Z</dcterms:created>
  <dcterms:modified xsi:type="dcterms:W3CDTF">2026-07-31T17:14:29Z</dcterms:modified>
</cp:coreProperties>
</file>