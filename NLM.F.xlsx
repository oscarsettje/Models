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ACDFAE1B-0DDE-4736-B95A-D48DB492331E}" xr6:coauthVersionLast="47" xr6:coauthVersionMax="47" xr10:uidLastSave="{00000000-0000-0000-0000-000000000000}"/>
  <bookViews>
    <workbookView xWindow="225" yWindow="5070" windowWidth="38175" windowHeight="15240" activeTab="1" xr2:uid="{0050BF43-1F1D-40ED-B104-A6C0579DED4B}"/>
  </bookViews>
  <sheets>
    <sheet name="Main" sheetId="1" r:id="rId1"/>
    <sheet name="Model" sheetId="2" r:id="rId2"/>
    <sheet name="WC" sheetId="8" r:id="rId3"/>
    <sheet name="BC" sheetId="9" r:id="rId4"/>
    <sheet name="Ratios" sheetId="3" r:id="rId5"/>
    <sheet name="DCF" sheetId="7" r:id="rId6"/>
    <sheet name="CoC" sheetId="6" r:id="rId7"/>
  </sheets>
  <definedNames>
    <definedName name="WACC">DCF!$E$17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H6" i="1"/>
  <c r="K43" i="2"/>
  <c r="K42" i="2"/>
  <c r="K41" i="2"/>
  <c r="K40" i="2"/>
  <c r="K32" i="2"/>
  <c r="K30" i="2"/>
  <c r="K29" i="2"/>
  <c r="K28" i="2"/>
  <c r="K27" i="2"/>
  <c r="K24" i="2"/>
  <c r="K19" i="2"/>
  <c r="K20" i="2"/>
  <c r="K18" i="2"/>
  <c r="K17" i="2"/>
  <c r="J44" i="3"/>
  <c r="J45" i="3" s="1"/>
  <c r="J42" i="3"/>
  <c r="J41" i="3"/>
  <c r="J12" i="3"/>
  <c r="J13" i="3" s="1"/>
  <c r="J11" i="3"/>
  <c r="J6" i="3"/>
  <c r="J5" i="3"/>
  <c r="J52" i="3" s="1"/>
  <c r="J27" i="2"/>
  <c r="J26" i="2"/>
  <c r="J25" i="2"/>
  <c r="J23" i="2"/>
  <c r="J22" i="2"/>
  <c r="J21" i="2"/>
  <c r="J16" i="2"/>
  <c r="J40" i="2" s="1"/>
  <c r="U100" i="2"/>
  <c r="U90" i="2"/>
  <c r="U93" i="2" s="1"/>
  <c r="U87" i="2"/>
  <c r="U88" i="2" s="1"/>
  <c r="U102" i="2" s="1"/>
  <c r="U66" i="2"/>
  <c r="U67" i="2" s="1"/>
  <c r="U53" i="2"/>
  <c r="U55" i="2"/>
  <c r="U50" i="2"/>
  <c r="U57" i="2" s="1"/>
  <c r="U29" i="2"/>
  <c r="J29" i="2" s="1"/>
  <c r="U17" i="2"/>
  <c r="D27" i="2"/>
  <c r="D26" i="2"/>
  <c r="D25" i="2"/>
  <c r="D23" i="2"/>
  <c r="D22" i="2"/>
  <c r="D21" i="2"/>
  <c r="D19" i="2"/>
  <c r="D16" i="2"/>
  <c r="C29" i="2"/>
  <c r="C17" i="2"/>
  <c r="I40" i="2"/>
  <c r="F27" i="2"/>
  <c r="F26" i="2"/>
  <c r="F25" i="2"/>
  <c r="F23" i="2"/>
  <c r="F22" i="2"/>
  <c r="F21" i="2"/>
  <c r="F19" i="2"/>
  <c r="F16" i="2"/>
  <c r="H40" i="2" s="1"/>
  <c r="H27" i="2"/>
  <c r="H26" i="2"/>
  <c r="H25" i="2"/>
  <c r="H23" i="2"/>
  <c r="H22" i="2"/>
  <c r="H21" i="2"/>
  <c r="H19" i="2"/>
  <c r="H16" i="2"/>
  <c r="I29" i="2"/>
  <c r="I19" i="2"/>
  <c r="J19" i="2" s="1"/>
  <c r="I17" i="2"/>
  <c r="J17" i="2" s="1"/>
  <c r="I44" i="3"/>
  <c r="I45" i="3" s="1"/>
  <c r="I42" i="3"/>
  <c r="I41" i="3"/>
  <c r="I12" i="3"/>
  <c r="I13" i="3" s="1"/>
  <c r="I11" i="3"/>
  <c r="I6" i="3"/>
  <c r="I5" i="3"/>
  <c r="I52" i="3" s="1"/>
  <c r="T90" i="2"/>
  <c r="T66" i="2"/>
  <c r="T17" i="2"/>
  <c r="G98" i="2"/>
  <c r="G100" i="2" s="1"/>
  <c r="E98" i="2"/>
  <c r="H100" i="2"/>
  <c r="F100" i="2"/>
  <c r="E100" i="2"/>
  <c r="D100" i="2"/>
  <c r="C100" i="2"/>
  <c r="H93" i="2"/>
  <c r="G93" i="2"/>
  <c r="F93" i="2"/>
  <c r="E93" i="2"/>
  <c r="D93" i="2"/>
  <c r="C93" i="2"/>
  <c r="H87" i="2"/>
  <c r="G87" i="2"/>
  <c r="F87" i="2"/>
  <c r="E87" i="2"/>
  <c r="D87" i="2"/>
  <c r="C87" i="2"/>
  <c r="D66" i="2"/>
  <c r="D67" i="2" s="1"/>
  <c r="C66" i="2"/>
  <c r="C67" i="2"/>
  <c r="E66" i="2"/>
  <c r="E67" i="2" s="1"/>
  <c r="G66" i="2"/>
  <c r="G67" i="2" s="1"/>
  <c r="E56" i="2"/>
  <c r="G56" i="2"/>
  <c r="H55" i="2"/>
  <c r="G55" i="2"/>
  <c r="E55" i="2"/>
  <c r="D55" i="2"/>
  <c r="C55" i="2"/>
  <c r="D50" i="2"/>
  <c r="C50" i="2"/>
  <c r="H50" i="2"/>
  <c r="E50" i="2"/>
  <c r="G50" i="2"/>
  <c r="F66" i="2"/>
  <c r="F67" i="2" s="1"/>
  <c r="F55" i="2"/>
  <c r="F50" i="2"/>
  <c r="K11" i="1"/>
  <c r="O2" i="7"/>
  <c r="J14" i="7"/>
  <c r="O14" i="7"/>
  <c r="T14" i="7"/>
  <c r="J10" i="3" l="1"/>
  <c r="J46" i="3"/>
  <c r="C57" i="2"/>
  <c r="D57" i="2"/>
  <c r="J43" i="3"/>
  <c r="J21" i="3"/>
  <c r="J15" i="3"/>
  <c r="I18" i="2"/>
  <c r="I20" i="2" s="1"/>
  <c r="J7" i="3"/>
  <c r="J18" i="2"/>
  <c r="J20" i="2" s="1"/>
  <c r="E57" i="2"/>
  <c r="G57" i="2"/>
  <c r="H57" i="2"/>
  <c r="I46" i="3"/>
  <c r="I7" i="3"/>
  <c r="F57" i="2"/>
  <c r="O3" i="7"/>
  <c r="O4" i="7" s="1"/>
  <c r="J41" i="2" l="1"/>
  <c r="J24" i="2"/>
  <c r="I41" i="2"/>
  <c r="I24" i="2"/>
  <c r="R34" i="7"/>
  <c r="Q34" i="7"/>
  <c r="P34" i="7"/>
  <c r="O34" i="7"/>
  <c r="N34" i="7"/>
  <c r="M34" i="7"/>
  <c r="R28" i="7"/>
  <c r="Q28" i="7"/>
  <c r="P28" i="7"/>
  <c r="O28" i="7"/>
  <c r="N28" i="7"/>
  <c r="M28" i="7"/>
  <c r="P23" i="9"/>
  <c r="P22" i="9"/>
  <c r="P21" i="9"/>
  <c r="U15" i="9"/>
  <c r="T15" i="9"/>
  <c r="S15" i="9"/>
  <c r="R15" i="9"/>
  <c r="U14" i="9"/>
  <c r="T14" i="9"/>
  <c r="T38" i="9" s="1"/>
  <c r="S14" i="9"/>
  <c r="S38" i="9" s="1"/>
  <c r="R14" i="9"/>
  <c r="R38" i="9" s="1"/>
  <c r="U13" i="9"/>
  <c r="T13" i="9"/>
  <c r="U37" i="9" s="1"/>
  <c r="S13" i="9"/>
  <c r="T37" i="9" s="1"/>
  <c r="R13" i="9"/>
  <c r="S37" i="9" s="1"/>
  <c r="Q15" i="9"/>
  <c r="Q14" i="9"/>
  <c r="Q13" i="9"/>
  <c r="P15" i="9"/>
  <c r="P14" i="9"/>
  <c r="P13" i="9"/>
  <c r="S5" i="9"/>
  <c r="T5" i="9" s="1"/>
  <c r="U5" i="9" s="1"/>
  <c r="R5" i="9"/>
  <c r="T3" i="9"/>
  <c r="U3" i="9" s="1"/>
  <c r="S3" i="9"/>
  <c r="R3" i="9"/>
  <c r="R32" i="7"/>
  <c r="Q32" i="7"/>
  <c r="P32" i="7"/>
  <c r="O32" i="7"/>
  <c r="N32" i="7"/>
  <c r="M32" i="7"/>
  <c r="R26" i="7"/>
  <c r="Q26" i="7"/>
  <c r="P26" i="7"/>
  <c r="O26" i="7"/>
  <c r="N26" i="7"/>
  <c r="M26" i="7"/>
  <c r="P23" i="8"/>
  <c r="P22" i="8"/>
  <c r="P21" i="8"/>
  <c r="U15" i="8"/>
  <c r="T15" i="8"/>
  <c r="S15" i="8"/>
  <c r="R15" i="8"/>
  <c r="Q15" i="8"/>
  <c r="U14" i="8"/>
  <c r="T14" i="8"/>
  <c r="S14" i="8"/>
  <c r="R14" i="8"/>
  <c r="Q14" i="8"/>
  <c r="Q38" i="8" s="1"/>
  <c r="U13" i="8"/>
  <c r="U37" i="8" s="1"/>
  <c r="T13" i="8"/>
  <c r="T37" i="8" s="1"/>
  <c r="S13" i="8"/>
  <c r="S37" i="8" s="1"/>
  <c r="R13" i="8"/>
  <c r="R37" i="8" s="1"/>
  <c r="Q13" i="8"/>
  <c r="Q37" i="8" s="1"/>
  <c r="P15" i="8"/>
  <c r="P14" i="8"/>
  <c r="P13" i="8"/>
  <c r="Q12" i="8"/>
  <c r="Q11" i="8"/>
  <c r="P12" i="8"/>
  <c r="P11" i="8"/>
  <c r="S5" i="8"/>
  <c r="T5" i="8" s="1"/>
  <c r="U5" i="8" s="1"/>
  <c r="R5" i="8"/>
  <c r="S3" i="8"/>
  <c r="T3" i="8" s="1"/>
  <c r="U3" i="8" s="1"/>
  <c r="R3" i="8"/>
  <c r="P4" i="8"/>
  <c r="N104" i="9"/>
  <c r="P100" i="9"/>
  <c r="O100" i="9"/>
  <c r="N100" i="9"/>
  <c r="M100" i="9"/>
  <c r="L100" i="9"/>
  <c r="K100" i="9"/>
  <c r="J100" i="9"/>
  <c r="P93" i="9"/>
  <c r="O93" i="9"/>
  <c r="N93" i="9"/>
  <c r="J93" i="9"/>
  <c r="M92" i="9"/>
  <c r="L92" i="9"/>
  <c r="L93" i="9" s="1"/>
  <c r="K92" i="9"/>
  <c r="K93" i="9" s="1"/>
  <c r="M89" i="9"/>
  <c r="M93" i="9" s="1"/>
  <c r="P87" i="9"/>
  <c r="P88" i="9" s="1"/>
  <c r="P102" i="9" s="1"/>
  <c r="O87" i="9"/>
  <c r="N87" i="9"/>
  <c r="M87" i="9"/>
  <c r="L87" i="9"/>
  <c r="K87" i="9"/>
  <c r="J87" i="9"/>
  <c r="P67" i="9"/>
  <c r="O66" i="9"/>
  <c r="O67" i="9" s="1"/>
  <c r="N66" i="9"/>
  <c r="N67" i="9" s="1"/>
  <c r="M66" i="9"/>
  <c r="M67" i="9" s="1"/>
  <c r="L66" i="9"/>
  <c r="L67" i="9" s="1"/>
  <c r="H66" i="9"/>
  <c r="K64" i="9"/>
  <c r="K66" i="9" s="1"/>
  <c r="K67" i="9" s="1"/>
  <c r="J64" i="9"/>
  <c r="J66" i="9" s="1"/>
  <c r="J67" i="9" s="1"/>
  <c r="K62" i="9"/>
  <c r="J62" i="9"/>
  <c r="M56" i="9"/>
  <c r="L56" i="9"/>
  <c r="P55" i="9"/>
  <c r="O55" i="9"/>
  <c r="N55" i="9"/>
  <c r="M55" i="9"/>
  <c r="K53" i="9"/>
  <c r="K55" i="9" s="1"/>
  <c r="J53" i="9"/>
  <c r="J55" i="9" s="1"/>
  <c r="L52" i="9"/>
  <c r="L55" i="9" s="1"/>
  <c r="P50" i="9"/>
  <c r="O50" i="9"/>
  <c r="O57" i="9" s="1"/>
  <c r="N50" i="9"/>
  <c r="N57" i="9" s="1"/>
  <c r="M50" i="9"/>
  <c r="M57" i="9" s="1"/>
  <c r="L50" i="9"/>
  <c r="K50" i="9"/>
  <c r="J50" i="9"/>
  <c r="P40" i="9"/>
  <c r="O40" i="9"/>
  <c r="N40" i="9"/>
  <c r="M40" i="9"/>
  <c r="L40" i="9"/>
  <c r="K40" i="9"/>
  <c r="G40" i="9"/>
  <c r="U39" i="9"/>
  <c r="T39" i="9"/>
  <c r="S39" i="9"/>
  <c r="R39" i="9"/>
  <c r="Q39" i="9"/>
  <c r="P39" i="9"/>
  <c r="O39" i="9"/>
  <c r="N39" i="9"/>
  <c r="M39" i="9"/>
  <c r="U38" i="9"/>
  <c r="Q38" i="9"/>
  <c r="P38" i="9"/>
  <c r="O38" i="9"/>
  <c r="N38" i="9"/>
  <c r="M38" i="9"/>
  <c r="R37" i="9"/>
  <c r="Q37" i="9"/>
  <c r="P37" i="9"/>
  <c r="O37" i="9"/>
  <c r="N37" i="9"/>
  <c r="M37" i="9"/>
  <c r="P36" i="9"/>
  <c r="O36" i="9"/>
  <c r="N36" i="9"/>
  <c r="M36" i="9"/>
  <c r="L36" i="9"/>
  <c r="K36" i="9"/>
  <c r="Q35" i="9"/>
  <c r="P35" i="9"/>
  <c r="O35" i="9"/>
  <c r="N35" i="9"/>
  <c r="M35" i="9"/>
  <c r="L35" i="9"/>
  <c r="K35" i="9"/>
  <c r="O29" i="9"/>
  <c r="N29" i="9"/>
  <c r="M29" i="9"/>
  <c r="L29" i="9"/>
  <c r="K29" i="9"/>
  <c r="J29" i="9"/>
  <c r="G29" i="9"/>
  <c r="E29" i="9"/>
  <c r="R25" i="9"/>
  <c r="S25" i="9" s="1"/>
  <c r="T25" i="9" s="1"/>
  <c r="U25" i="9" s="1"/>
  <c r="P18" i="9"/>
  <c r="O18" i="9"/>
  <c r="O20" i="9" s="1"/>
  <c r="N18" i="9"/>
  <c r="N20" i="9" s="1"/>
  <c r="H18" i="9"/>
  <c r="H20" i="9" s="1"/>
  <c r="F18" i="9"/>
  <c r="F20" i="9" s="1"/>
  <c r="D18" i="9"/>
  <c r="D20" i="9" s="1"/>
  <c r="C18" i="9"/>
  <c r="C20" i="9" s="1"/>
  <c r="O17" i="9"/>
  <c r="N17" i="9"/>
  <c r="M17" i="9"/>
  <c r="M18" i="9" s="1"/>
  <c r="M20" i="9" s="1"/>
  <c r="L17" i="9"/>
  <c r="L18" i="9" s="1"/>
  <c r="L20" i="9" s="1"/>
  <c r="K17" i="9"/>
  <c r="K18" i="9" s="1"/>
  <c r="K20" i="9" s="1"/>
  <c r="J17" i="9"/>
  <c r="J18" i="9" s="1"/>
  <c r="J20" i="9" s="1"/>
  <c r="G17" i="9"/>
  <c r="G18" i="9" s="1"/>
  <c r="G20" i="9" s="1"/>
  <c r="E17" i="9"/>
  <c r="E18" i="9" s="1"/>
  <c r="E20" i="9" s="1"/>
  <c r="P16" i="9"/>
  <c r="P12" i="9"/>
  <c r="Q11" i="9"/>
  <c r="P11" i="9"/>
  <c r="P8" i="9"/>
  <c r="R7" i="9"/>
  <c r="R12" i="9" s="1"/>
  <c r="Q7" i="9"/>
  <c r="Q12" i="9" s="1"/>
  <c r="Q36" i="9" s="1"/>
  <c r="P7" i="9"/>
  <c r="O5" i="9"/>
  <c r="O7" i="9" s="1"/>
  <c r="O8" i="9" s="1"/>
  <c r="N5" i="9"/>
  <c r="P4" i="9"/>
  <c r="R11" i="9"/>
  <c r="R35" i="9" s="1"/>
  <c r="P3" i="9"/>
  <c r="O3" i="9"/>
  <c r="O4" i="9" s="1"/>
  <c r="N3" i="9"/>
  <c r="N4" i="9" s="1"/>
  <c r="M3" i="9"/>
  <c r="M4" i="9" s="1"/>
  <c r="L3" i="9"/>
  <c r="L4" i="9" s="1"/>
  <c r="K3" i="9"/>
  <c r="K4" i="9" s="1"/>
  <c r="J3" i="9"/>
  <c r="J4" i="9" s="1"/>
  <c r="N104" i="8"/>
  <c r="P100" i="8"/>
  <c r="O100" i="8"/>
  <c r="N100" i="8"/>
  <c r="M100" i="8"/>
  <c r="L100" i="8"/>
  <c r="K100" i="8"/>
  <c r="J100" i="8"/>
  <c r="P93" i="8"/>
  <c r="O93" i="8"/>
  <c r="N93" i="8"/>
  <c r="K93" i="8"/>
  <c r="J93" i="8"/>
  <c r="M92" i="8"/>
  <c r="L92" i="8"/>
  <c r="L93" i="8" s="1"/>
  <c r="K92" i="8"/>
  <c r="M89" i="8"/>
  <c r="M93" i="8" s="1"/>
  <c r="P88" i="8"/>
  <c r="P102" i="8" s="1"/>
  <c r="P87" i="8"/>
  <c r="O87" i="8"/>
  <c r="N87" i="8"/>
  <c r="M87" i="8"/>
  <c r="L87" i="8"/>
  <c r="K87" i="8"/>
  <c r="J87" i="8"/>
  <c r="K71" i="8"/>
  <c r="P67" i="8"/>
  <c r="N67" i="8"/>
  <c r="O66" i="8"/>
  <c r="O67" i="8" s="1"/>
  <c r="N66" i="8"/>
  <c r="M66" i="8"/>
  <c r="M67" i="8" s="1"/>
  <c r="L66" i="8"/>
  <c r="L67" i="8" s="1"/>
  <c r="H66" i="8"/>
  <c r="K64" i="8"/>
  <c r="J64" i="8"/>
  <c r="J66" i="8" s="1"/>
  <c r="J67" i="8" s="1"/>
  <c r="K62" i="8"/>
  <c r="K66" i="8" s="1"/>
  <c r="K67" i="8" s="1"/>
  <c r="J62" i="8"/>
  <c r="M56" i="8"/>
  <c r="L56" i="8"/>
  <c r="P55" i="8"/>
  <c r="O55" i="8"/>
  <c r="N55" i="8"/>
  <c r="M55" i="8"/>
  <c r="K53" i="8"/>
  <c r="K55" i="8" s="1"/>
  <c r="K57" i="8" s="1"/>
  <c r="J53" i="8"/>
  <c r="J55" i="8" s="1"/>
  <c r="J57" i="8" s="1"/>
  <c r="L52" i="8"/>
  <c r="L55" i="8" s="1"/>
  <c r="P50" i="8"/>
  <c r="O50" i="8"/>
  <c r="O57" i="8" s="1"/>
  <c r="N50" i="8"/>
  <c r="N57" i="8" s="1"/>
  <c r="M50" i="8"/>
  <c r="M57" i="8" s="1"/>
  <c r="L50" i="8"/>
  <c r="K50" i="8"/>
  <c r="J50" i="8"/>
  <c r="O40" i="8"/>
  <c r="N40" i="8"/>
  <c r="M40" i="8"/>
  <c r="L40" i="8"/>
  <c r="K40" i="8"/>
  <c r="G40" i="8"/>
  <c r="U39" i="8"/>
  <c r="T39" i="8"/>
  <c r="S39" i="8"/>
  <c r="R39" i="8"/>
  <c r="Q39" i="8"/>
  <c r="P39" i="8"/>
  <c r="O39" i="8"/>
  <c r="N39" i="8"/>
  <c r="M39" i="8"/>
  <c r="U38" i="8"/>
  <c r="T38" i="8"/>
  <c r="S38" i="8"/>
  <c r="R38" i="8"/>
  <c r="P38" i="8"/>
  <c r="O38" i="8"/>
  <c r="N38" i="8"/>
  <c r="M38" i="8"/>
  <c r="P37" i="8"/>
  <c r="O37" i="8"/>
  <c r="N37" i="8"/>
  <c r="M37" i="8"/>
  <c r="O36" i="8"/>
  <c r="N36" i="8"/>
  <c r="M36" i="8"/>
  <c r="L36" i="8"/>
  <c r="K36" i="8"/>
  <c r="P35" i="8"/>
  <c r="O35" i="8"/>
  <c r="N35" i="8"/>
  <c r="M35" i="8"/>
  <c r="L35" i="8"/>
  <c r="K35" i="8"/>
  <c r="O29" i="8"/>
  <c r="N29" i="8"/>
  <c r="M29" i="8"/>
  <c r="L29" i="8"/>
  <c r="K29" i="8"/>
  <c r="J29" i="8"/>
  <c r="J71" i="8" s="1"/>
  <c r="G29" i="8"/>
  <c r="E29" i="8"/>
  <c r="R25" i="8"/>
  <c r="S25" i="8" s="1"/>
  <c r="T25" i="8" s="1"/>
  <c r="U25" i="8" s="1"/>
  <c r="O18" i="8"/>
  <c r="O20" i="8" s="1"/>
  <c r="N18" i="8"/>
  <c r="N20" i="8" s="1"/>
  <c r="M18" i="8"/>
  <c r="M20" i="8" s="1"/>
  <c r="L18" i="8"/>
  <c r="L20" i="8" s="1"/>
  <c r="K18" i="8"/>
  <c r="K20" i="8" s="1"/>
  <c r="J18" i="8"/>
  <c r="J20" i="8" s="1"/>
  <c r="H18" i="8"/>
  <c r="H20" i="8" s="1"/>
  <c r="G18" i="8"/>
  <c r="G20" i="8" s="1"/>
  <c r="F18" i="8"/>
  <c r="F20" i="8" s="1"/>
  <c r="E18" i="8"/>
  <c r="E20" i="8" s="1"/>
  <c r="D18" i="8"/>
  <c r="D20" i="8" s="1"/>
  <c r="C18" i="8"/>
  <c r="C20" i="8" s="1"/>
  <c r="O17" i="8"/>
  <c r="N17" i="8"/>
  <c r="M17" i="8"/>
  <c r="L17" i="8"/>
  <c r="K17" i="8"/>
  <c r="J17" i="8"/>
  <c r="G17" i="8"/>
  <c r="E17" i="8"/>
  <c r="P36" i="8"/>
  <c r="Q35" i="8"/>
  <c r="Q7" i="8"/>
  <c r="P7" i="8"/>
  <c r="O7" i="8"/>
  <c r="O8" i="8" s="1"/>
  <c r="K7" i="8"/>
  <c r="K8" i="8" s="1"/>
  <c r="J7" i="8"/>
  <c r="J8" i="8" s="1"/>
  <c r="M6" i="8"/>
  <c r="O5" i="8"/>
  <c r="O6" i="8" s="1"/>
  <c r="N5" i="8"/>
  <c r="N7" i="8" s="1"/>
  <c r="N8" i="8" s="1"/>
  <c r="M5" i="8"/>
  <c r="M7" i="8" s="1"/>
  <c r="M8" i="8" s="1"/>
  <c r="L5" i="8"/>
  <c r="L7" i="8" s="1"/>
  <c r="L8" i="8" s="1"/>
  <c r="K5" i="8"/>
  <c r="K6" i="8" s="1"/>
  <c r="J5" i="8"/>
  <c r="J6" i="8" s="1"/>
  <c r="O4" i="8"/>
  <c r="N4" i="8"/>
  <c r="M4" i="8"/>
  <c r="L4" i="8"/>
  <c r="K4" i="8"/>
  <c r="J4" i="8"/>
  <c r="R11" i="8"/>
  <c r="P3" i="8"/>
  <c r="O3" i="8"/>
  <c r="N3" i="8"/>
  <c r="M3" i="8"/>
  <c r="L3" i="8"/>
  <c r="K3" i="8"/>
  <c r="J3" i="8"/>
  <c r="I42" i="2" l="1"/>
  <c r="I28" i="2"/>
  <c r="J42" i="2"/>
  <c r="J28" i="2"/>
  <c r="R16" i="9"/>
  <c r="R18" i="9" s="1"/>
  <c r="Q36" i="8"/>
  <c r="O41" i="9"/>
  <c r="O24" i="9"/>
  <c r="N41" i="9"/>
  <c r="N24" i="9"/>
  <c r="N7" i="9"/>
  <c r="N8" i="9" s="1"/>
  <c r="N6" i="9"/>
  <c r="F41" i="9"/>
  <c r="F24" i="9"/>
  <c r="H24" i="9"/>
  <c r="H41" i="9"/>
  <c r="P19" i="9"/>
  <c r="P24" i="9"/>
  <c r="P28" i="9" s="1"/>
  <c r="P6" i="9"/>
  <c r="C24" i="9"/>
  <c r="C41" i="9"/>
  <c r="J41" i="9"/>
  <c r="J24" i="9"/>
  <c r="P20" i="9"/>
  <c r="K41" i="9"/>
  <c r="K24" i="9"/>
  <c r="J57" i="9"/>
  <c r="K71" i="9"/>
  <c r="D41" i="9"/>
  <c r="D24" i="9"/>
  <c r="S7" i="9"/>
  <c r="S12" i="9" s="1"/>
  <c r="S36" i="9" s="1"/>
  <c r="G41" i="9"/>
  <c r="G24" i="9"/>
  <c r="L24" i="9"/>
  <c r="L41" i="9"/>
  <c r="K57" i="9"/>
  <c r="R36" i="9"/>
  <c r="Q16" i="9"/>
  <c r="E41" i="9"/>
  <c r="E24" i="9"/>
  <c r="M5" i="9"/>
  <c r="M41" i="9"/>
  <c r="M24" i="9"/>
  <c r="J71" i="9"/>
  <c r="L57" i="9"/>
  <c r="O6" i="9"/>
  <c r="E41" i="8"/>
  <c r="E24" i="8"/>
  <c r="H41" i="8"/>
  <c r="H24" i="8"/>
  <c r="O41" i="8"/>
  <c r="O24" i="8"/>
  <c r="C41" i="8"/>
  <c r="C24" i="8"/>
  <c r="D41" i="8"/>
  <c r="D24" i="8"/>
  <c r="F41" i="8"/>
  <c r="F24" i="8"/>
  <c r="K41" i="8"/>
  <c r="K24" i="8"/>
  <c r="M24" i="8"/>
  <c r="M41" i="8"/>
  <c r="N24" i="8"/>
  <c r="N41" i="8"/>
  <c r="S7" i="8"/>
  <c r="S12" i="8" s="1"/>
  <c r="L41" i="8"/>
  <c r="L24" i="8"/>
  <c r="R35" i="8"/>
  <c r="G41" i="8"/>
  <c r="G24" i="8"/>
  <c r="J41" i="8"/>
  <c r="J24" i="8"/>
  <c r="L57" i="8"/>
  <c r="P16" i="8"/>
  <c r="Q16" i="8"/>
  <c r="P8" i="8"/>
  <c r="R7" i="8"/>
  <c r="R12" i="8" s="1"/>
  <c r="R36" i="8" s="1"/>
  <c r="L6" i="8"/>
  <c r="N6" i="8"/>
  <c r="E19" i="7"/>
  <c r="E18" i="7"/>
  <c r="J30" i="2" l="1"/>
  <c r="J32" i="2" s="1"/>
  <c r="J43" i="2"/>
  <c r="I43" i="2"/>
  <c r="I30" i="2"/>
  <c r="I32" i="2" s="1"/>
  <c r="R20" i="9"/>
  <c r="R19" i="9" s="1"/>
  <c r="R24" i="9"/>
  <c r="R40" i="9"/>
  <c r="S36" i="8"/>
  <c r="G28" i="9"/>
  <c r="G42" i="9"/>
  <c r="H28" i="9"/>
  <c r="H42" i="9"/>
  <c r="C42" i="9"/>
  <c r="C28" i="9"/>
  <c r="F28" i="9"/>
  <c r="F42" i="9"/>
  <c r="M7" i="9"/>
  <c r="M8" i="9" s="1"/>
  <c r="M6" i="9"/>
  <c r="L5" i="9"/>
  <c r="P29" i="9"/>
  <c r="P30" i="9"/>
  <c r="P32" i="9" s="1"/>
  <c r="M28" i="9"/>
  <c r="M42" i="9"/>
  <c r="L28" i="9"/>
  <c r="L42" i="9"/>
  <c r="K28" i="9"/>
  <c r="K42" i="9"/>
  <c r="O28" i="9"/>
  <c r="O42" i="9"/>
  <c r="D42" i="9"/>
  <c r="D28" i="9"/>
  <c r="S11" i="9"/>
  <c r="N42" i="9"/>
  <c r="N28" i="9"/>
  <c r="E42" i="9"/>
  <c r="E28" i="9"/>
  <c r="Q24" i="9"/>
  <c r="Q40" i="9"/>
  <c r="Q18" i="9"/>
  <c r="Q20" i="9"/>
  <c r="J28" i="9"/>
  <c r="J42" i="9"/>
  <c r="K28" i="8"/>
  <c r="K42" i="8"/>
  <c r="N28" i="8"/>
  <c r="N42" i="8"/>
  <c r="F42" i="8"/>
  <c r="F28" i="8"/>
  <c r="O42" i="8"/>
  <c r="O28" i="8"/>
  <c r="M28" i="8"/>
  <c r="M42" i="8"/>
  <c r="J28" i="8"/>
  <c r="J42" i="8"/>
  <c r="R16" i="8"/>
  <c r="P24" i="8"/>
  <c r="P28" i="8" s="1"/>
  <c r="P40" i="8"/>
  <c r="P20" i="8"/>
  <c r="P6" i="8"/>
  <c r="P18" i="8"/>
  <c r="P19" i="8" s="1"/>
  <c r="D42" i="8"/>
  <c r="D28" i="8"/>
  <c r="C42" i="8"/>
  <c r="C28" i="8"/>
  <c r="G28" i="8"/>
  <c r="G42" i="8"/>
  <c r="H42" i="8"/>
  <c r="H28" i="8"/>
  <c r="S11" i="8"/>
  <c r="T7" i="8"/>
  <c r="T12" i="8" s="1"/>
  <c r="T36" i="8" s="1"/>
  <c r="Q24" i="8"/>
  <c r="Q40" i="8"/>
  <c r="Q20" i="8"/>
  <c r="Q18" i="8"/>
  <c r="Q19" i="8" s="1"/>
  <c r="E28" i="8"/>
  <c r="E42" i="8"/>
  <c r="L28" i="8"/>
  <c r="L42" i="8"/>
  <c r="E17" i="7"/>
  <c r="V60" i="7"/>
  <c r="V58" i="7"/>
  <c r="V57" i="7"/>
  <c r="K44" i="7"/>
  <c r="G44" i="7"/>
  <c r="L44" i="7"/>
  <c r="K41" i="7"/>
  <c r="J41" i="7"/>
  <c r="I41" i="7"/>
  <c r="H41" i="7"/>
  <c r="G41" i="7"/>
  <c r="L41" i="7"/>
  <c r="V31" i="7" a="1"/>
  <c r="V31" i="7" s="1"/>
  <c r="U31" i="7" a="1"/>
  <c r="U31" i="7" s="1"/>
  <c r="R33" i="7"/>
  <c r="R31" i="7" s="1" a="1"/>
  <c r="R31" i="7" s="1"/>
  <c r="Q33" i="7"/>
  <c r="Q31" i="7" s="1" a="1"/>
  <c r="Q31" i="7" s="1"/>
  <c r="P33" i="7"/>
  <c r="P31" i="7" s="1" a="1"/>
  <c r="P31" i="7" s="1"/>
  <c r="O33" i="7"/>
  <c r="N33" i="7"/>
  <c r="N31" i="7" s="1" a="1"/>
  <c r="N31" i="7" s="1"/>
  <c r="M33" i="7"/>
  <c r="M31" i="7" s="1" a="1"/>
  <c r="M31" i="7" s="1"/>
  <c r="U25" i="7" a="1"/>
  <c r="U25" i="7" s="1"/>
  <c r="T25" i="7" a="1"/>
  <c r="T25" i="7" s="1"/>
  <c r="S25" i="7" a="1"/>
  <c r="S25" i="7" s="1"/>
  <c r="V25" i="2"/>
  <c r="W25" i="2" s="1"/>
  <c r="X25" i="2" s="1"/>
  <c r="Y25" i="2" s="1"/>
  <c r="T6" i="2"/>
  <c r="L24" i="7"/>
  <c r="K24" i="7"/>
  <c r="J24" i="7"/>
  <c r="K25" i="7" s="1"/>
  <c r="I24" i="7"/>
  <c r="H24" i="7"/>
  <c r="G24" i="7"/>
  <c r="U7" i="2"/>
  <c r="S5" i="2"/>
  <c r="V5" i="2"/>
  <c r="W5" i="2" s="1"/>
  <c r="X5" i="2" s="1"/>
  <c r="Y5" i="2" s="1"/>
  <c r="T3" i="2"/>
  <c r="S3" i="2" s="1"/>
  <c r="V3" i="2"/>
  <c r="W3" i="2" s="1"/>
  <c r="X3" i="2" s="1"/>
  <c r="Y3" i="2" s="1"/>
  <c r="Y11" i="2" s="1"/>
  <c r="G44" i="3"/>
  <c r="G45" i="3" s="1"/>
  <c r="F44" i="3"/>
  <c r="F45" i="3" s="1"/>
  <c r="E44" i="3"/>
  <c r="E45" i="3" s="1"/>
  <c r="D44" i="3"/>
  <c r="D45" i="3" s="1"/>
  <c r="C44" i="3"/>
  <c r="C45" i="3" s="1"/>
  <c r="H44" i="3"/>
  <c r="H45" i="3" s="1"/>
  <c r="G41" i="3"/>
  <c r="F41" i="3"/>
  <c r="D41" i="3"/>
  <c r="C41" i="3"/>
  <c r="H41" i="3"/>
  <c r="G42" i="3"/>
  <c r="F42" i="3"/>
  <c r="E42" i="3"/>
  <c r="D42" i="3"/>
  <c r="C42" i="3"/>
  <c r="H42" i="3"/>
  <c r="G12" i="3"/>
  <c r="G13" i="3" s="1"/>
  <c r="F12" i="3"/>
  <c r="D12" i="3"/>
  <c r="D13" i="3" s="1"/>
  <c r="C12" i="3"/>
  <c r="C13" i="3" s="1"/>
  <c r="H12" i="3"/>
  <c r="H13" i="3" s="1"/>
  <c r="I15" i="3" s="1"/>
  <c r="H11" i="3"/>
  <c r="G11" i="3"/>
  <c r="F11" i="3"/>
  <c r="D11" i="3"/>
  <c r="C11" i="3"/>
  <c r="G6" i="3"/>
  <c r="F6" i="3"/>
  <c r="E6" i="3"/>
  <c r="H6" i="3"/>
  <c r="G4" i="3"/>
  <c r="G5" i="3" s="1"/>
  <c r="F4" i="3"/>
  <c r="F5" i="3" s="1"/>
  <c r="E4" i="3"/>
  <c r="E5" i="3" s="1"/>
  <c r="D4" i="3"/>
  <c r="D5" i="3" s="1"/>
  <c r="C4" i="3"/>
  <c r="C5" i="3" s="1"/>
  <c r="H4" i="3"/>
  <c r="H5" i="3" s="1"/>
  <c r="J2" i="7"/>
  <c r="M52" i="7"/>
  <c r="N52" i="7" s="1"/>
  <c r="O52" i="7" s="1"/>
  <c r="P52" i="7" s="1"/>
  <c r="Q52" i="7" s="1"/>
  <c r="R52" i="7" s="1"/>
  <c r="S52" i="7" s="1"/>
  <c r="T52" i="7" s="1"/>
  <c r="U52" i="7" s="1"/>
  <c r="V52" i="7" s="1"/>
  <c r="T31" i="7" a="1"/>
  <c r="T31" i="7" s="1"/>
  <c r="S31" i="7" a="1"/>
  <c r="S31" i="7" s="1"/>
  <c r="O31" i="7" a="1"/>
  <c r="O31" i="7" s="1"/>
  <c r="V25" i="7" a="1"/>
  <c r="V25" i="7" s="1"/>
  <c r="H23" i="7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I47" i="6"/>
  <c r="F37" i="6"/>
  <c r="F32" i="6"/>
  <c r="F20" i="6"/>
  <c r="F8" i="6"/>
  <c r="F22" i="6" s="1"/>
  <c r="D2" i="3"/>
  <c r="E2" i="3" s="1"/>
  <c r="F2" i="3" s="1"/>
  <c r="G2" i="3" s="1"/>
  <c r="H2" i="3" s="1"/>
  <c r="X11" i="2" l="1"/>
  <c r="T4" i="2"/>
  <c r="V11" i="2"/>
  <c r="V35" i="2" s="1"/>
  <c r="W11" i="2"/>
  <c r="W35" i="2" s="1"/>
  <c r="H52" i="3"/>
  <c r="C52" i="3"/>
  <c r="G52" i="3"/>
  <c r="D52" i="3"/>
  <c r="E7" i="3"/>
  <c r="E52" i="3"/>
  <c r="F52" i="3"/>
  <c r="Y35" i="2"/>
  <c r="U18" i="2"/>
  <c r="U20" i="2" s="1"/>
  <c r="U24" i="2" s="1"/>
  <c r="U28" i="2" s="1"/>
  <c r="U30" i="2" s="1"/>
  <c r="R28" i="9"/>
  <c r="R29" i="9" s="1"/>
  <c r="R30" i="9" s="1"/>
  <c r="R32" i="9" s="1"/>
  <c r="R23" i="9"/>
  <c r="R22" i="9"/>
  <c r="R21" i="9"/>
  <c r="Q28" i="9"/>
  <c r="Q23" i="9"/>
  <c r="Q22" i="9"/>
  <c r="Q21" i="9"/>
  <c r="Q28" i="8"/>
  <c r="Q29" i="8" s="1"/>
  <c r="Q23" i="8"/>
  <c r="Q22" i="8"/>
  <c r="Q21" i="8"/>
  <c r="J30" i="9"/>
  <c r="J43" i="9"/>
  <c r="C30" i="9"/>
  <c r="C43" i="9"/>
  <c r="N30" i="9"/>
  <c r="N43" i="9"/>
  <c r="Q19" i="9"/>
  <c r="F30" i="9"/>
  <c r="F43" i="9"/>
  <c r="T11" i="9"/>
  <c r="T7" i="9"/>
  <c r="T12" i="9" s="1"/>
  <c r="T36" i="9" s="1"/>
  <c r="H30" i="9"/>
  <c r="H43" i="9"/>
  <c r="O30" i="9"/>
  <c r="O43" i="9"/>
  <c r="K30" i="9"/>
  <c r="K43" i="9"/>
  <c r="L7" i="9"/>
  <c r="L8" i="9" s="1"/>
  <c r="L6" i="9"/>
  <c r="K5" i="9"/>
  <c r="S35" i="9"/>
  <c r="S16" i="9"/>
  <c r="L30" i="9"/>
  <c r="L43" i="9"/>
  <c r="M30" i="9"/>
  <c r="M43" i="9"/>
  <c r="Q29" i="9"/>
  <c r="Q30" i="9" s="1"/>
  <c r="Q32" i="9" s="1"/>
  <c r="E30" i="9"/>
  <c r="E43" i="9"/>
  <c r="D30" i="9"/>
  <c r="D43" i="9"/>
  <c r="G30" i="9"/>
  <c r="G43" i="9"/>
  <c r="O30" i="8"/>
  <c r="O43" i="8"/>
  <c r="F30" i="8"/>
  <c r="F43" i="8"/>
  <c r="S35" i="8"/>
  <c r="S16" i="8"/>
  <c r="U11" i="8"/>
  <c r="T11" i="8"/>
  <c r="H30" i="8"/>
  <c r="H43" i="8"/>
  <c r="C30" i="8"/>
  <c r="C43" i="8"/>
  <c r="D30" i="8"/>
  <c r="D43" i="8"/>
  <c r="P29" i="8"/>
  <c r="P30" i="8"/>
  <c r="P32" i="8" s="1"/>
  <c r="R24" i="8"/>
  <c r="R40" i="8"/>
  <c r="R18" i="8"/>
  <c r="R20" i="8"/>
  <c r="J30" i="8"/>
  <c r="J43" i="8"/>
  <c r="N30" i="8"/>
  <c r="N43" i="8"/>
  <c r="L30" i="8"/>
  <c r="L43" i="8"/>
  <c r="E30" i="8"/>
  <c r="E43" i="8"/>
  <c r="M43" i="8"/>
  <c r="M30" i="8"/>
  <c r="G30" i="8"/>
  <c r="G43" i="8"/>
  <c r="K30" i="8"/>
  <c r="K43" i="8"/>
  <c r="K42" i="7"/>
  <c r="L45" i="7"/>
  <c r="Y7" i="2"/>
  <c r="Y12" i="2" s="1"/>
  <c r="L25" i="7"/>
  <c r="S7" i="2"/>
  <c r="S8" i="2" s="1"/>
  <c r="I25" i="7"/>
  <c r="J25" i="7"/>
  <c r="R5" i="2"/>
  <c r="S6" i="2"/>
  <c r="I42" i="7"/>
  <c r="L42" i="7"/>
  <c r="H42" i="7"/>
  <c r="J42" i="7"/>
  <c r="K45" i="7"/>
  <c r="W7" i="2"/>
  <c r="W12" i="2" s="1"/>
  <c r="W16" i="2" s="1"/>
  <c r="T7" i="2"/>
  <c r="T8" i="2" s="1"/>
  <c r="V7" i="2"/>
  <c r="V12" i="2" s="1"/>
  <c r="V36" i="2" s="1"/>
  <c r="X7" i="2"/>
  <c r="X12" i="2" s="1"/>
  <c r="X36" i="2" s="1"/>
  <c r="G42" i="7"/>
  <c r="G45" i="7"/>
  <c r="H25" i="7"/>
  <c r="F7" i="3"/>
  <c r="G7" i="3"/>
  <c r="S4" i="2"/>
  <c r="R3" i="2"/>
  <c r="H7" i="3"/>
  <c r="D15" i="3"/>
  <c r="H46" i="3"/>
  <c r="C46" i="3"/>
  <c r="D46" i="3"/>
  <c r="F46" i="3"/>
  <c r="G46" i="3"/>
  <c r="H15" i="3"/>
  <c r="F41" i="6"/>
  <c r="U32" i="2" l="1"/>
  <c r="J22" i="3"/>
  <c r="J50" i="3"/>
  <c r="J23" i="3"/>
  <c r="J14" i="3"/>
  <c r="X35" i="2"/>
  <c r="Y36" i="2"/>
  <c r="W14" i="2"/>
  <c r="W13" i="2"/>
  <c r="W15" i="2"/>
  <c r="W18" i="2"/>
  <c r="W24" i="2"/>
  <c r="W28" i="2" s="1"/>
  <c r="W29" i="2" s="1"/>
  <c r="W30" i="2" s="1"/>
  <c r="W32" i="2" s="1"/>
  <c r="W20" i="2"/>
  <c r="W36" i="2"/>
  <c r="V16" i="2"/>
  <c r="X16" i="2"/>
  <c r="Y16" i="2"/>
  <c r="R28" i="8"/>
  <c r="R29" i="8" s="1"/>
  <c r="R30" i="8" s="1"/>
  <c r="R32" i="8" s="1"/>
  <c r="R23" i="8"/>
  <c r="R22" i="8"/>
  <c r="R21" i="8"/>
  <c r="Q30" i="8"/>
  <c r="Q32" i="8" s="1"/>
  <c r="K7" i="9"/>
  <c r="K8" i="9" s="1"/>
  <c r="K6" i="9"/>
  <c r="J5" i="9"/>
  <c r="L70" i="9"/>
  <c r="L88" i="9" s="1"/>
  <c r="L102" i="9" s="1"/>
  <c r="L32" i="9"/>
  <c r="T35" i="9"/>
  <c r="T16" i="9"/>
  <c r="K70" i="9"/>
  <c r="K88" i="9" s="1"/>
  <c r="K102" i="9" s="1"/>
  <c r="K103" i="9" s="1"/>
  <c r="J104" i="9" s="1"/>
  <c r="K32" i="9"/>
  <c r="S24" i="9"/>
  <c r="S20" i="9"/>
  <c r="S18" i="9"/>
  <c r="S40" i="9"/>
  <c r="O32" i="9"/>
  <c r="O70" i="9"/>
  <c r="O88" i="9" s="1"/>
  <c r="O102" i="9" s="1"/>
  <c r="O104" i="9" s="1"/>
  <c r="N70" i="9"/>
  <c r="N88" i="9" s="1"/>
  <c r="N102" i="9" s="1"/>
  <c r="N103" i="9" s="1"/>
  <c r="N32" i="9"/>
  <c r="M70" i="9"/>
  <c r="M88" i="9" s="1"/>
  <c r="M102" i="9" s="1"/>
  <c r="M103" i="9" s="1"/>
  <c r="L104" i="9" s="1"/>
  <c r="L103" i="9" s="1"/>
  <c r="M32" i="9"/>
  <c r="U11" i="9"/>
  <c r="U7" i="9"/>
  <c r="U12" i="9" s="1"/>
  <c r="U36" i="9" s="1"/>
  <c r="J70" i="9"/>
  <c r="J88" i="9" s="1"/>
  <c r="J102" i="9" s="1"/>
  <c r="J32" i="9"/>
  <c r="R19" i="8"/>
  <c r="U7" i="8"/>
  <c r="U12" i="8" s="1"/>
  <c r="U36" i="8" s="1"/>
  <c r="T35" i="8"/>
  <c r="T16" i="8"/>
  <c r="N70" i="8"/>
  <c r="N88" i="8" s="1"/>
  <c r="N102" i="8" s="1"/>
  <c r="N103" i="8" s="1"/>
  <c r="N32" i="8"/>
  <c r="J70" i="8"/>
  <c r="J88" i="8" s="1"/>
  <c r="J102" i="8" s="1"/>
  <c r="J32" i="8"/>
  <c r="K70" i="8"/>
  <c r="K88" i="8" s="1"/>
  <c r="K102" i="8" s="1"/>
  <c r="K103" i="8" s="1"/>
  <c r="J104" i="8" s="1"/>
  <c r="J103" i="8" s="1"/>
  <c r="K32" i="8"/>
  <c r="M70" i="8"/>
  <c r="M88" i="8" s="1"/>
  <c r="M102" i="8" s="1"/>
  <c r="M103" i="8" s="1"/>
  <c r="L104" i="8" s="1"/>
  <c r="M32" i="8"/>
  <c r="U35" i="8"/>
  <c r="S40" i="8"/>
  <c r="S18" i="8"/>
  <c r="S24" i="8"/>
  <c r="S20" i="8"/>
  <c r="L70" i="8"/>
  <c r="L88" i="8" s="1"/>
  <c r="L102" i="8" s="1"/>
  <c r="L32" i="8"/>
  <c r="O70" i="8"/>
  <c r="O88" i="8" s="1"/>
  <c r="O102" i="8" s="1"/>
  <c r="O104" i="8" s="1"/>
  <c r="O32" i="8"/>
  <c r="Q5" i="2"/>
  <c r="R7" i="2"/>
  <c r="R8" i="2" s="1"/>
  <c r="R6" i="2"/>
  <c r="R4" i="2"/>
  <c r="Q3" i="2"/>
  <c r="W40" i="2" l="1"/>
  <c r="P27" i="7" s="1"/>
  <c r="P25" i="7" s="1" a="1"/>
  <c r="P25" i="7" s="1"/>
  <c r="V24" i="2"/>
  <c r="J25" i="3"/>
  <c r="J24" i="3"/>
  <c r="J16" i="3"/>
  <c r="J17" i="3"/>
  <c r="J51" i="3"/>
  <c r="Y13" i="2"/>
  <c r="Y14" i="2"/>
  <c r="Y15" i="2"/>
  <c r="Y20" i="2"/>
  <c r="Y24" i="2"/>
  <c r="Y28" i="2" s="1"/>
  <c r="Y29" i="2" s="1"/>
  <c r="Y30" i="2" s="1"/>
  <c r="Y32" i="2" s="1"/>
  <c r="Y40" i="2"/>
  <c r="R27" i="7" s="1"/>
  <c r="R25" i="7" s="1" a="1"/>
  <c r="R25" i="7" s="1"/>
  <c r="Y18" i="2"/>
  <c r="V13" i="2"/>
  <c r="V37" i="2" s="1"/>
  <c r="V14" i="2"/>
  <c r="V38" i="2" s="1"/>
  <c r="V15" i="2"/>
  <c r="V39" i="2" s="1"/>
  <c r="V18" i="2"/>
  <c r="V20" i="2"/>
  <c r="V40" i="2"/>
  <c r="O27" i="7" s="1"/>
  <c r="O25" i="7" s="1" a="1"/>
  <c r="O25" i="7" s="1"/>
  <c r="W37" i="2"/>
  <c r="X15" i="2"/>
  <c r="X39" i="2" s="1"/>
  <c r="X13" i="2"/>
  <c r="X37" i="2" s="1"/>
  <c r="X14" i="2"/>
  <c r="X38" i="2" s="1"/>
  <c r="X24" i="2"/>
  <c r="X28" i="2" s="1"/>
  <c r="X29" i="2" s="1"/>
  <c r="X30" i="2" s="1"/>
  <c r="X32" i="2" s="1"/>
  <c r="X20" i="2"/>
  <c r="X40" i="2"/>
  <c r="Q27" i="7" s="1"/>
  <c r="Q25" i="7" s="1" a="1"/>
  <c r="Q25" i="7" s="1"/>
  <c r="X18" i="2"/>
  <c r="X19" i="2" s="1"/>
  <c r="W22" i="2"/>
  <c r="W23" i="2"/>
  <c r="W21" i="2"/>
  <c r="W19" i="2"/>
  <c r="S28" i="9"/>
  <c r="S23" i="9"/>
  <c r="S22" i="9"/>
  <c r="S21" i="9"/>
  <c r="S19" i="9"/>
  <c r="S28" i="8"/>
  <c r="S29" i="8" s="1"/>
  <c r="S30" i="8" s="1"/>
  <c r="S32" i="8" s="1"/>
  <c r="S23" i="8"/>
  <c r="S22" i="8"/>
  <c r="S21" i="8"/>
  <c r="U16" i="8"/>
  <c r="U40" i="8" s="1"/>
  <c r="U35" i="9"/>
  <c r="U16" i="9"/>
  <c r="J103" i="9"/>
  <c r="S29" i="9"/>
  <c r="S30" i="9" s="1"/>
  <c r="S32" i="9" s="1"/>
  <c r="J7" i="9"/>
  <c r="J8" i="9" s="1"/>
  <c r="J6" i="9"/>
  <c r="T18" i="9"/>
  <c r="T20" i="9"/>
  <c r="T40" i="9"/>
  <c r="T24" i="9"/>
  <c r="L103" i="8"/>
  <c r="S19" i="8"/>
  <c r="T20" i="8"/>
  <c r="T40" i="8"/>
  <c r="T18" i="8"/>
  <c r="T19" i="8" s="1"/>
  <c r="T24" i="8"/>
  <c r="P5" i="2"/>
  <c r="Q6" i="2"/>
  <c r="Q7" i="2"/>
  <c r="Q8" i="2" s="1"/>
  <c r="Q4" i="2"/>
  <c r="P3" i="2"/>
  <c r="X22" i="2" l="1"/>
  <c r="X21" i="2"/>
  <c r="X23" i="2"/>
  <c r="V19" i="2"/>
  <c r="W39" i="2"/>
  <c r="Y19" i="2"/>
  <c r="Y23" i="2"/>
  <c r="Y22" i="2"/>
  <c r="Y21" i="2"/>
  <c r="Y38" i="2"/>
  <c r="W38" i="2"/>
  <c r="Y39" i="2"/>
  <c r="Y37" i="2"/>
  <c r="T28" i="9"/>
  <c r="T29" i="9" s="1"/>
  <c r="T30" i="9" s="1"/>
  <c r="T32" i="9" s="1"/>
  <c r="T23" i="9"/>
  <c r="T22" i="9"/>
  <c r="T21" i="9"/>
  <c r="T19" i="9"/>
  <c r="T28" i="8"/>
  <c r="T23" i="8"/>
  <c r="T22" i="8"/>
  <c r="T21" i="8"/>
  <c r="U18" i="8"/>
  <c r="U24" i="8"/>
  <c r="U20" i="8"/>
  <c r="U40" i="9"/>
  <c r="U18" i="9"/>
  <c r="U20" i="9"/>
  <c r="U24" i="9"/>
  <c r="T29" i="8"/>
  <c r="T30" i="8"/>
  <c r="T32" i="8" s="1"/>
  <c r="O5" i="2"/>
  <c r="P6" i="2"/>
  <c r="P7" i="2"/>
  <c r="P8" i="2" s="1"/>
  <c r="O3" i="2"/>
  <c r="P4" i="2"/>
  <c r="U28" i="9" l="1"/>
  <c r="U29" i="9" s="1"/>
  <c r="U30" i="9" s="1"/>
  <c r="U32" i="9" s="1"/>
  <c r="U22" i="9"/>
  <c r="U21" i="9"/>
  <c r="U23" i="9"/>
  <c r="U28" i="8"/>
  <c r="U29" i="8" s="1"/>
  <c r="U23" i="8"/>
  <c r="U22" i="8"/>
  <c r="U21" i="8"/>
  <c r="U30" i="8"/>
  <c r="U32" i="8" s="1"/>
  <c r="U19" i="8"/>
  <c r="U19" i="9"/>
  <c r="N5" i="2"/>
  <c r="O7" i="2"/>
  <c r="O8" i="2" s="1"/>
  <c r="O6" i="2"/>
  <c r="N3" i="2"/>
  <c r="N4" i="2" s="1"/>
  <c r="O4" i="2"/>
  <c r="N6" i="2" l="1"/>
  <c r="N7" i="2"/>
  <c r="N8" i="2" s="1"/>
  <c r="O92" i="2" l="1"/>
  <c r="O62" i="2"/>
  <c r="D6" i="3" s="1"/>
  <c r="D7" i="3" s="1"/>
  <c r="N64" i="2"/>
  <c r="N62" i="2"/>
  <c r="C6" i="3" s="1"/>
  <c r="C7" i="3" s="1"/>
  <c r="O64" i="2"/>
  <c r="N53" i="2"/>
  <c r="N55" i="2" s="1"/>
  <c r="O53" i="2"/>
  <c r="O55" i="2" s="1"/>
  <c r="P56" i="2"/>
  <c r="P52" i="2"/>
  <c r="P50" i="2"/>
  <c r="E10" i="3" s="1"/>
  <c r="R50" i="2"/>
  <c r="G10" i="3" s="1"/>
  <c r="Q50" i="2"/>
  <c r="F10" i="3" s="1"/>
  <c r="O50" i="2"/>
  <c r="N50" i="2"/>
  <c r="S50" i="2"/>
  <c r="N29" i="2"/>
  <c r="O29" i="2"/>
  <c r="O17" i="2"/>
  <c r="O18" i="2" s="1"/>
  <c r="O20" i="2" s="1"/>
  <c r="O24" i="2" s="1"/>
  <c r="H30" i="7" s="1"/>
  <c r="N17" i="2"/>
  <c r="N18" i="2" s="1"/>
  <c r="N20" i="2" s="1"/>
  <c r="N24" i="2" s="1"/>
  <c r="G30" i="7" s="1"/>
  <c r="P92" i="2"/>
  <c r="Q92" i="2"/>
  <c r="J44" i="7" s="1"/>
  <c r="J45" i="7" s="1"/>
  <c r="Q89" i="2"/>
  <c r="Q56" i="2"/>
  <c r="F13" i="3" s="1"/>
  <c r="U40" i="2"/>
  <c r="N27" i="7" s="1"/>
  <c r="N25" i="7" s="1" a="1"/>
  <c r="N25" i="7" s="1"/>
  <c r="T40" i="2"/>
  <c r="M27" i="7" s="1"/>
  <c r="M25" i="7" s="1" a="1"/>
  <c r="M25" i="7" s="1"/>
  <c r="M24" i="7" s="1"/>
  <c r="U39" i="2"/>
  <c r="T39" i="2"/>
  <c r="U38" i="2"/>
  <c r="T38" i="2"/>
  <c r="U37" i="2"/>
  <c r="T37" i="2"/>
  <c r="T36" i="2"/>
  <c r="U35" i="2"/>
  <c r="T35" i="2"/>
  <c r="R40" i="2"/>
  <c r="Q40" i="2"/>
  <c r="P40" i="2"/>
  <c r="O40" i="2"/>
  <c r="R39" i="2"/>
  <c r="Q39" i="2"/>
  <c r="R38" i="2"/>
  <c r="Q38" i="2"/>
  <c r="R37" i="2"/>
  <c r="Q37" i="2"/>
  <c r="R36" i="2"/>
  <c r="Q36" i="2"/>
  <c r="P36" i="2"/>
  <c r="O36" i="2"/>
  <c r="R35" i="2"/>
  <c r="Q35" i="2"/>
  <c r="P35" i="2"/>
  <c r="O35" i="2"/>
  <c r="P29" i="2"/>
  <c r="I36" i="7" s="1"/>
  <c r="Q29" i="2"/>
  <c r="P17" i="2"/>
  <c r="P18" i="2" s="1"/>
  <c r="P20" i="2" s="1"/>
  <c r="P24" i="2" s="1"/>
  <c r="I30" i="7" s="1"/>
  <c r="Q17" i="2"/>
  <c r="R104" i="2"/>
  <c r="T100" i="2"/>
  <c r="R100" i="2"/>
  <c r="Q100" i="2"/>
  <c r="P100" i="2"/>
  <c r="O100" i="2"/>
  <c r="N100" i="2"/>
  <c r="S100" i="2"/>
  <c r="T93" i="2"/>
  <c r="R93" i="2"/>
  <c r="N93" i="2"/>
  <c r="S93" i="2"/>
  <c r="T87" i="2"/>
  <c r="T88" i="2" s="1"/>
  <c r="T102" i="2" s="1"/>
  <c r="R87" i="2"/>
  <c r="K47" i="7" s="1"/>
  <c r="K48" i="7" s="1"/>
  <c r="Q87" i="2"/>
  <c r="J47" i="7" s="1"/>
  <c r="J48" i="7" s="1"/>
  <c r="P87" i="2"/>
  <c r="I47" i="7" s="1"/>
  <c r="I48" i="7" s="1"/>
  <c r="O87" i="2"/>
  <c r="H47" i="7" s="1"/>
  <c r="H48" i="7" s="1"/>
  <c r="N87" i="2"/>
  <c r="G47" i="7" s="1"/>
  <c r="G48" i="7" s="1"/>
  <c r="S87" i="2"/>
  <c r="L47" i="7" s="1"/>
  <c r="L48" i="7" s="1"/>
  <c r="T67" i="2"/>
  <c r="S66" i="2"/>
  <c r="S67" i="2" s="1"/>
  <c r="Q66" i="2"/>
  <c r="Q67" i="2" s="1"/>
  <c r="P66" i="2"/>
  <c r="P67" i="2" s="1"/>
  <c r="H66" i="2"/>
  <c r="H67" i="2" s="1"/>
  <c r="R66" i="2"/>
  <c r="R67" i="2" s="1"/>
  <c r="T55" i="2"/>
  <c r="R55" i="2"/>
  <c r="Q55" i="2"/>
  <c r="T50" i="2"/>
  <c r="S55" i="2"/>
  <c r="S39" i="2"/>
  <c r="S38" i="2"/>
  <c r="S37" i="2"/>
  <c r="S36" i="2"/>
  <c r="S35" i="2"/>
  <c r="S40" i="2"/>
  <c r="R29" i="2"/>
  <c r="K36" i="7" s="1"/>
  <c r="S29" i="2"/>
  <c r="T18" i="2"/>
  <c r="T20" i="2" s="1"/>
  <c r="T24" i="2" s="1"/>
  <c r="R17" i="2"/>
  <c r="R18" i="2" s="1"/>
  <c r="R20" i="2" s="1"/>
  <c r="R24" i="2" s="1"/>
  <c r="K30" i="7" s="1"/>
  <c r="S17" i="2"/>
  <c r="G40" i="2"/>
  <c r="E29" i="2"/>
  <c r="E17" i="2"/>
  <c r="E18" i="2" s="1"/>
  <c r="E20" i="2" s="1"/>
  <c r="C20" i="2"/>
  <c r="G17" i="2"/>
  <c r="G29" i="2"/>
  <c r="H29" i="2" s="1"/>
  <c r="H4" i="1"/>
  <c r="H7" i="1" s="1"/>
  <c r="L36" i="7" l="1"/>
  <c r="F29" i="2"/>
  <c r="G18" i="2"/>
  <c r="G20" i="2" s="1"/>
  <c r="H17" i="2"/>
  <c r="H18" i="2" s="1"/>
  <c r="H20" i="2" s="1"/>
  <c r="H41" i="2" s="1"/>
  <c r="J36" i="7"/>
  <c r="D29" i="2"/>
  <c r="Q18" i="2"/>
  <c r="Q20" i="2" s="1"/>
  <c r="Q24" i="2" s="1"/>
  <c r="J30" i="7" s="1"/>
  <c r="J31" i="7" s="1"/>
  <c r="D17" i="2"/>
  <c r="D18" i="2" s="1"/>
  <c r="D20" i="2" s="1"/>
  <c r="D24" i="2" s="1"/>
  <c r="D28" i="2" s="1"/>
  <c r="D30" i="2" s="1"/>
  <c r="D32" i="2" s="1"/>
  <c r="S18" i="2"/>
  <c r="S20" i="2" s="1"/>
  <c r="S24" i="2" s="1"/>
  <c r="L30" i="7" s="1"/>
  <c r="L31" i="7" s="1"/>
  <c r="F17" i="2"/>
  <c r="F18" i="2" s="1"/>
  <c r="F20" i="2" s="1"/>
  <c r="F24" i="2" s="1"/>
  <c r="F28" i="2" s="1"/>
  <c r="I14" i="3"/>
  <c r="P93" i="2"/>
  <c r="I44" i="7"/>
  <c r="I45" i="7" s="1"/>
  <c r="T57" i="2"/>
  <c r="I10" i="3"/>
  <c r="I23" i="3" s="1"/>
  <c r="O93" i="2"/>
  <c r="H44" i="7"/>
  <c r="H45" i="7" s="1"/>
  <c r="M44" i="7"/>
  <c r="M30" i="7"/>
  <c r="M36" i="7" s="1"/>
  <c r="M39" i="7" s="1"/>
  <c r="M41" i="7"/>
  <c r="M47" i="7"/>
  <c r="N24" i="7"/>
  <c r="I37" i="7"/>
  <c r="I39" i="7"/>
  <c r="I31" i="7"/>
  <c r="G31" i="7"/>
  <c r="O71" i="2"/>
  <c r="H36" i="7"/>
  <c r="H37" i="7" s="1"/>
  <c r="N71" i="2"/>
  <c r="G36" i="7"/>
  <c r="G37" i="7" s="1"/>
  <c r="L39" i="7"/>
  <c r="L50" i="7" s="1"/>
  <c r="K37" i="7"/>
  <c r="H31" i="7"/>
  <c r="K31" i="7"/>
  <c r="K39" i="7"/>
  <c r="K50" i="7" s="1"/>
  <c r="C10" i="3"/>
  <c r="C23" i="3" s="1"/>
  <c r="D10" i="3"/>
  <c r="D23" i="3" s="1"/>
  <c r="N66" i="2"/>
  <c r="N67" i="2" s="1"/>
  <c r="O66" i="2"/>
  <c r="O67" i="2" s="1"/>
  <c r="N57" i="2"/>
  <c r="C21" i="3" s="1"/>
  <c r="O57" i="2"/>
  <c r="D21" i="3" s="1"/>
  <c r="Q93" i="2"/>
  <c r="N28" i="2"/>
  <c r="N30" i="2" s="1"/>
  <c r="O28" i="2"/>
  <c r="O43" i="2" s="1"/>
  <c r="D14" i="3" s="1"/>
  <c r="E12" i="3"/>
  <c r="E13" i="3" s="1"/>
  <c r="E15" i="3" s="1"/>
  <c r="E41" i="3"/>
  <c r="E46" i="3" s="1"/>
  <c r="E11" i="3"/>
  <c r="N42" i="2"/>
  <c r="Q57" i="2"/>
  <c r="N41" i="2"/>
  <c r="R28" i="2"/>
  <c r="R30" i="2" s="1"/>
  <c r="G23" i="3"/>
  <c r="P28" i="2"/>
  <c r="P43" i="2" s="1"/>
  <c r="E14" i="3" s="1"/>
  <c r="E23" i="3"/>
  <c r="G15" i="3"/>
  <c r="P55" i="2"/>
  <c r="P57" i="2" s="1"/>
  <c r="S42" i="2"/>
  <c r="S57" i="2"/>
  <c r="H10" i="3"/>
  <c r="H23" i="3" s="1"/>
  <c r="R57" i="2"/>
  <c r="O41" i="2"/>
  <c r="P41" i="2"/>
  <c r="Q41" i="2"/>
  <c r="R41" i="2"/>
  <c r="O42" i="2"/>
  <c r="P42" i="2"/>
  <c r="R42" i="2"/>
  <c r="O30" i="2"/>
  <c r="G24" i="2"/>
  <c r="G28" i="2" s="1"/>
  <c r="G41" i="2"/>
  <c r="C41" i="2"/>
  <c r="C24" i="2"/>
  <c r="C28" i="2" s="1"/>
  <c r="E41" i="2"/>
  <c r="E24" i="2"/>
  <c r="E28" i="2" s="1"/>
  <c r="H24" i="2"/>
  <c r="L37" i="7" l="1"/>
  <c r="F42" i="2"/>
  <c r="F41" i="2"/>
  <c r="J37" i="7"/>
  <c r="D41" i="2"/>
  <c r="G50" i="3"/>
  <c r="G51" i="3" s="1"/>
  <c r="R32" i="2"/>
  <c r="F23" i="3"/>
  <c r="I50" i="7"/>
  <c r="J39" i="7"/>
  <c r="J50" i="7" s="1"/>
  <c r="H28" i="2"/>
  <c r="H43" i="2" s="1"/>
  <c r="H42" i="2"/>
  <c r="D50" i="3"/>
  <c r="D51" i="3" s="1"/>
  <c r="O32" i="2"/>
  <c r="S28" i="2"/>
  <c r="S30" i="2" s="1"/>
  <c r="S32" i="2" s="1"/>
  <c r="Q42" i="2"/>
  <c r="Q28" i="2"/>
  <c r="Q43" i="2" s="1"/>
  <c r="F14" i="3" s="1"/>
  <c r="S41" i="2"/>
  <c r="C50" i="3"/>
  <c r="C51" i="3" s="1"/>
  <c r="N32" i="2"/>
  <c r="H22" i="3"/>
  <c r="H50" i="3"/>
  <c r="H51" i="3" s="1"/>
  <c r="I43" i="3"/>
  <c r="I21" i="3"/>
  <c r="I24" i="3"/>
  <c r="I25" i="3"/>
  <c r="I16" i="3"/>
  <c r="I17" i="3"/>
  <c r="M50" i="7"/>
  <c r="M51" i="7" s="1"/>
  <c r="N44" i="7"/>
  <c r="N41" i="7"/>
  <c r="N47" i="7"/>
  <c r="O24" i="7"/>
  <c r="N30" i="7"/>
  <c r="N36" i="7" s="1"/>
  <c r="N39" i="7" s="1"/>
  <c r="D43" i="3"/>
  <c r="H39" i="7"/>
  <c r="H50" i="7" s="1"/>
  <c r="C43" i="3"/>
  <c r="G39" i="7"/>
  <c r="G50" i="7" s="1"/>
  <c r="E25" i="3"/>
  <c r="E16" i="3"/>
  <c r="E24" i="3"/>
  <c r="F24" i="3"/>
  <c r="F25" i="3"/>
  <c r="D24" i="3"/>
  <c r="D16" i="3"/>
  <c r="D25" i="3"/>
  <c r="D17" i="3"/>
  <c r="R70" i="2"/>
  <c r="R88" i="2" s="1"/>
  <c r="R102" i="2" s="1"/>
  <c r="R103" i="2" s="1"/>
  <c r="G22" i="3"/>
  <c r="E17" i="3"/>
  <c r="P30" i="2"/>
  <c r="P32" i="2" s="1"/>
  <c r="R43" i="2"/>
  <c r="G14" i="3" s="1"/>
  <c r="G17" i="3" s="1"/>
  <c r="G21" i="3"/>
  <c r="G43" i="3"/>
  <c r="F43" i="3"/>
  <c r="F21" i="3"/>
  <c r="E21" i="3"/>
  <c r="E43" i="3"/>
  <c r="D22" i="3"/>
  <c r="O70" i="2"/>
  <c r="O88" i="2" s="1"/>
  <c r="O102" i="2" s="1"/>
  <c r="O103" i="2" s="1"/>
  <c r="N104" i="2" s="1"/>
  <c r="H21" i="3"/>
  <c r="H43" i="3"/>
  <c r="C22" i="3"/>
  <c r="N70" i="2"/>
  <c r="N88" i="2" s="1"/>
  <c r="N102" i="2" s="1"/>
  <c r="F15" i="3"/>
  <c r="F17" i="3" s="1"/>
  <c r="N43" i="2"/>
  <c r="C14" i="3" s="1"/>
  <c r="S70" i="2"/>
  <c r="S88" i="2" s="1"/>
  <c r="S102" i="2" s="1"/>
  <c r="S104" i="2" s="1"/>
  <c r="T103" i="2" s="1"/>
  <c r="T104" i="2" s="1"/>
  <c r="U103" i="2" s="1"/>
  <c r="U104" i="2" s="1"/>
  <c r="S43" i="2"/>
  <c r="H14" i="3" s="1"/>
  <c r="F30" i="2"/>
  <c r="F43" i="2"/>
  <c r="E42" i="2"/>
  <c r="D42" i="2"/>
  <c r="C42" i="2"/>
  <c r="G42" i="2"/>
  <c r="Q30" i="2" l="1"/>
  <c r="Q32" i="2" s="1"/>
  <c r="F70" i="2"/>
  <c r="F88" i="2" s="1"/>
  <c r="F102" i="2" s="1"/>
  <c r="F32" i="2"/>
  <c r="E22" i="3"/>
  <c r="E50" i="3"/>
  <c r="E51" i="3" s="1"/>
  <c r="F22" i="3"/>
  <c r="F50" i="3"/>
  <c r="F51" i="3" s="1"/>
  <c r="Q70" i="2"/>
  <c r="Q88" i="2" s="1"/>
  <c r="Q102" i="2" s="1"/>
  <c r="Q103" i="2" s="1"/>
  <c r="P104" i="2" s="1"/>
  <c r="N50" i="7"/>
  <c r="N51" i="7" s="1"/>
  <c r="O47" i="7"/>
  <c r="O30" i="7"/>
  <c r="O36" i="7" s="1"/>
  <c r="O39" i="7" s="1"/>
  <c r="O41" i="7"/>
  <c r="O44" i="7"/>
  <c r="P24" i="7"/>
  <c r="N103" i="2"/>
  <c r="H16" i="3"/>
  <c r="H24" i="3"/>
  <c r="H25" i="3"/>
  <c r="H17" i="3"/>
  <c r="G16" i="3"/>
  <c r="G24" i="3"/>
  <c r="G25" i="3"/>
  <c r="P70" i="2"/>
  <c r="P88" i="2" s="1"/>
  <c r="P102" i="2" s="1"/>
  <c r="C24" i="3"/>
  <c r="C25" i="3"/>
  <c r="F16" i="3"/>
  <c r="G43" i="2"/>
  <c r="G30" i="2"/>
  <c r="C30" i="2"/>
  <c r="C43" i="2"/>
  <c r="D70" i="2"/>
  <c r="D88" i="2" s="1"/>
  <c r="D102" i="2" s="1"/>
  <c r="D43" i="2"/>
  <c r="E30" i="2"/>
  <c r="E43" i="2"/>
  <c r="H30" i="2"/>
  <c r="C70" i="2" l="1"/>
  <c r="C88" i="2" s="1"/>
  <c r="C102" i="2" s="1"/>
  <c r="C32" i="2"/>
  <c r="E70" i="2"/>
  <c r="E88" i="2" s="1"/>
  <c r="E102" i="2" s="1"/>
  <c r="E104" i="2" s="1"/>
  <c r="E32" i="2"/>
  <c r="H70" i="2"/>
  <c r="H88" i="2" s="1"/>
  <c r="H102" i="2" s="1"/>
  <c r="H32" i="2"/>
  <c r="P103" i="2"/>
  <c r="G70" i="2"/>
  <c r="G88" i="2" s="1"/>
  <c r="G102" i="2" s="1"/>
  <c r="G104" i="2" s="1"/>
  <c r="G32" i="2"/>
  <c r="P47" i="7"/>
  <c r="P30" i="7"/>
  <c r="P36" i="7" s="1"/>
  <c r="P39" i="7" s="1"/>
  <c r="P44" i="7"/>
  <c r="Q24" i="7"/>
  <c r="P41" i="7"/>
  <c r="O50" i="7"/>
  <c r="O51" i="7" s="1"/>
  <c r="U36" i="2"/>
  <c r="T28" i="2"/>
  <c r="Q47" i="7" l="1"/>
  <c r="Q30" i="7"/>
  <c r="Q36" i="7" s="1"/>
  <c r="Q39" i="7" s="1"/>
  <c r="R24" i="7"/>
  <c r="Q41" i="7"/>
  <c r="Q44" i="7"/>
  <c r="P50" i="7"/>
  <c r="P51" i="7" s="1"/>
  <c r="T30" i="2"/>
  <c r="T32" i="2" s="1"/>
  <c r="I22" i="3" l="1"/>
  <c r="I50" i="3"/>
  <c r="I51" i="3" s="1"/>
  <c r="Q50" i="7"/>
  <c r="Q51" i="7" s="1"/>
  <c r="R47" i="7"/>
  <c r="R30" i="7"/>
  <c r="R36" i="7" s="1"/>
  <c r="R39" i="7" s="1"/>
  <c r="R44" i="7"/>
  <c r="S24" i="7"/>
  <c r="R41" i="7"/>
  <c r="S47" i="7" l="1"/>
  <c r="S30" i="7"/>
  <c r="S36" i="7" s="1"/>
  <c r="S39" i="7" s="1"/>
  <c r="S44" i="7"/>
  <c r="T24" i="7"/>
  <c r="S41" i="7"/>
  <c r="R50" i="7"/>
  <c r="R51" i="7" s="1"/>
  <c r="S50" i="7" l="1"/>
  <c r="S51" i="7" s="1"/>
  <c r="T47" i="7"/>
  <c r="T30" i="7"/>
  <c r="T36" i="7" s="1"/>
  <c r="T39" i="7" s="1"/>
  <c r="T44" i="7"/>
  <c r="U24" i="7"/>
  <c r="T41" i="7"/>
  <c r="U41" i="7" l="1"/>
  <c r="U30" i="7"/>
  <c r="U36" i="7" s="1"/>
  <c r="U39" i="7" s="1"/>
  <c r="U47" i="7"/>
  <c r="U44" i="7"/>
  <c r="V24" i="7"/>
  <c r="T50" i="7"/>
  <c r="T51" i="7" s="1"/>
  <c r="V47" i="7" l="1"/>
  <c r="V30" i="7"/>
  <c r="V36" i="7" s="1"/>
  <c r="V39" i="7" s="1"/>
  <c r="V41" i="7"/>
  <c r="V44" i="7"/>
  <c r="U50" i="7"/>
  <c r="U51" i="7" s="1"/>
  <c r="V54" i="7" l="1"/>
  <c r="V55" i="7" s="1"/>
  <c r="V50" i="7"/>
  <c r="V51" i="7" s="1"/>
  <c r="V53" i="7" s="1"/>
  <c r="V56" i="7" l="1"/>
  <c r="V59" i="7" s="1"/>
  <c r="V61" i="7" s="1"/>
  <c r="J3" i="7" s="1"/>
  <c r="C68" i="7" s="1"/>
  <c r="J4" i="7" l="1"/>
  <c r="N68" i="7"/>
  <c r="V23" i="2" l="1"/>
  <c r="V22" i="2"/>
  <c r="V21" i="2"/>
  <c r="V28" i="2"/>
  <c r="V29" i="2" s="1"/>
  <c r="V30" i="2" l="1"/>
  <c r="V3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E8" authorId="0" shapeId="0" xr:uid="{8617814A-DA59-436E-A45B-06EFF7B6A1EF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u.a. Iglo</t>
        </r>
      </text>
    </comment>
    <comment ref="G9" authorId="0" shapeId="0" xr:uid="{173A2FCB-E267-4EAB-A75B-B1A4AA6418C6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2023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B3" authorId="0" shapeId="0" xr:uid="{F40B7680-1587-4662-B473-FEA61635C08C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https://de.statista.com/outlook/cmo/lebensmittel/convenience-food/fertiggerichte/deutschland</t>
        </r>
      </text>
    </comment>
    <comment ref="B5" authorId="0" shapeId="0" xr:uid="{4606BB22-6E88-49C4-A272-88C8CBE70806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https://de.statista.com/outlook/cmo/lebensmittel/convenience-food/fertiggerichte/europa#umsatz</t>
        </r>
      </text>
    </comment>
    <comment ref="T16" authorId="0" shapeId="0" xr:uid="{8A27AEAE-B5A5-489E-9542-C848CC9E1109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DRS21 Neue Regluierungs-Standard </t>
        </r>
      </text>
    </comment>
    <comment ref="B18" authorId="0" shapeId="0" xr:uid="{56E07368-6D35-4326-BD9A-48232E037885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Betriebsleistung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B3" authorId="0" shapeId="0" xr:uid="{A2B3A8C6-1944-4003-9DBD-2E380CFC1F23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https://de.statista.com/outlook/cmo/lebensmittel/convenience-food/fertiggerichte/deutschland</t>
        </r>
      </text>
    </comment>
    <comment ref="B5" authorId="0" shapeId="0" xr:uid="{400E1959-E83D-41A2-AC77-A42EF88A7FE0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https://de.statista.com/outlook/cmo/lebensmittel/convenience-food/fertiggerichte/europa#umsatz</t>
        </r>
      </text>
    </comment>
    <comment ref="B18" authorId="0" shapeId="0" xr:uid="{36835A43-8A02-45AF-930E-3BA57B5769AD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Betriebsleistung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B3" authorId="0" shapeId="0" xr:uid="{08FFAB38-0D80-48E1-8E45-4E4437DDE844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https://de.statista.com/outlook/cmo/lebensmittel/convenience-food/fertiggerichte/deutschland</t>
        </r>
      </text>
    </comment>
    <comment ref="B5" authorId="0" shapeId="0" xr:uid="{9A8743CB-4650-4A07-A311-239F39739582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https://de.statista.com/outlook/cmo/lebensmittel/convenience-food/fertiggerichte/europa#umsatz</t>
        </r>
      </text>
    </comment>
    <comment ref="B18" authorId="0" shapeId="0" xr:uid="{0D48AB88-E156-4AFC-9274-922CD9623E05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Betriebsleistung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<sst xmlns="http://schemas.openxmlformats.org/spreadsheetml/2006/main" count="734" uniqueCount="356">
  <si>
    <t>Frosta AG</t>
  </si>
  <si>
    <t>numbers in mio EUR</t>
  </si>
  <si>
    <t>Price</t>
  </si>
  <si>
    <t>Shares</t>
  </si>
  <si>
    <t>MC</t>
  </si>
  <si>
    <t>Cash</t>
  </si>
  <si>
    <t>Debt</t>
  </si>
  <si>
    <t>EV</t>
  </si>
  <si>
    <t>IR</t>
  </si>
  <si>
    <t>NLM</t>
  </si>
  <si>
    <t>CEO</t>
  </si>
  <si>
    <t>Felix Ahlers</t>
  </si>
  <si>
    <t>Employee Count</t>
  </si>
  <si>
    <t>Main</t>
  </si>
  <si>
    <t>H122</t>
  </si>
  <si>
    <t>H222</t>
  </si>
  <si>
    <t>H123</t>
  </si>
  <si>
    <t>H223</t>
  </si>
  <si>
    <t>H124</t>
  </si>
  <si>
    <t>H224</t>
  </si>
  <si>
    <t>FY18</t>
  </si>
  <si>
    <t>FY19</t>
  </si>
  <si>
    <t>FY20</t>
  </si>
  <si>
    <t>FY21</t>
  </si>
  <si>
    <t>FY22</t>
  </si>
  <si>
    <t>FY23</t>
  </si>
  <si>
    <t>FY24</t>
  </si>
  <si>
    <t>FY25</t>
  </si>
  <si>
    <t>Segments</t>
  </si>
  <si>
    <t>% of Rev</t>
  </si>
  <si>
    <t>Products/Brands</t>
  </si>
  <si>
    <t>Notes</t>
  </si>
  <si>
    <t>Fisch</t>
  </si>
  <si>
    <t>Gemüse</t>
  </si>
  <si>
    <t>Kräuter&amp;Gerichte</t>
  </si>
  <si>
    <t>In Deutschland vetreibt man unter der Marke FRoSTA Tiefkühlgerichte der Kategorien in Deutschland, Italien, Polen, Österreich und Osteuropa</t>
  </si>
  <si>
    <t>In Italien unter der Marke La Valle degli Orti -&gt; Tiefkühlgemüse</t>
  </si>
  <si>
    <t>Seit 2003 verzichtet man auf den Zusatz von Farbstoffen, Aromen, Geschmacksverstärkern und sonstigen Zusatzstoffen (Reinheitsgebot)</t>
  </si>
  <si>
    <t>FRoSTA auch im Supermarkt erhältlich, auch vegetarische Gerichte, seit Herbst 2020 pflanzliche Alternativen zu Fisch</t>
  </si>
  <si>
    <t>Konzern entwickelt und produziert hochwertige Handelsmarken, Zweitmarken Tiko (Fisch und Gerichte), Elbtal (Gemüse)</t>
  </si>
  <si>
    <t>Prognosen: Umsatz +/- 1%, Gewinnmarge um die 5%</t>
  </si>
  <si>
    <t>Revenue</t>
  </si>
  <si>
    <t>COGS</t>
  </si>
  <si>
    <t xml:space="preserve">Gross Margin </t>
  </si>
  <si>
    <t>D&amp;A</t>
  </si>
  <si>
    <t>Other operating Expenses</t>
  </si>
  <si>
    <t>Operating Income</t>
  </si>
  <si>
    <t>Interest Income</t>
  </si>
  <si>
    <t>Interes Expense</t>
  </si>
  <si>
    <t>Pretax Income</t>
  </si>
  <si>
    <t>Tax Expense</t>
  </si>
  <si>
    <t>Net Income</t>
  </si>
  <si>
    <t>Other</t>
  </si>
  <si>
    <t>Operating Performance</t>
  </si>
  <si>
    <t>Revenue Growth</t>
  </si>
  <si>
    <t xml:space="preserve">Operating Margin </t>
  </si>
  <si>
    <t>Tax Rate</t>
  </si>
  <si>
    <t>Gerichte: Butter Chicken, Hackbällchen Pfanne</t>
  </si>
  <si>
    <t>Fisch: Fischstäbchen (Chili Crunch, Bio Panade, glutenfrei), Alaska Seelachs-Filet (Kräuter&amp;Butter, mediterran)</t>
  </si>
  <si>
    <t>Bio Gemüsepfannen/Gerichte: Bio Tagliatelle Cherrytomate, Bio Gelbes Curry, Bio Reis Champignon Pfanne, Gemüsepfanne a la Mexicana</t>
  </si>
  <si>
    <t>Bio Gemüsepfanne Gartengemüse, Bio Gemüsepfanne a la Ratatouille</t>
  </si>
  <si>
    <t>Neue Produkte in Italien: Suppen (Minestrone mit Proteinen, Minestrpne mit Ballaststoffen, Suppe Rustica)</t>
  </si>
  <si>
    <t>Gemüsepfanne mit Hänchenbrustfilet, Lasagne mit Auberginen, Fisch (Knusperfilet mit Rosmarin und Zitronengras, Sonnenblumenkernen und Minze, Haferflocken und Cranberries</t>
  </si>
  <si>
    <t>Grillfisch mit Zitrone und Rosmarin, Lachsburger</t>
  </si>
  <si>
    <t>Neue Gerichte in Polen: Gemüsenpfannen: klassische Gemüsemischung, Asiatische Gemüsemischung, Lieblings Gemüsemischung</t>
  </si>
  <si>
    <t>Gemüsemischung mit Basilikum und Oregano, Dill und Petersilie, Thymian &amp; Rosmarin, Wok Mix, Italienischer Mix, Mexikanischer Mix</t>
  </si>
  <si>
    <t xml:space="preserve">Offengemüse: Offengemüse mit Blumenkohl, Bohen, Karotten, Kartoffeln, Zucchini, Karotten </t>
  </si>
  <si>
    <t>Gemüse Bowls; Erbsennundeln, Asiatische Bowl mit Blumenkohlreis, Bowl mit Quinoa, Gemüse Bowl mit Kichererbsen</t>
  </si>
  <si>
    <t>produziert schockgefrostete Produkte in drei Werken in Deutschland (Bremerhaven, Bobenheim-Roxheim, Lommatzsch) und einem Werk in Polen (Bydgoszc)</t>
  </si>
  <si>
    <t>Marken: Out of Home, Heimdienst, Industriegescäft</t>
  </si>
  <si>
    <t>Emplyoee Payroll</t>
  </si>
  <si>
    <t>Gross Profit</t>
  </si>
  <si>
    <t>Domestic</t>
  </si>
  <si>
    <t>International</t>
  </si>
  <si>
    <t>Fish</t>
  </si>
  <si>
    <t>Gemüse&amp;Obst</t>
  </si>
  <si>
    <t>Fertiggerichte &amp; Andere</t>
  </si>
  <si>
    <t xml:space="preserve">Domestic Growth </t>
  </si>
  <si>
    <t>International Growth</t>
  </si>
  <si>
    <t>Fisch Growth</t>
  </si>
  <si>
    <t>Gemüse&amp;Obst Growth</t>
  </si>
  <si>
    <t>Andere Gerichte Growth</t>
  </si>
  <si>
    <t>PP&amp;E</t>
  </si>
  <si>
    <t>Financial Assets</t>
  </si>
  <si>
    <t>Non-Current Assets</t>
  </si>
  <si>
    <t>Inventory</t>
  </si>
  <si>
    <t>Accounts Receivable</t>
  </si>
  <si>
    <t>Other current Assets</t>
  </si>
  <si>
    <t>Cash &amp; Cash-Equivalents</t>
  </si>
  <si>
    <t>Current Assets</t>
  </si>
  <si>
    <t>Prepaid Expenses</t>
  </si>
  <si>
    <t>Total Assets</t>
  </si>
  <si>
    <t>Equity</t>
  </si>
  <si>
    <t>Pension Liabilties</t>
  </si>
  <si>
    <t>Tax Provisions</t>
  </si>
  <si>
    <t>Other Provisions</t>
  </si>
  <si>
    <t>Account Payables</t>
  </si>
  <si>
    <t>Other Liabilties</t>
  </si>
  <si>
    <t>Defered Taxes</t>
  </si>
  <si>
    <t>Total Liabilities</t>
  </si>
  <si>
    <t>Liabilities &amp; Equity</t>
  </si>
  <si>
    <t>Intangible Assets</t>
  </si>
  <si>
    <t>Balance Sheet</t>
  </si>
  <si>
    <t>x</t>
  </si>
  <si>
    <t>Income Statement</t>
  </si>
  <si>
    <t>Cashflow Statement</t>
  </si>
  <si>
    <t>Taxes</t>
  </si>
  <si>
    <t>Sale of Current Assets</t>
  </si>
  <si>
    <t>Interest Expense</t>
  </si>
  <si>
    <t>Interest Received</t>
  </si>
  <si>
    <t>Interest Paid</t>
  </si>
  <si>
    <t>Taxes Paid</t>
  </si>
  <si>
    <t>Taxes Received</t>
  </si>
  <si>
    <t>Change in non-current Provisions</t>
  </si>
  <si>
    <t>Change in other operating Assets</t>
  </si>
  <si>
    <t>Other Income</t>
  </si>
  <si>
    <t>Change in other operating Liabilities</t>
  </si>
  <si>
    <t>Change in Inventory, A/R</t>
  </si>
  <si>
    <t>Change in Accounts Payables</t>
  </si>
  <si>
    <t xml:space="preserve">Change in Working Capital </t>
  </si>
  <si>
    <t>Change in current Provisions</t>
  </si>
  <si>
    <t>CFFO</t>
  </si>
  <si>
    <t>CFFI</t>
  </si>
  <si>
    <t>Sale of PP&amp;E</t>
  </si>
  <si>
    <t>Investments in Intangibles</t>
  </si>
  <si>
    <t>Investments in PP&amp;E</t>
  </si>
  <si>
    <t>Subsidies</t>
  </si>
  <si>
    <t>Stock Repurchaes</t>
  </si>
  <si>
    <t>Issuance of Stock</t>
  </si>
  <si>
    <t>Dividends</t>
  </si>
  <si>
    <t>Issuance of Debt</t>
  </si>
  <si>
    <t>Redemption of Debt</t>
  </si>
  <si>
    <t>Increase in other financial liabilties</t>
  </si>
  <si>
    <t>Currency Exchange Rate Effect</t>
  </si>
  <si>
    <t>Change in Cash</t>
  </si>
  <si>
    <t>Cash BOP</t>
  </si>
  <si>
    <t>Cash EOP</t>
  </si>
  <si>
    <t>EPS</t>
  </si>
  <si>
    <t>Deferrd Tax Assets</t>
  </si>
  <si>
    <t>n.a</t>
  </si>
  <si>
    <t>Ratios</t>
  </si>
  <si>
    <t>Shares o/s</t>
  </si>
  <si>
    <t>Market Cap</t>
  </si>
  <si>
    <t>Net Debt</t>
  </si>
  <si>
    <t>Value Driver</t>
  </si>
  <si>
    <t>Capital Emloyed</t>
  </si>
  <si>
    <t>=Long Term Assets + Working Capital (Exclusive of cash)-Accounts Payables</t>
  </si>
  <si>
    <t>Invested Capital</t>
  </si>
  <si>
    <t>=Net Working Capital + PP&amp;E + Other Net Operating Assets (net of Liabilties) + (Intangibles)</t>
  </si>
  <si>
    <t>Invested Capital (exl. Intangibles)</t>
  </si>
  <si>
    <t>Total Funds Invested</t>
  </si>
  <si>
    <t>Invested Capital + Non-Operating Assets</t>
  </si>
  <si>
    <t>NOPAT</t>
  </si>
  <si>
    <t>EBITA * (1-Marginal Tax Rate)</t>
  </si>
  <si>
    <t>Net Investment</t>
  </si>
  <si>
    <t>=Invested Capital (t+1)-Invested Capital (t)</t>
  </si>
  <si>
    <t>FCF</t>
  </si>
  <si>
    <t>=NOPAT + non-cash Expenses - Investments in Invested Capital</t>
  </si>
  <si>
    <t>Investment Rate</t>
  </si>
  <si>
    <t>=Net Investment/NOPAT</t>
  </si>
  <si>
    <t>Economic Profit</t>
  </si>
  <si>
    <t>=Invested Capital *(ROIC-WACC)</t>
  </si>
  <si>
    <t>Efficency-Ratios</t>
  </si>
  <si>
    <t>Capital Turnover</t>
  </si>
  <si>
    <t>=Revenue/Total Assets</t>
  </si>
  <si>
    <t>Return on Equity (ROE)</t>
  </si>
  <si>
    <t>=Net Income/Book Value of Equity</t>
  </si>
  <si>
    <t>Return on Capital Employed (ROCE)</t>
  </si>
  <si>
    <t>=EBIT/Capital Employed</t>
  </si>
  <si>
    <t>Return on Capital Invested (ROIC)</t>
  </si>
  <si>
    <t>=NOPAT/Invested Capital</t>
  </si>
  <si>
    <t>ROIC without Intangibles</t>
  </si>
  <si>
    <t>=NOPAT/(Invested Capital exclusive of Intangibles)</t>
  </si>
  <si>
    <t>Decomposed ROIC</t>
  </si>
  <si>
    <t>= ROIC = (1-operating cash tax)* (EBITA/Revenues) * (Revenue/Invested Capital)</t>
  </si>
  <si>
    <t>Retention Rate</t>
  </si>
  <si>
    <t>=1 - Dividends/Net Income</t>
  </si>
  <si>
    <t>Reinvestment Rate</t>
  </si>
  <si>
    <t>=Net CapEx + Change in WC / EBIT * (1-t)</t>
  </si>
  <si>
    <t>Epected Growth in Net Income</t>
  </si>
  <si>
    <t>=ROE * Retention Rate</t>
  </si>
  <si>
    <t>Expected Growth in NOPAT</t>
  </si>
  <si>
    <t>=ROIC * Reinvestment Rate</t>
  </si>
  <si>
    <t>Finacial Stability Ratios</t>
  </si>
  <si>
    <t>Equity/Debt Ratio</t>
  </si>
  <si>
    <t>=Book Value of Equtiy/Book Value of Debt</t>
  </si>
  <si>
    <t>Gearing</t>
  </si>
  <si>
    <t>=(Debt - Cash (Net Debt))/Book Value of Equity</t>
  </si>
  <si>
    <t>Interest Coverage Ratio</t>
  </si>
  <si>
    <t>=EBIT/Interest Expenses</t>
  </si>
  <si>
    <t>Net Debt / EBITDA</t>
  </si>
  <si>
    <t>=Net Debt/EBITDA</t>
  </si>
  <si>
    <t>Cash Burn Rate</t>
  </si>
  <si>
    <t>=Book Value of Equity/Absolute value of Loss</t>
  </si>
  <si>
    <t>WC-Managment Ratios</t>
  </si>
  <si>
    <t>Debitor-Duration</t>
  </si>
  <si>
    <t>=Accounts Receivables/Revenue*360</t>
  </si>
  <si>
    <t>Creditor-Duration</t>
  </si>
  <si>
    <t>=Accounts Payable/Revenue*360</t>
  </si>
  <si>
    <t>Inventory Intensity</t>
  </si>
  <si>
    <t>=Inventory/Balance Sheet Total</t>
  </si>
  <si>
    <t>Invetory Turnover</t>
  </si>
  <si>
    <t>=Cogs/Inventory</t>
  </si>
  <si>
    <t>Storage-Duration</t>
  </si>
  <si>
    <t>=360/Inventory Turnover</t>
  </si>
  <si>
    <t>Cash Conversion Cycle</t>
  </si>
  <si>
    <t>=Debitor Duration + Storage Duration - Creditor Duration</t>
  </si>
  <si>
    <t>Multipliers</t>
  </si>
  <si>
    <t>Equitymultiples</t>
  </si>
  <si>
    <t>P/E Ratio</t>
  </si>
  <si>
    <t>=Share Price/EPS</t>
  </si>
  <si>
    <t>PEG Ratio</t>
  </si>
  <si>
    <t>=P/E Ratio / Growth</t>
  </si>
  <si>
    <t>P/B Ratio</t>
  </si>
  <si>
    <t>=Market Cap/Book Vakue of Equity</t>
  </si>
  <si>
    <t>P/TB Ratio</t>
  </si>
  <si>
    <t>=Market Cap / Tangible Book Value</t>
  </si>
  <si>
    <t>P/Cf Ratio</t>
  </si>
  <si>
    <t>=Share Price/Cashflow per share</t>
  </si>
  <si>
    <t>P/R Ratio</t>
  </si>
  <si>
    <t>=Share Price/Revenue per Share</t>
  </si>
  <si>
    <t>Entitymultiples</t>
  </si>
  <si>
    <t>EV/EBITDA</t>
  </si>
  <si>
    <t>=EV/EBITDA</t>
  </si>
  <si>
    <t>EV/EBIT</t>
  </si>
  <si>
    <t>=EV/EBIT</t>
  </si>
  <si>
    <t>EV/FCF</t>
  </si>
  <si>
    <t>=EV/FCF</t>
  </si>
  <si>
    <t>EV/Sales</t>
  </si>
  <si>
    <t>=EV/Revenue</t>
  </si>
  <si>
    <t>Cost of Capital</t>
  </si>
  <si>
    <t>Cost of Equity (CAPM)</t>
  </si>
  <si>
    <t>Riskfree Rate</t>
  </si>
  <si>
    <t>Expected Inflation</t>
  </si>
  <si>
    <t>=(1+Nominal Rate)/(1+Real Rate)-1</t>
  </si>
  <si>
    <t>Average Real Interest Rate</t>
  </si>
  <si>
    <t>= Average Interest Rate of the Past</t>
  </si>
  <si>
    <t>=Goverment Bond or Expected Inflation + Average Real Interest Rate</t>
  </si>
  <si>
    <t>Adjustments for Industry/Company Risk</t>
  </si>
  <si>
    <t xml:space="preserve">Raw Beta </t>
  </si>
  <si>
    <t>=Raw beta slope of regression line aginst total market -&gt; Ri= alpha + beta*Rm + standard error</t>
  </si>
  <si>
    <t>Debt to Value Ratio</t>
  </si>
  <si>
    <t>Value of Debt/Enterpries Value</t>
  </si>
  <si>
    <t>Unlevered Beta</t>
  </si>
  <si>
    <t>= Raw Beta* Debt-to-Equity Ratio (Book Value)</t>
  </si>
  <si>
    <t>Unlevered Industry Beta</t>
  </si>
  <si>
    <t>=Median of Peer Group</t>
  </si>
  <si>
    <t>Levered Industry Beta</t>
  </si>
  <si>
    <t>=Unlevered Industry Beta * Market Value of Debt to Market Value of Equity</t>
  </si>
  <si>
    <t>Expected Equity Risk Premium</t>
  </si>
  <si>
    <t>Estimated Future Market Return</t>
  </si>
  <si>
    <t>= 1/P/E * (1.g/ROE) + g , g = real growth in GDP, P/E =&gt; P/E ratio for S&amp;P500 or MSCI World Index, ROE = Average ROE in S&amp;P500 or MSCI World</t>
  </si>
  <si>
    <t>=&gt; ER(i)=rf+beta(i)*(Er(m)-rf)</t>
  </si>
  <si>
    <t>Cost of Debt</t>
  </si>
  <si>
    <t>Yield to Maturity on Trading Bonds</t>
  </si>
  <si>
    <t>=&gt; Price = Coupon/(1+YTM)+Coupon(1+YTM)^2 + … + (Face Value + Coupon)/(1+YTM)^n =&gt; solve for YTM</t>
  </si>
  <si>
    <t>or</t>
  </si>
  <si>
    <t>Credit Default Spread</t>
  </si>
  <si>
    <t>Country Rsik Premium</t>
  </si>
  <si>
    <t>Capital Structure</t>
  </si>
  <si>
    <t>Market Value of Debt</t>
  </si>
  <si>
    <t xml:space="preserve">Market Value of Equity </t>
  </si>
  <si>
    <t>Total  Enterprise Value</t>
  </si>
  <si>
    <t>Marginal Tax Rate</t>
  </si>
  <si>
    <t>WACC</t>
  </si>
  <si>
    <t>=&gt; WACC = (D/D+E)*kd * (1-t) + (E/D+E) * ke</t>
  </si>
  <si>
    <t>Change</t>
  </si>
  <si>
    <t>DCF</t>
  </si>
  <si>
    <t>Ticker</t>
  </si>
  <si>
    <t>Share Price</t>
  </si>
  <si>
    <t>Date</t>
  </si>
  <si>
    <t>Fair Share Price</t>
  </si>
  <si>
    <t>End of FY</t>
  </si>
  <si>
    <t>Implied Upside</t>
  </si>
  <si>
    <t>Assumptions</t>
  </si>
  <si>
    <t>Switches</t>
  </si>
  <si>
    <t>Conservative Case</t>
  </si>
  <si>
    <t>Base Case</t>
  </si>
  <si>
    <t>Optimistic Case</t>
  </si>
  <si>
    <t>Assuptions</t>
  </si>
  <si>
    <t>Year</t>
  </si>
  <si>
    <t>Metic</t>
  </si>
  <si>
    <t xml:space="preserve">Revenue </t>
  </si>
  <si>
    <t>EBIT</t>
  </si>
  <si>
    <t>TGR</t>
  </si>
  <si>
    <t>Probability</t>
  </si>
  <si>
    <t>ROIC</t>
  </si>
  <si>
    <t>Implied Share Price * p</t>
  </si>
  <si>
    <t>Valuation</t>
  </si>
  <si>
    <t>Model</t>
  </si>
  <si>
    <t>Growth (%)</t>
  </si>
  <si>
    <t xml:space="preserve">Base Case </t>
  </si>
  <si>
    <t>Optimisitic Case</t>
  </si>
  <si>
    <t>% of Sales</t>
  </si>
  <si>
    <t>Tax Rate (%)</t>
  </si>
  <si>
    <t>Nopat</t>
  </si>
  <si>
    <t>D&amp;A and other non-cash Expenses</t>
  </si>
  <si>
    <t>CapEx</t>
  </si>
  <si>
    <t>Change in WC</t>
  </si>
  <si>
    <t>Unlevered Free Cashflow</t>
  </si>
  <si>
    <t>Present Value of unlevered FC</t>
  </si>
  <si>
    <t>Discount Period</t>
  </si>
  <si>
    <t>Sum of Present Value</t>
  </si>
  <si>
    <t>Terminal Value</t>
  </si>
  <si>
    <t>Present Value of TV</t>
  </si>
  <si>
    <t>Enterprise Value</t>
  </si>
  <si>
    <t>(+) Cash and other non-operating assets</t>
  </si>
  <si>
    <t>(-) Debt and other non-equity claims</t>
  </si>
  <si>
    <t>Equity Value</t>
  </si>
  <si>
    <t xml:space="preserve">Number of Shares </t>
  </si>
  <si>
    <t>Sensitivity Analysis</t>
  </si>
  <si>
    <t>NLM.F</t>
  </si>
  <si>
    <t>Competitors</t>
  </si>
  <si>
    <t>Nomad Foods</t>
  </si>
  <si>
    <t xml:space="preserve">Konkurrenten: Iglo (Nomad Foods), Eigenmarken von Einzelhändlern </t>
  </si>
  <si>
    <t>TAM Tiefkühlgerichte DE</t>
  </si>
  <si>
    <t>FY26</t>
  </si>
  <si>
    <t>FY27</t>
  </si>
  <si>
    <t>FY28</t>
  </si>
  <si>
    <t>FY29</t>
  </si>
  <si>
    <t>Marktanteil DE</t>
  </si>
  <si>
    <t>TAM Tiefkühlgerichte Europa</t>
  </si>
  <si>
    <t>Marktanteil Europa</t>
  </si>
  <si>
    <t>Marktanteil EU excl DE</t>
  </si>
  <si>
    <t>TAM EU excl. DE</t>
  </si>
  <si>
    <t>CV(t) = NOPAT(t+1)*(1-g/RONIC)/(WACC - g) =&gt; equal perpetuity formula: CV = FCF*(1+g) /(WACC-g)</t>
  </si>
  <si>
    <t>ROINC</t>
  </si>
  <si>
    <t>RONIC</t>
  </si>
  <si>
    <t>Implied Share Price</t>
  </si>
  <si>
    <t>Scneario DCF Price</t>
  </si>
  <si>
    <t>Management</t>
  </si>
  <si>
    <t xml:space="preserve">Founded </t>
  </si>
  <si>
    <t>CFO</t>
  </si>
  <si>
    <t>Maik Busse</t>
  </si>
  <si>
    <t>CMO</t>
  </si>
  <si>
    <t>Frank Brede</t>
  </si>
  <si>
    <t>Float</t>
  </si>
  <si>
    <t>Dirk Ahlers</t>
  </si>
  <si>
    <t>Free Float</t>
  </si>
  <si>
    <t>Discounter Eigenmarken</t>
  </si>
  <si>
    <t>Adolf Ahlers</t>
  </si>
  <si>
    <t>Founder:</t>
  </si>
  <si>
    <t xml:space="preserve">Familienbetrieb in 3. Genaration </t>
  </si>
  <si>
    <t>FRoSTA, Copack</t>
  </si>
  <si>
    <t>FRoSTAm Copack</t>
  </si>
  <si>
    <t>10.01.2025: Frosta: Leichtes Top und Bottom Beat für FY24</t>
  </si>
  <si>
    <t xml:space="preserve">Gründe für schwaches Umsatzwachstum: Europäische Markt bleibt angespannt, Deutscher Markt für Tielfkühlprodukte um 0,2% gesunken </t>
  </si>
  <si>
    <t>Das Markenwachstum (FRosTA) bleibt überproportional mit 19% und hat das rückläufige Geschäft des Handelsmarkengeschäft kompensiert</t>
  </si>
  <si>
    <t>Das Copack Geschäft ist hingegen 19% gefallen, Gründe: Wegfallen von unprofitabler Geschäfte und angespanntes Marktumfeld</t>
  </si>
  <si>
    <t>Change in non-operating Assets</t>
  </si>
  <si>
    <t>Change in non-operating Liabilities</t>
  </si>
  <si>
    <t>H125</t>
  </si>
  <si>
    <t>H225</t>
  </si>
  <si>
    <t>H126</t>
  </si>
  <si>
    <t>H226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</si>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</sst>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"/>
    <numFmt numFmtId="165" formatCode="#,##0.000"/>
    <numFmt numFmtId="166" formatCode="\F\Y#,##0"/>
    <numFmt numFmtId="167" formatCode="#,##0;\(#,##0\)"/>
    <numFmt numFmtId="168" formatCode="#,##0.0;[Red]#,##0.0"/>
    <numFmt numFmtId="169" formatCode="0.0%"/>
    <numFmt numFmtId="170" formatCode="&quot;FY&quot;0&quot;A&quot;"/>
    <numFmt numFmtId="171" formatCode="0.0"/>
    <numFmt numFmtId="172" formatCode="#,##0.0;\(#,##0.0\)"/>
    <numFmt numFmtId="173" formatCode="#,##0.00;\(#,##0.00\)"/>
  </numFmts>
  <fonts count="2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0" tint="-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1E9D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04">
    <xf numFmtId="0" fontId="0" fillId="0" borderId="0" xfId="0"/>
    <xf numFmtId="0" fontId="10" fillId="0" borderId="0" xfId="0" applyFont="1"/>
    <xf numFmtId="0" fontId="4" fillId="0" borderId="0" xfId="0" applyFont="1"/>
    <xf numFmtId="0" fontId="12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13" fillId="0" borderId="0" xfId="1" applyFont="1"/>
    <xf numFmtId="0" fontId="14" fillId="0" borderId="1" xfId="0" applyFont="1" applyBorder="1"/>
    <xf numFmtId="0" fontId="14" fillId="0" borderId="2" xfId="0" applyFont="1" applyBorder="1"/>
    <xf numFmtId="0" fontId="14" fillId="0" borderId="3" xfId="0" applyFont="1" applyBorder="1"/>
    <xf numFmtId="0" fontId="4" fillId="0" borderId="7" xfId="0" applyFont="1" applyBorder="1"/>
    <xf numFmtId="9" fontId="4" fillId="0" borderId="8" xfId="0" applyNumberFormat="1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4" xfId="0" applyFont="1" applyBorder="1"/>
    <xf numFmtId="9" fontId="4" fillId="0" borderId="0" xfId="0" applyNumberFormat="1" applyFont="1"/>
    <xf numFmtId="0" fontId="4" fillId="0" borderId="15" xfId="0" applyFont="1" applyBorder="1"/>
    <xf numFmtId="3" fontId="4" fillId="0" borderId="0" xfId="0" applyNumberFormat="1" applyFont="1"/>
    <xf numFmtId="0" fontId="4" fillId="0" borderId="10" xfId="0" applyFont="1" applyBorder="1"/>
    <xf numFmtId="9" fontId="4" fillId="0" borderId="4" xfId="0" applyNumberFormat="1" applyFont="1" applyBorder="1"/>
    <xf numFmtId="0" fontId="4" fillId="0" borderId="4" xfId="0" applyFont="1" applyBorder="1"/>
    <xf numFmtId="0" fontId="4" fillId="0" borderId="11" xfId="0" applyFont="1" applyBorder="1"/>
    <xf numFmtId="169" fontId="4" fillId="0" borderId="0" xfId="0" applyNumberFormat="1" applyFont="1"/>
    <xf numFmtId="9" fontId="4" fillId="0" borderId="0" xfId="2" applyFont="1"/>
    <xf numFmtId="3" fontId="4" fillId="0" borderId="0" xfId="0" applyNumberFormat="1" applyFont="1" applyAlignment="1">
      <alignment horizontal="right"/>
    </xf>
    <xf numFmtId="169" fontId="4" fillId="0" borderId="0" xfId="2" applyNumberFormat="1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164" fontId="10" fillId="0" borderId="0" xfId="0" applyNumberFormat="1" applyFont="1"/>
    <xf numFmtId="4" fontId="4" fillId="0" borderId="0" xfId="0" applyNumberFormat="1" applyFont="1"/>
    <xf numFmtId="9" fontId="4" fillId="0" borderId="0" xfId="2" applyFont="1" applyAlignment="1">
      <alignment horizontal="right"/>
    </xf>
    <xf numFmtId="9" fontId="10" fillId="0" borderId="0" xfId="2" applyFont="1"/>
    <xf numFmtId="9" fontId="10" fillId="0" borderId="0" xfId="2" applyFont="1" applyAlignment="1">
      <alignment horizontal="right"/>
    </xf>
    <xf numFmtId="165" fontId="10" fillId="0" borderId="0" xfId="0" applyNumberFormat="1" applyFont="1"/>
    <xf numFmtId="0" fontId="15" fillId="0" borderId="0" xfId="0" applyFont="1"/>
    <xf numFmtId="166" fontId="16" fillId="0" borderId="0" xfId="0" applyNumberFormat="1" applyFont="1" applyAlignment="1">
      <alignment horizontal="right"/>
    </xf>
    <xf numFmtId="0" fontId="16" fillId="0" borderId="0" xfId="0" applyFont="1"/>
    <xf numFmtId="172" fontId="4" fillId="0" borderId="0" xfId="0" applyNumberFormat="1" applyFont="1"/>
    <xf numFmtId="167" fontId="4" fillId="0" borderId="0" xfId="0" applyNumberFormat="1" applyFont="1"/>
    <xf numFmtId="173" fontId="4" fillId="0" borderId="0" xfId="0" applyNumberFormat="1" applyFont="1"/>
    <xf numFmtId="171" fontId="4" fillId="0" borderId="0" xfId="0" applyNumberFormat="1" applyFont="1"/>
    <xf numFmtId="0" fontId="4" fillId="0" borderId="0" xfId="0" quotePrefix="1" applyFont="1"/>
    <xf numFmtId="2" fontId="4" fillId="0" borderId="0" xfId="0" applyNumberFormat="1" applyFont="1" applyAlignment="1">
      <alignment horizontal="right"/>
    </xf>
    <xf numFmtId="2" fontId="4" fillId="0" borderId="0" xfId="0" applyNumberFormat="1" applyFont="1"/>
    <xf numFmtId="168" fontId="4" fillId="0" borderId="0" xfId="0" applyNumberFormat="1" applyFont="1"/>
    <xf numFmtId="0" fontId="13" fillId="0" borderId="4" xfId="1" applyFont="1" applyBorder="1"/>
    <xf numFmtId="0" fontId="10" fillId="0" borderId="4" xfId="0" applyFont="1" applyBorder="1"/>
    <xf numFmtId="0" fontId="4" fillId="3" borderId="5" xfId="0" applyFont="1" applyFill="1" applyBorder="1" applyAlignment="1">
      <alignment horizontal="center"/>
    </xf>
    <xf numFmtId="16" fontId="4" fillId="3" borderId="5" xfId="0" applyNumberFormat="1" applyFont="1" applyFill="1" applyBorder="1" applyAlignment="1">
      <alignment horizontal="center"/>
    </xf>
    <xf numFmtId="2" fontId="4" fillId="3" borderId="5" xfId="0" applyNumberFormat="1" applyFont="1" applyFill="1" applyBorder="1" applyAlignment="1">
      <alignment horizontal="center"/>
    </xf>
    <xf numFmtId="164" fontId="4" fillId="3" borderId="6" xfId="2" applyNumberFormat="1" applyFont="1" applyFill="1" applyBorder="1" applyAlignment="1">
      <alignment horizontal="center"/>
    </xf>
    <xf numFmtId="16" fontId="4" fillId="3" borderId="6" xfId="0" applyNumberFormat="1" applyFont="1" applyFill="1" applyBorder="1" applyAlignment="1">
      <alignment horizontal="center"/>
    </xf>
    <xf numFmtId="9" fontId="4" fillId="3" borderId="6" xfId="2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2" borderId="0" xfId="0" applyFont="1" applyFill="1"/>
    <xf numFmtId="0" fontId="9" fillId="4" borderId="0" xfId="0" applyFont="1" applyFill="1"/>
    <xf numFmtId="0" fontId="11" fillId="4" borderId="0" xfId="0" applyFont="1" applyFill="1"/>
    <xf numFmtId="0" fontId="14" fillId="0" borderId="0" xfId="0" applyFont="1"/>
    <xf numFmtId="0" fontId="4" fillId="3" borderId="6" xfId="0" applyFont="1" applyFill="1" applyBorder="1" applyAlignment="1">
      <alignment horizontal="center"/>
    </xf>
    <xf numFmtId="169" fontId="4" fillId="3" borderId="6" xfId="2" applyNumberFormat="1" applyFont="1" applyFill="1" applyBorder="1" applyAlignment="1">
      <alignment horizontal="center"/>
    </xf>
    <xf numFmtId="4" fontId="4" fillId="3" borderId="6" xfId="2" applyNumberFormat="1" applyFont="1" applyFill="1" applyBorder="1" applyAlignment="1">
      <alignment horizontal="center"/>
    </xf>
    <xf numFmtId="170" fontId="9" fillId="2" borderId="0" xfId="0" applyNumberFormat="1" applyFont="1" applyFill="1" applyAlignment="1">
      <alignment horizontal="right"/>
    </xf>
    <xf numFmtId="0" fontId="17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17" fillId="0" borderId="0" xfId="0" applyFont="1"/>
    <xf numFmtId="9" fontId="17" fillId="0" borderId="0" xfId="2" applyFont="1"/>
    <xf numFmtId="169" fontId="4" fillId="3" borderId="6" xfId="2" applyNumberFormat="1" applyFont="1" applyFill="1" applyBorder="1" applyAlignment="1">
      <alignment horizontal="right"/>
    </xf>
    <xf numFmtId="0" fontId="10" fillId="5" borderId="1" xfId="0" applyFont="1" applyFill="1" applyBorder="1"/>
    <xf numFmtId="0" fontId="10" fillId="5" borderId="2" xfId="0" applyFont="1" applyFill="1" applyBorder="1"/>
    <xf numFmtId="167" fontId="10" fillId="5" borderId="2" xfId="0" applyNumberFormat="1" applyFont="1" applyFill="1" applyBorder="1"/>
    <xf numFmtId="167" fontId="10" fillId="5" borderId="3" xfId="0" applyNumberFormat="1" applyFont="1" applyFill="1" applyBorder="1"/>
    <xf numFmtId="169" fontId="17" fillId="0" borderId="0" xfId="2" applyNumberFormat="1" applyFont="1"/>
    <xf numFmtId="169" fontId="17" fillId="0" borderId="0" xfId="0" applyNumberFormat="1" applyFont="1"/>
    <xf numFmtId="168" fontId="10" fillId="5" borderId="7" xfId="0" applyNumberFormat="1" applyFont="1" applyFill="1" applyBorder="1"/>
    <xf numFmtId="168" fontId="10" fillId="5" borderId="8" xfId="0" applyNumberFormat="1" applyFont="1" applyFill="1" applyBorder="1"/>
    <xf numFmtId="167" fontId="10" fillId="5" borderId="8" xfId="0" applyNumberFormat="1" applyFont="1" applyFill="1" applyBorder="1"/>
    <xf numFmtId="167" fontId="10" fillId="5" borderId="9" xfId="0" applyNumberFormat="1" applyFont="1" applyFill="1" applyBorder="1"/>
    <xf numFmtId="168" fontId="10" fillId="5" borderId="10" xfId="0" applyNumberFormat="1" applyFont="1" applyFill="1" applyBorder="1"/>
    <xf numFmtId="168" fontId="10" fillId="5" borderId="4" xfId="0" applyNumberFormat="1" applyFont="1" applyFill="1" applyBorder="1"/>
    <xf numFmtId="167" fontId="10" fillId="5" borderId="4" xfId="0" applyNumberFormat="1" applyFont="1" applyFill="1" applyBorder="1"/>
    <xf numFmtId="167" fontId="10" fillId="5" borderId="11" xfId="0" applyNumberFormat="1" applyFont="1" applyFill="1" applyBorder="1"/>
    <xf numFmtId="0" fontId="18" fillId="0" borderId="0" xfId="0" applyFont="1" applyAlignment="1">
      <alignment vertical="center"/>
    </xf>
    <xf numFmtId="168" fontId="4" fillId="0" borderId="4" xfId="0" applyNumberFormat="1" applyFont="1" applyBorder="1"/>
    <xf numFmtId="0" fontId="4" fillId="0" borderId="2" xfId="0" applyFont="1" applyBorder="1"/>
    <xf numFmtId="168" fontId="4" fillId="0" borderId="2" xfId="0" applyNumberFormat="1" applyFont="1" applyBorder="1"/>
    <xf numFmtId="168" fontId="4" fillId="0" borderId="2" xfId="0" applyNumberFormat="1" applyFont="1" applyBorder="1" applyAlignment="1">
      <alignment horizontal="right"/>
    </xf>
    <xf numFmtId="168" fontId="4" fillId="0" borderId="0" xfId="0" applyNumberFormat="1" applyFont="1" applyAlignment="1">
      <alignment horizontal="right"/>
    </xf>
    <xf numFmtId="168" fontId="4" fillId="0" borderId="4" xfId="0" applyNumberFormat="1" applyFont="1" applyBorder="1" applyAlignment="1">
      <alignment horizontal="right"/>
    </xf>
    <xf numFmtId="0" fontId="4" fillId="6" borderId="7" xfId="0" applyFont="1" applyFill="1" applyBorder="1"/>
    <xf numFmtId="2" fontId="19" fillId="6" borderId="8" xfId="0" applyNumberFormat="1" applyFont="1" applyFill="1" applyBorder="1"/>
    <xf numFmtId="169" fontId="9" fillId="6" borderId="8" xfId="0" applyNumberFormat="1" applyFont="1" applyFill="1" applyBorder="1"/>
    <xf numFmtId="169" fontId="9" fillId="6" borderId="0" xfId="0" applyNumberFormat="1" applyFont="1" applyFill="1"/>
    <xf numFmtId="171" fontId="10" fillId="0" borderId="0" xfId="0" applyNumberFormat="1" applyFont="1"/>
    <xf numFmtId="0" fontId="4" fillId="0" borderId="1" xfId="0" applyFont="1" applyBorder="1"/>
    <xf numFmtId="0" fontId="4" fillId="0" borderId="3" xfId="0" applyFont="1" applyBorder="1"/>
    <xf numFmtId="164" fontId="3" fillId="0" borderId="0" xfId="0" applyNumberFormat="1" applyFont="1"/>
    <xf numFmtId="164" fontId="2" fillId="0" borderId="0" xfId="0" applyNumberFormat="1" applyFont="1"/>
    <xf numFmtId="0" fontId="1" fillId="0" borderId="0" xfId="0" applyFont="1" applyAlignment="1">
      <alignment horizontal="right"/>
    </xf>
    <xf numFmtId="0" fontId="10" fillId="6" borderId="12" xfId="0" applyFont="1" applyFill="1" applyBorder="1" applyAlignment="1">
      <alignment horizontal="center" vertical="center" textRotation="90"/>
    </xf>
    <xf numFmtId="0" fontId="10" fillId="6" borderId="13" xfId="0" applyFont="1" applyFill="1" applyBorder="1" applyAlignment="1">
      <alignment horizontal="center" vertical="center" textRotation="90"/>
    </xf>
    <xf numFmtId="0" fontId="10" fillId="6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Per cent" xfId="2" builtinId="5"/>
  </cellStyles>
  <dxfs count="4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9525</xdr:colOff>
      <xdr:row>1</xdr:row>
      <xdr:rowOff>61912</xdr:rowOff>
    </xdr:from>
    <xdr:to>
      <xdr:col>21</xdr:col>
      <xdr:colOff>19050</xdr:colOff>
      <xdr:row>44</xdr:row>
      <xdr:rowOff>123825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29DAB72-7204-CFF3-C6B8-094D7A3208E4}"/>
            </a:ext>
          </a:extLst>
        </xdr:cNvPr>
        <xdr:cNvCxnSpPr/>
      </xdr:nvCxnSpPr>
      <xdr:spPr>
        <a:xfrm flipH="1">
          <a:off x="12801600" y="223837"/>
          <a:ext cx="9525" cy="702468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</xdr:colOff>
      <xdr:row>0</xdr:row>
      <xdr:rowOff>96838</xdr:rowOff>
    </xdr:from>
    <xdr:to>
      <xdr:col>10</xdr:col>
      <xdr:colOff>23812</xdr:colOff>
      <xdr:row>60</xdr:row>
      <xdr:rowOff>122238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EADCD73-BE8B-4E10-B955-449CE129647B}"/>
            </a:ext>
          </a:extLst>
        </xdr:cNvPr>
        <xdr:cNvCxnSpPr/>
      </xdr:nvCxnSpPr>
      <xdr:spPr>
        <a:xfrm>
          <a:off x="7367587" y="96838"/>
          <a:ext cx="0" cy="97409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frosta-ag.com/investor-relation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E969-FBDF-4FDE-BB86-27F9F9EBF10F}">
  <dimension ref="A1:L39"/>
  <sheetViews>
    <sheetView topLeftCell="D1" zoomScale="200" zoomScaleNormal="200" workbookViewId="0">
      <selection activeCell="H7" sqref="H7"/>
    </sheetView>
  </sheetViews>
  <sheetFormatPr defaultRowHeight="12.75" x14ac:dyDescent="0.2"/>
  <cols>
    <col min="1" max="1" width="5.28515625" style="2" customWidth="1"/>
    <col min="2" max="2" width="15.28515625" style="2" customWidth="1"/>
    <col min="3" max="3" width="9.140625" style="2"/>
    <col min="4" max="4" width="22.28515625" style="2" customWidth="1"/>
    <col min="5" max="5" width="21.7109375" style="2" customWidth="1"/>
    <col min="6" max="16384" width="9.140625" style="2"/>
  </cols>
  <sheetData>
    <row r="1" spans="1:12" x14ac:dyDescent="0.2">
      <c r="A1" s="1" t="s">
        <v>0</v>
      </c>
    </row>
    <row r="2" spans="1:12" x14ac:dyDescent="0.2">
      <c r="A2" s="2" t="s">
        <v>1</v>
      </c>
      <c r="G2" s="2" t="s">
        <v>2</v>
      </c>
      <c r="H2" s="2">
        <v>101.5</v>
      </c>
      <c r="K2" s="3" t="s">
        <v>330</v>
      </c>
    </row>
    <row r="3" spans="1:12" x14ac:dyDescent="0.2">
      <c r="G3" s="2" t="s">
        <v>3</v>
      </c>
      <c r="H3" s="4">
        <v>6.8125980000000004</v>
      </c>
      <c r="I3" s="97" t="s">
        <v>355</v>
      </c>
      <c r="K3" s="5" t="s">
        <v>10</v>
      </c>
      <c r="L3" s="2" t="s">
        <v>11</v>
      </c>
    </row>
    <row r="4" spans="1:12" x14ac:dyDescent="0.2">
      <c r="B4" s="2" t="s">
        <v>9</v>
      </c>
      <c r="G4" s="2" t="s">
        <v>4</v>
      </c>
      <c r="H4" s="4">
        <f>+H2*H3</f>
        <v>691.47869700000001</v>
      </c>
      <c r="K4" s="5" t="s">
        <v>332</v>
      </c>
      <c r="L4" s="2" t="s">
        <v>333</v>
      </c>
    </row>
    <row r="5" spans="1:12" x14ac:dyDescent="0.2">
      <c r="B5" s="6" t="s">
        <v>8</v>
      </c>
      <c r="G5" s="2" t="s">
        <v>5</v>
      </c>
      <c r="H5" s="4">
        <v>83.239000000000004</v>
      </c>
      <c r="I5" s="97" t="s">
        <v>355</v>
      </c>
      <c r="K5" s="5" t="s">
        <v>334</v>
      </c>
      <c r="L5" s="2" t="s">
        <v>335</v>
      </c>
    </row>
    <row r="6" spans="1:12" x14ac:dyDescent="0.2">
      <c r="G6" s="2" t="s">
        <v>6</v>
      </c>
      <c r="H6" s="4">
        <f>10.385+5.079</f>
        <v>15.463999999999999</v>
      </c>
      <c r="I6" s="97" t="s">
        <v>355</v>
      </c>
    </row>
    <row r="7" spans="1:12" x14ac:dyDescent="0.2">
      <c r="B7" s="7" t="s">
        <v>28</v>
      </c>
      <c r="C7" s="8" t="s">
        <v>29</v>
      </c>
      <c r="D7" s="8" t="s">
        <v>30</v>
      </c>
      <c r="E7" s="9" t="s">
        <v>312</v>
      </c>
      <c r="G7" s="2" t="s">
        <v>7</v>
      </c>
      <c r="H7" s="4">
        <f>+H4-H5+H6</f>
        <v>623.70369699999992</v>
      </c>
    </row>
    <row r="8" spans="1:12" x14ac:dyDescent="0.2">
      <c r="B8" s="10" t="s">
        <v>32</v>
      </c>
      <c r="C8" s="11">
        <v>0.46</v>
      </c>
      <c r="D8" s="12" t="s">
        <v>343</v>
      </c>
      <c r="E8" s="13" t="s">
        <v>313</v>
      </c>
      <c r="K8" s="5" t="s">
        <v>336</v>
      </c>
    </row>
    <row r="9" spans="1:12" x14ac:dyDescent="0.2">
      <c r="B9" s="14" t="s">
        <v>33</v>
      </c>
      <c r="C9" s="15">
        <v>0.22</v>
      </c>
      <c r="D9" s="2" t="s">
        <v>343</v>
      </c>
      <c r="E9" s="16" t="s">
        <v>339</v>
      </c>
      <c r="G9" s="17">
        <v>1760</v>
      </c>
      <c r="H9" s="2" t="s">
        <v>12</v>
      </c>
      <c r="K9" s="15">
        <v>0.1</v>
      </c>
      <c r="L9" s="2" t="s">
        <v>337</v>
      </c>
    </row>
    <row r="10" spans="1:12" x14ac:dyDescent="0.2">
      <c r="B10" s="18" t="s">
        <v>34</v>
      </c>
      <c r="C10" s="19">
        <v>0.32</v>
      </c>
      <c r="D10" s="20" t="s">
        <v>344</v>
      </c>
      <c r="E10" s="21" t="s">
        <v>339</v>
      </c>
      <c r="G10" s="5">
        <v>1905</v>
      </c>
      <c r="H10" s="2" t="s">
        <v>331</v>
      </c>
      <c r="K10" s="22">
        <v>0.33700000000000002</v>
      </c>
      <c r="L10" s="2" t="s">
        <v>11</v>
      </c>
    </row>
    <row r="11" spans="1:12" x14ac:dyDescent="0.2">
      <c r="G11" s="2" t="s">
        <v>341</v>
      </c>
      <c r="H11" s="2" t="s">
        <v>340</v>
      </c>
      <c r="K11" s="23">
        <f>1-K9-K10</f>
        <v>0.56299999999999994</v>
      </c>
      <c r="L11" s="2" t="s">
        <v>338</v>
      </c>
    </row>
    <row r="12" spans="1:12" x14ac:dyDescent="0.2">
      <c r="G12" s="2" t="s">
        <v>342</v>
      </c>
    </row>
    <row r="14" spans="1:12" x14ac:dyDescent="0.2">
      <c r="B14" s="3" t="s">
        <v>31</v>
      </c>
    </row>
    <row r="15" spans="1:12" x14ac:dyDescent="0.2">
      <c r="B15" s="2" t="s">
        <v>68</v>
      </c>
    </row>
    <row r="16" spans="1:12" x14ac:dyDescent="0.2">
      <c r="B16" s="2" t="s">
        <v>35</v>
      </c>
    </row>
    <row r="17" spans="2:2" x14ac:dyDescent="0.2">
      <c r="B17" s="2" t="s">
        <v>36</v>
      </c>
    </row>
    <row r="18" spans="2:2" x14ac:dyDescent="0.2">
      <c r="B18" s="2" t="s">
        <v>37</v>
      </c>
    </row>
    <row r="19" spans="2:2" x14ac:dyDescent="0.2">
      <c r="B19" s="2" t="s">
        <v>38</v>
      </c>
    </row>
    <row r="20" spans="2:2" x14ac:dyDescent="0.2">
      <c r="B20" s="2" t="s">
        <v>39</v>
      </c>
    </row>
    <row r="21" spans="2:2" x14ac:dyDescent="0.2">
      <c r="B21" s="2" t="s">
        <v>69</v>
      </c>
    </row>
    <row r="22" spans="2:2" x14ac:dyDescent="0.2">
      <c r="B22" s="2" t="s">
        <v>57</v>
      </c>
    </row>
    <row r="23" spans="2:2" x14ac:dyDescent="0.2">
      <c r="B23" s="2" t="s">
        <v>58</v>
      </c>
    </row>
    <row r="24" spans="2:2" x14ac:dyDescent="0.2">
      <c r="B24" s="2" t="s">
        <v>59</v>
      </c>
    </row>
    <row r="25" spans="2:2" x14ac:dyDescent="0.2">
      <c r="B25" s="2" t="s">
        <v>60</v>
      </c>
    </row>
    <row r="26" spans="2:2" x14ac:dyDescent="0.2">
      <c r="B26" s="2" t="s">
        <v>61</v>
      </c>
    </row>
    <row r="27" spans="2:2" x14ac:dyDescent="0.2">
      <c r="B27" s="2" t="s">
        <v>62</v>
      </c>
    </row>
    <row r="28" spans="2:2" x14ac:dyDescent="0.2">
      <c r="B28" s="2" t="s">
        <v>63</v>
      </c>
    </row>
    <row r="29" spans="2:2" x14ac:dyDescent="0.2">
      <c r="B29" s="2" t="s">
        <v>64</v>
      </c>
    </row>
    <row r="30" spans="2:2" x14ac:dyDescent="0.2">
      <c r="B30" s="2" t="s">
        <v>65</v>
      </c>
    </row>
    <row r="31" spans="2:2" x14ac:dyDescent="0.2">
      <c r="B31" s="2" t="s">
        <v>66</v>
      </c>
    </row>
    <row r="32" spans="2:2" x14ac:dyDescent="0.2">
      <c r="B32" s="2" t="s">
        <v>67</v>
      </c>
    </row>
    <row r="34" spans="2:2" x14ac:dyDescent="0.2">
      <c r="B34" s="2" t="s">
        <v>346</v>
      </c>
    </row>
    <row r="35" spans="2:2" x14ac:dyDescent="0.2">
      <c r="B35" s="2" t="s">
        <v>347</v>
      </c>
    </row>
    <row r="36" spans="2:2" x14ac:dyDescent="0.2">
      <c r="B36" s="2" t="s">
        <v>348</v>
      </c>
    </row>
    <row r="37" spans="2:2" x14ac:dyDescent="0.2">
      <c r="B37" s="2" t="s">
        <v>40</v>
      </c>
    </row>
    <row r="38" spans="2:2" x14ac:dyDescent="0.2">
      <c r="B38" s="2" t="s">
        <v>314</v>
      </c>
    </row>
    <row r="39" spans="2:2" x14ac:dyDescent="0.2">
      <c r="B39" s="2" t="s">
        <v>345</v>
      </c>
    </row>
  </sheetData>
  <hyperlinks>
    <hyperlink ref="B5" r:id="rId1" xr:uid="{138499E0-0DAD-4D67-8C57-BC3594CBFDAF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2879-7423-4EDC-9015-06955638F1A0}">
  <dimension ref="A1:AY320"/>
  <sheetViews>
    <sheetView tabSelected="1"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8" sqref="B18"/>
    </sheetView>
  </sheetViews>
  <sheetFormatPr defaultRowHeight="12.75" x14ac:dyDescent="0.2"/>
  <cols>
    <col min="1" max="1" width="5.42578125" style="2" bestFit="1" customWidth="1"/>
    <col min="2" max="2" width="31" style="2" bestFit="1" customWidth="1"/>
    <col min="3" max="16384" width="9.140625" style="2"/>
  </cols>
  <sheetData>
    <row r="1" spans="1:51" x14ac:dyDescent="0.2">
      <c r="A1" s="6" t="s">
        <v>13</v>
      </c>
    </row>
    <row r="2" spans="1:51" x14ac:dyDescent="0.2"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351</v>
      </c>
      <c r="J2" s="5" t="s">
        <v>352</v>
      </c>
      <c r="K2" s="97" t="s">
        <v>353</v>
      </c>
      <c r="L2" s="97" t="s">
        <v>354</v>
      </c>
      <c r="N2" s="5" t="s">
        <v>20</v>
      </c>
      <c r="O2" s="5" t="s">
        <v>21</v>
      </c>
      <c r="P2" s="5" t="s">
        <v>22</v>
      </c>
      <c r="Q2" s="5" t="s">
        <v>23</v>
      </c>
      <c r="R2" s="5" t="s">
        <v>24</v>
      </c>
      <c r="S2" s="5" t="s">
        <v>25</v>
      </c>
      <c r="T2" s="5" t="s">
        <v>26</v>
      </c>
      <c r="U2" s="5" t="s">
        <v>27</v>
      </c>
      <c r="V2" s="5" t="s">
        <v>316</v>
      </c>
      <c r="W2" s="5" t="s">
        <v>317</v>
      </c>
      <c r="X2" s="5" t="s">
        <v>318</v>
      </c>
      <c r="Y2" s="5" t="s">
        <v>319</v>
      </c>
    </row>
    <row r="3" spans="1:51" x14ac:dyDescent="0.2">
      <c r="B3" s="2" t="s">
        <v>315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17"/>
      <c r="N3" s="17">
        <f t="shared" ref="N3:S3" si="0">+O3*(1-4%)</f>
        <v>6597.7088577896438</v>
      </c>
      <c r="O3" s="17">
        <f t="shared" si="0"/>
        <v>6872.613393530879</v>
      </c>
      <c r="P3" s="17">
        <f t="shared" si="0"/>
        <v>7158.9722849279988</v>
      </c>
      <c r="Q3" s="17">
        <f t="shared" si="0"/>
        <v>7457.2627967999988</v>
      </c>
      <c r="R3" s="17">
        <f t="shared" si="0"/>
        <v>7767.9820799999989</v>
      </c>
      <c r="S3" s="17">
        <f t="shared" si="0"/>
        <v>8091.6479999999992</v>
      </c>
      <c r="T3" s="17">
        <f>+U3*(1-4%)</f>
        <v>8428.7999999999993</v>
      </c>
      <c r="U3" s="17">
        <v>8780</v>
      </c>
      <c r="V3" s="17">
        <f>+U3*(1+3.82%)</f>
        <v>9115.3960000000006</v>
      </c>
      <c r="W3" s="17">
        <f t="shared" ref="W3:Y3" si="1">+V3*(1+3.82%)</f>
        <v>9463.6041272000002</v>
      </c>
      <c r="X3" s="17">
        <f t="shared" si="1"/>
        <v>9825.1138048590401</v>
      </c>
      <c r="Y3" s="17">
        <f t="shared" si="1"/>
        <v>10200.433152204656</v>
      </c>
    </row>
    <row r="4" spans="1:51" x14ac:dyDescent="0.2">
      <c r="B4" s="2" t="s">
        <v>320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17"/>
      <c r="N4" s="25">
        <f t="shared" ref="N4:R4" si="2">+N11/N3</f>
        <v>4.322712719632605E-2</v>
      </c>
      <c r="O4" s="25">
        <f t="shared" si="2"/>
        <v>4.362241593310031E-2</v>
      </c>
      <c r="P4" s="25">
        <f t="shared" si="2"/>
        <v>4.4616320232508402E-2</v>
      </c>
      <c r="Q4" s="25">
        <f t="shared" si="2"/>
        <v>4.1649061922999019E-2</v>
      </c>
      <c r="R4" s="25">
        <f t="shared" si="2"/>
        <v>4.4935737029918592E-2</v>
      </c>
      <c r="S4" s="25">
        <f>+S11/S3</f>
        <v>4.9662318479498868E-2</v>
      </c>
      <c r="T4" s="25">
        <f>+T11/T3</f>
        <v>4.6928388382687931E-2</v>
      </c>
      <c r="U4" s="25">
        <v>4.8000000000000001E-2</v>
      </c>
      <c r="V4" s="25">
        <v>0.05</v>
      </c>
      <c r="W4" s="25">
        <v>0.05</v>
      </c>
      <c r="X4" s="25">
        <v>0.05</v>
      </c>
      <c r="Y4" s="25">
        <v>0.05</v>
      </c>
    </row>
    <row r="5" spans="1:51" x14ac:dyDescent="0.2">
      <c r="B5" s="2" t="s">
        <v>321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17"/>
      <c r="N5" s="17">
        <f t="shared" ref="N5:R5" si="3">+O5*(1-4.5%)</f>
        <v>65210.365787440925</v>
      </c>
      <c r="O5" s="17">
        <f t="shared" si="3"/>
        <v>68283.105536587362</v>
      </c>
      <c r="P5" s="17">
        <f t="shared" si="3"/>
        <v>71500.634069724983</v>
      </c>
      <c r="Q5" s="17">
        <f t="shared" si="3"/>
        <v>74869.773894999991</v>
      </c>
      <c r="R5" s="17">
        <f t="shared" si="3"/>
        <v>78397.668999999994</v>
      </c>
      <c r="S5" s="17">
        <f>+T5*(1-4.5%)</f>
        <v>82091.8</v>
      </c>
      <c r="T5" s="17">
        <v>85960</v>
      </c>
      <c r="U5" s="17">
        <v>104500</v>
      </c>
      <c r="V5" s="17">
        <f>+U5*(1+5%)</f>
        <v>109725</v>
      </c>
      <c r="W5" s="17">
        <f t="shared" ref="W5:Y5" si="4">+V5*(1+5%)</f>
        <v>115211.25</v>
      </c>
      <c r="X5" s="17">
        <f t="shared" si="4"/>
        <v>120971.8125</v>
      </c>
      <c r="Y5" s="17">
        <f t="shared" si="4"/>
        <v>127020.40312500001</v>
      </c>
    </row>
    <row r="6" spans="1:51" x14ac:dyDescent="0.2">
      <c r="B6" s="2" t="s">
        <v>322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17"/>
      <c r="N6" s="25">
        <f t="shared" ref="N6:R6" si="5">+N16/N5</f>
        <v>7.8098626476050936E-3</v>
      </c>
      <c r="O6" s="25">
        <f t="shared" si="5"/>
        <v>7.658365797668658E-3</v>
      </c>
      <c r="P6" s="25">
        <f t="shared" si="5"/>
        <v>7.716700798232827E-3</v>
      </c>
      <c r="Q6" s="25">
        <f t="shared" si="5"/>
        <v>7.041573288833025E-3</v>
      </c>
      <c r="R6" s="25">
        <f t="shared" si="5"/>
        <v>7.3864058381633776E-3</v>
      </c>
      <c r="S6" s="25">
        <f>+S16/S5</f>
        <v>7.7898157915894158E-3</v>
      </c>
      <c r="T6" s="25">
        <f>+T16/T5</f>
        <v>7.4226617031177295E-3</v>
      </c>
      <c r="U6" s="25">
        <v>7.6E-3</v>
      </c>
      <c r="V6" s="25">
        <v>8.0000000000000002E-3</v>
      </c>
      <c r="W6" s="25">
        <v>8.0000000000000002E-3</v>
      </c>
      <c r="X6" s="25">
        <v>8.0000000000000002E-3</v>
      </c>
      <c r="Y6" s="25">
        <v>8.0000000000000002E-3</v>
      </c>
    </row>
    <row r="7" spans="1:51" x14ac:dyDescent="0.2">
      <c r="B7" s="2" t="s">
        <v>324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17"/>
      <c r="N7" s="17">
        <f t="shared" ref="N7:R7" si="6">+N5-N3</f>
        <v>58612.656929651283</v>
      </c>
      <c r="O7" s="17">
        <f t="shared" si="6"/>
        <v>61410.492143056486</v>
      </c>
      <c r="P7" s="17">
        <f t="shared" si="6"/>
        <v>64341.661784796983</v>
      </c>
      <c r="Q7" s="17">
        <f t="shared" si="6"/>
        <v>67412.51109819999</v>
      </c>
      <c r="R7" s="17">
        <f t="shared" si="6"/>
        <v>70629.686919999993</v>
      </c>
      <c r="S7" s="17">
        <f>+S5-S3</f>
        <v>74000.152000000002</v>
      </c>
      <c r="T7" s="17">
        <f t="shared" ref="T7:Y7" si="7">+T5-T3</f>
        <v>77531.199999999997</v>
      </c>
      <c r="U7" s="17">
        <f t="shared" si="7"/>
        <v>95720</v>
      </c>
      <c r="V7" s="17">
        <f t="shared" si="7"/>
        <v>100609.60399999999</v>
      </c>
      <c r="W7" s="17">
        <f t="shared" si="7"/>
        <v>105747.6458728</v>
      </c>
      <c r="X7" s="17">
        <f t="shared" si="7"/>
        <v>111146.69869514096</v>
      </c>
      <c r="Y7" s="17">
        <f t="shared" si="7"/>
        <v>116819.96997279536</v>
      </c>
    </row>
    <row r="8" spans="1:51" x14ac:dyDescent="0.2">
      <c r="B8" s="2" t="s">
        <v>323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17"/>
      <c r="N8" s="25">
        <f t="shared" ref="N8:R8" si="8">+N12/N7</f>
        <v>3.8234062698944311E-3</v>
      </c>
      <c r="O8" s="25">
        <f t="shared" si="8"/>
        <v>3.6329296870034168E-3</v>
      </c>
      <c r="P8" s="25">
        <f t="shared" si="8"/>
        <v>3.6110661980896974E-3</v>
      </c>
      <c r="Q8" s="25">
        <f t="shared" si="8"/>
        <v>3.2132462724086814E-3</v>
      </c>
      <c r="R8" s="25">
        <f t="shared" si="8"/>
        <v>3.2566617527348372E-3</v>
      </c>
      <c r="S8" s="25">
        <f>+S12/S7</f>
        <v>3.2112096202180774E-3</v>
      </c>
      <c r="T8" s="25">
        <f t="shared" ref="T8" si="9">+T12/T7</f>
        <v>3.1277988732278106E-3</v>
      </c>
      <c r="U8" s="25">
        <v>3.0496348566770538E-3</v>
      </c>
      <c r="V8" s="25">
        <v>3.0496348566770538E-3</v>
      </c>
      <c r="W8" s="25">
        <v>3.0496348566770538E-3</v>
      </c>
      <c r="X8" s="25">
        <v>3.0496348566770538E-3</v>
      </c>
      <c r="Y8" s="25">
        <v>3.0496348566770538E-3</v>
      </c>
    </row>
    <row r="9" spans="1:51" x14ac:dyDescent="0.2">
      <c r="C9" s="24"/>
      <c r="D9" s="24"/>
      <c r="E9" s="24"/>
      <c r="F9" s="24"/>
      <c r="G9" s="24"/>
      <c r="H9" s="24"/>
      <c r="I9" s="24"/>
      <c r="J9" s="24"/>
      <c r="K9" s="24"/>
      <c r="L9" s="24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51" x14ac:dyDescent="0.2">
      <c r="A10" s="26" t="s">
        <v>103</v>
      </c>
      <c r="B10" s="3" t="s">
        <v>104</v>
      </c>
      <c r="C10" s="5"/>
      <c r="D10" s="5"/>
      <c r="E10" s="5"/>
      <c r="F10" s="5"/>
      <c r="G10" s="5"/>
      <c r="H10" s="5"/>
      <c r="I10" s="5"/>
      <c r="J10" s="5"/>
      <c r="K10" s="5"/>
      <c r="L10" s="5"/>
      <c r="N10" s="5"/>
      <c r="O10" s="5"/>
      <c r="P10" s="5"/>
      <c r="Q10" s="5"/>
      <c r="R10" s="5"/>
      <c r="S10" s="5"/>
      <c r="T10" s="5"/>
      <c r="U10" s="5"/>
    </row>
    <row r="11" spans="1:51" x14ac:dyDescent="0.2">
      <c r="B11" s="2" t="s">
        <v>72</v>
      </c>
      <c r="C11" s="5"/>
      <c r="D11" s="5"/>
      <c r="E11" s="4"/>
      <c r="F11" s="4"/>
      <c r="G11" s="4"/>
      <c r="H11" s="4"/>
      <c r="I11" s="4"/>
      <c r="J11" s="4"/>
      <c r="K11" s="4"/>
      <c r="L11" s="4"/>
      <c r="M11" s="4"/>
      <c r="N11" s="4">
        <v>285.2</v>
      </c>
      <c r="O11" s="4">
        <v>299.8</v>
      </c>
      <c r="P11" s="4">
        <v>319.40699999999998</v>
      </c>
      <c r="Q11" s="4">
        <v>310.58800000000002</v>
      </c>
      <c r="R11" s="4">
        <v>349.06</v>
      </c>
      <c r="S11" s="4">
        <v>401.85</v>
      </c>
      <c r="T11" s="4">
        <v>395.55</v>
      </c>
      <c r="U11" s="24">
        <v>430.57499999999999</v>
      </c>
      <c r="V11" s="24">
        <f t="shared" ref="V11:Y11" si="10">+V3*V4</f>
        <v>455.76980000000003</v>
      </c>
      <c r="W11" s="24">
        <f t="shared" si="10"/>
        <v>473.18020636000006</v>
      </c>
      <c r="X11" s="24">
        <f t="shared" si="10"/>
        <v>491.25569024295203</v>
      </c>
      <c r="Y11" s="24">
        <f t="shared" si="10"/>
        <v>510.02165761023281</v>
      </c>
    </row>
    <row r="12" spans="1:51" x14ac:dyDescent="0.2">
      <c r="B12" s="2" t="s">
        <v>73</v>
      </c>
      <c r="C12" s="5"/>
      <c r="D12" s="5"/>
      <c r="E12" s="4"/>
      <c r="F12" s="4"/>
      <c r="G12" s="4"/>
      <c r="H12" s="4"/>
      <c r="I12" s="4"/>
      <c r="J12" s="4"/>
      <c r="K12" s="4"/>
      <c r="L12" s="4"/>
      <c r="M12" s="4"/>
      <c r="N12" s="4">
        <v>224.1</v>
      </c>
      <c r="O12" s="4">
        <v>223.1</v>
      </c>
      <c r="P12" s="4">
        <v>232.34200000000001</v>
      </c>
      <c r="Q12" s="4">
        <v>216.613</v>
      </c>
      <c r="R12" s="4">
        <v>230.017</v>
      </c>
      <c r="S12" s="4">
        <v>237.63</v>
      </c>
      <c r="T12" s="4">
        <v>242.50200000000001</v>
      </c>
      <c r="U12" s="24">
        <v>250.96899999999999</v>
      </c>
      <c r="V12" s="24">
        <f t="shared" ref="V12:Y12" si="11">+V7*V8</f>
        <v>306.82255527487513</v>
      </c>
      <c r="W12" s="24">
        <f t="shared" si="11"/>
        <v>322.49170686523229</v>
      </c>
      <c r="X12" s="24">
        <f t="shared" si="11"/>
        <v>338.9568465452839</v>
      </c>
      <c r="Y12" s="24">
        <f t="shared" si="11"/>
        <v>356.25825238500352</v>
      </c>
    </row>
    <row r="13" spans="1:51" x14ac:dyDescent="0.2">
      <c r="B13" s="2" t="s">
        <v>74</v>
      </c>
      <c r="C13" s="5"/>
      <c r="D13" s="5"/>
      <c r="E13" s="4"/>
      <c r="F13" s="4"/>
      <c r="G13" s="4"/>
      <c r="H13" s="4"/>
      <c r="I13" s="4"/>
      <c r="J13" s="4"/>
      <c r="K13" s="4"/>
      <c r="L13" s="4"/>
      <c r="M13" s="4"/>
      <c r="N13" s="27" t="s">
        <v>139</v>
      </c>
      <c r="O13" s="27" t="s">
        <v>139</v>
      </c>
      <c r="P13" s="4">
        <v>253.76300000000001</v>
      </c>
      <c r="Q13" s="4">
        <v>243.87</v>
      </c>
      <c r="R13" s="4">
        <v>272.50099999999998</v>
      </c>
      <c r="S13" s="4">
        <v>293.70400000000001</v>
      </c>
      <c r="T13" s="4">
        <v>288.36700000000002</v>
      </c>
      <c r="U13" s="4">
        <v>296.51100000000002</v>
      </c>
      <c r="V13" s="4">
        <f t="shared" ref="V13:Y13" si="12">46%*V16</f>
        <v>350.79248342644263</v>
      </c>
      <c r="W13" s="4">
        <f t="shared" si="12"/>
        <v>366.00908008360693</v>
      </c>
      <c r="X13" s="4">
        <f t="shared" si="12"/>
        <v>381.89776692258852</v>
      </c>
      <c r="Y13" s="4">
        <f t="shared" si="12"/>
        <v>398.48875859780873</v>
      </c>
    </row>
    <row r="14" spans="1:51" x14ac:dyDescent="0.2">
      <c r="B14" s="2" t="s">
        <v>75</v>
      </c>
      <c r="C14" s="5"/>
      <c r="D14" s="5"/>
      <c r="E14" s="4"/>
      <c r="F14" s="4"/>
      <c r="G14" s="4"/>
      <c r="H14" s="4"/>
      <c r="I14" s="4"/>
      <c r="J14" s="4"/>
      <c r="K14" s="4"/>
      <c r="L14" s="4"/>
      <c r="M14" s="4"/>
      <c r="N14" s="27" t="s">
        <v>139</v>
      </c>
      <c r="O14" s="27" t="s">
        <v>139</v>
      </c>
      <c r="P14" s="4">
        <v>150.47900000000001</v>
      </c>
      <c r="Q14" s="4">
        <v>136.833</v>
      </c>
      <c r="R14" s="4">
        <v>133.71700000000001</v>
      </c>
      <c r="S14" s="4">
        <v>141.05799999999999</v>
      </c>
      <c r="T14" s="4">
        <v>132.30600000000001</v>
      </c>
      <c r="U14" s="4">
        <v>128.251</v>
      </c>
      <c r="V14" s="4">
        <f t="shared" ref="V14:Y14" si="13">22%*V16</f>
        <v>167.77031816047256</v>
      </c>
      <c r="W14" s="4">
        <f t="shared" si="13"/>
        <v>175.04782090955112</v>
      </c>
      <c r="X14" s="4">
        <f t="shared" si="13"/>
        <v>182.6467580934119</v>
      </c>
      <c r="Y14" s="4">
        <f t="shared" si="13"/>
        <v>190.58158019895197</v>
      </c>
    </row>
    <row r="15" spans="1:51" x14ac:dyDescent="0.2">
      <c r="B15" s="2" t="s">
        <v>76</v>
      </c>
      <c r="C15" s="5"/>
      <c r="D15" s="5"/>
      <c r="E15" s="4"/>
      <c r="F15" s="4"/>
      <c r="G15" s="4"/>
      <c r="H15" s="4"/>
      <c r="I15" s="4"/>
      <c r="J15" s="4"/>
      <c r="K15" s="4"/>
      <c r="L15" s="4"/>
      <c r="M15" s="4"/>
      <c r="N15" s="27" t="s">
        <v>139</v>
      </c>
      <c r="O15" s="27" t="s">
        <v>139</v>
      </c>
      <c r="P15" s="4">
        <v>147.50700000000001</v>
      </c>
      <c r="Q15" s="4">
        <v>146.49799999999999</v>
      </c>
      <c r="R15" s="4">
        <v>172.85900000000001</v>
      </c>
      <c r="S15" s="4">
        <v>204.71799999999999</v>
      </c>
      <c r="T15" s="4">
        <v>217.37899999999999</v>
      </c>
      <c r="U15" s="4">
        <v>256.78199999999998</v>
      </c>
      <c r="V15" s="4">
        <f t="shared" ref="V15:Y15" si="14">32%*V16</f>
        <v>244.02955368796006</v>
      </c>
      <c r="W15" s="4">
        <f t="shared" si="14"/>
        <v>254.61501223207438</v>
      </c>
      <c r="X15" s="4">
        <f t="shared" si="14"/>
        <v>265.6680117722355</v>
      </c>
      <c r="Y15" s="4">
        <f t="shared" si="14"/>
        <v>277.2095711984756</v>
      </c>
    </row>
    <row r="16" spans="1:51" s="1" customFormat="1" x14ac:dyDescent="0.2">
      <c r="B16" s="1" t="s">
        <v>41</v>
      </c>
      <c r="C16" s="28">
        <v>275.82900000000001</v>
      </c>
      <c r="D16" s="28">
        <f>+Q16-C16</f>
        <v>251.37200000000001</v>
      </c>
      <c r="E16" s="28">
        <v>316.80399999999997</v>
      </c>
      <c r="F16" s="28">
        <f>+S16-E16</f>
        <v>322.67600000000004</v>
      </c>
      <c r="G16" s="28">
        <v>315.94099999999997</v>
      </c>
      <c r="H16" s="28">
        <f>+T16-G16</f>
        <v>322.11100000000005</v>
      </c>
      <c r="I16" s="28">
        <v>329.89100000000002</v>
      </c>
      <c r="J16" s="28">
        <f>+U16-I16</f>
        <v>351.65199999999999</v>
      </c>
      <c r="K16" s="28">
        <v>368.38099999999997</v>
      </c>
      <c r="L16" s="28"/>
      <c r="M16" s="28"/>
      <c r="N16" s="28">
        <v>509.28399999999999</v>
      </c>
      <c r="O16" s="28">
        <v>522.93700000000001</v>
      </c>
      <c r="P16" s="28">
        <v>551.74900000000002</v>
      </c>
      <c r="Q16" s="28">
        <v>527.20100000000002</v>
      </c>
      <c r="R16" s="28">
        <v>579.077</v>
      </c>
      <c r="S16" s="28">
        <v>639.48</v>
      </c>
      <c r="T16" s="28">
        <v>638.05200000000002</v>
      </c>
      <c r="U16" s="28">
        <v>681.54300000000001</v>
      </c>
      <c r="V16" s="28">
        <f t="shared" ref="V16:Y16" si="15">+SUM(V11:V12)</f>
        <v>762.59235527487522</v>
      </c>
      <c r="W16" s="28">
        <f t="shared" si="15"/>
        <v>795.6719132252324</v>
      </c>
      <c r="X16" s="28">
        <f t="shared" si="15"/>
        <v>830.21253678823587</v>
      </c>
      <c r="Y16" s="28">
        <f t="shared" si="15"/>
        <v>866.27990999523627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</row>
    <row r="17" spans="2:51" x14ac:dyDescent="0.2">
      <c r="B17" s="2" t="s">
        <v>52</v>
      </c>
      <c r="C17" s="4">
        <f>0.59+4.828</f>
        <v>5.4180000000000001</v>
      </c>
      <c r="D17" s="4">
        <f>+Q17-C17</f>
        <v>15.204000000000001</v>
      </c>
      <c r="E17" s="4">
        <f>-3.481+4.974</f>
        <v>1.4930000000000003</v>
      </c>
      <c r="F17" s="4">
        <f>+S17-E17</f>
        <v>10.172000000000001</v>
      </c>
      <c r="G17" s="4">
        <f>0.627+3.246</f>
        <v>3.8730000000000002</v>
      </c>
      <c r="H17" s="4">
        <f>+T17-G17</f>
        <v>3.8650000000000002</v>
      </c>
      <c r="I17" s="4">
        <f>11.538+7.046</f>
        <v>18.584</v>
      </c>
      <c r="J17" s="96">
        <f>+U17-I17</f>
        <v>6.625</v>
      </c>
      <c r="K17" s="96">
        <f>2.355-5.311</f>
        <v>-2.956</v>
      </c>
      <c r="L17" s="96"/>
      <c r="M17" s="4"/>
      <c r="N17" s="4">
        <f>-5.613+9.315</f>
        <v>3.7019999999999991</v>
      </c>
      <c r="O17" s="4">
        <f>1.432+0.056+7.396</f>
        <v>8.8840000000000003</v>
      </c>
      <c r="P17" s="4">
        <f>4.384+0.128+9.323</f>
        <v>13.835000000000001</v>
      </c>
      <c r="Q17" s="4">
        <f>11.669+8.953</f>
        <v>20.622</v>
      </c>
      <c r="R17" s="4">
        <f>-0.744+12.546</f>
        <v>11.802</v>
      </c>
      <c r="S17" s="4">
        <f>-4.836+16.501</f>
        <v>11.665000000000001</v>
      </c>
      <c r="T17" s="4">
        <f>7.897-0.159</f>
        <v>7.7380000000000004</v>
      </c>
      <c r="U17" s="4">
        <f>15.882+9.327</f>
        <v>25.209</v>
      </c>
      <c r="V17" s="4">
        <v>11.7</v>
      </c>
      <c r="W17" s="4">
        <v>11.7</v>
      </c>
      <c r="X17" s="4">
        <v>11.7</v>
      </c>
      <c r="Y17" s="4">
        <v>11.7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spans="2:51" x14ac:dyDescent="0.2">
      <c r="B18" s="2" t="s">
        <v>53</v>
      </c>
      <c r="C18" s="4">
        <f>+C16+C17</f>
        <v>281.24700000000001</v>
      </c>
      <c r="D18" s="4">
        <f t="shared" ref="D18" si="16">+D16+D17</f>
        <v>266.57600000000002</v>
      </c>
      <c r="E18" s="4">
        <f t="shared" ref="C18:F18" si="17">+E16+E17</f>
        <v>318.29699999999997</v>
      </c>
      <c r="F18" s="4">
        <f t="shared" si="17"/>
        <v>332.84800000000007</v>
      </c>
      <c r="G18" s="4">
        <f>+G16+G17</f>
        <v>319.81399999999996</v>
      </c>
      <c r="H18" s="4">
        <f t="shared" ref="H18:K18" si="18">+H16+H17</f>
        <v>325.97600000000006</v>
      </c>
      <c r="I18" s="4">
        <f t="shared" si="18"/>
        <v>348.47500000000002</v>
      </c>
      <c r="J18" s="4">
        <f t="shared" si="18"/>
        <v>358.27699999999999</v>
      </c>
      <c r="K18" s="4">
        <f t="shared" si="18"/>
        <v>365.42499999999995</v>
      </c>
      <c r="L18" s="4"/>
      <c r="M18" s="4"/>
      <c r="N18" s="4">
        <f t="shared" ref="N18" si="19">+N16+N17</f>
        <v>512.98599999999999</v>
      </c>
      <c r="O18" s="4">
        <f t="shared" ref="O18" si="20">+O16+O17</f>
        <v>531.82100000000003</v>
      </c>
      <c r="P18" s="4">
        <f t="shared" ref="P18" si="21">+P16+P17</f>
        <v>565.58400000000006</v>
      </c>
      <c r="Q18" s="4">
        <f t="shared" ref="Q18" si="22">+Q16+Q17</f>
        <v>547.82299999999998</v>
      </c>
      <c r="R18" s="4">
        <f t="shared" ref="R18" si="23">+R16+R17</f>
        <v>590.87900000000002</v>
      </c>
      <c r="S18" s="4">
        <f t="shared" ref="S18:Y18" si="24">+S16+S17</f>
        <v>651.14499999999998</v>
      </c>
      <c r="T18" s="4">
        <f t="shared" si="24"/>
        <v>645.79000000000008</v>
      </c>
      <c r="U18" s="4">
        <f t="shared" si="24"/>
        <v>706.75199999999995</v>
      </c>
      <c r="V18" s="4">
        <f t="shared" si="24"/>
        <v>774.29235527487526</v>
      </c>
      <c r="W18" s="4">
        <f t="shared" si="24"/>
        <v>807.37191322523245</v>
      </c>
      <c r="X18" s="4">
        <f t="shared" si="24"/>
        <v>841.91253678823591</v>
      </c>
      <c r="Y18" s="4">
        <f t="shared" si="24"/>
        <v>877.97990999523631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spans="2:51" x14ac:dyDescent="0.2">
      <c r="B19" s="2" t="s">
        <v>42</v>
      </c>
      <c r="C19" s="4">
        <v>167.399</v>
      </c>
      <c r="D19" s="4">
        <f>+Q19-C19</f>
        <v>142.44600000000003</v>
      </c>
      <c r="E19" s="4">
        <v>184.017</v>
      </c>
      <c r="F19" s="4">
        <f>+S19-E19</f>
        <v>182.05799999999999</v>
      </c>
      <c r="G19" s="4">
        <v>168.78299999999999</v>
      </c>
      <c r="H19" s="4">
        <f>+T19-G19</f>
        <v>161.42100000000002</v>
      </c>
      <c r="I19" s="4">
        <f>170.817+8.556</f>
        <v>179.37300000000002</v>
      </c>
      <c r="J19" s="96">
        <f>+U19-I19</f>
        <v>181.292</v>
      </c>
      <c r="K19" s="96">
        <f>179.109+8.37</f>
        <v>187.47900000000001</v>
      </c>
      <c r="L19" s="96"/>
      <c r="M19" s="4"/>
      <c r="N19" s="4">
        <v>300.27300000000002</v>
      </c>
      <c r="O19" s="4">
        <v>327.03399999999999</v>
      </c>
      <c r="P19" s="4">
        <v>332.10399999999998</v>
      </c>
      <c r="Q19" s="4">
        <v>309.84500000000003</v>
      </c>
      <c r="R19" s="4">
        <v>346.10899999999998</v>
      </c>
      <c r="S19" s="4">
        <v>366.07499999999999</v>
      </c>
      <c r="T19" s="4">
        <v>330.20400000000001</v>
      </c>
      <c r="U19" s="4">
        <v>360.66500000000002</v>
      </c>
      <c r="V19" s="4">
        <f t="shared" ref="V19:Y19" si="25">+V18-V20</f>
        <v>415.87394829568393</v>
      </c>
      <c r="W19" s="4">
        <f t="shared" si="25"/>
        <v>433.40611400937325</v>
      </c>
      <c r="X19" s="4">
        <f t="shared" si="25"/>
        <v>451.7126444977651</v>
      </c>
      <c r="Y19" s="4">
        <f t="shared" si="25"/>
        <v>470.82835229747531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</row>
    <row r="20" spans="2:51" x14ac:dyDescent="0.2">
      <c r="B20" s="2" t="s">
        <v>71</v>
      </c>
      <c r="C20" s="4">
        <f t="shared" ref="C20:F20" si="26">+C18-C19</f>
        <v>113.84800000000001</v>
      </c>
      <c r="D20" s="4">
        <f t="shared" ref="D20" si="27">+D18-D19</f>
        <v>124.13</v>
      </c>
      <c r="E20" s="4">
        <f t="shared" si="26"/>
        <v>134.27999999999997</v>
      </c>
      <c r="F20" s="4">
        <f t="shared" si="26"/>
        <v>150.79000000000008</v>
      </c>
      <c r="G20" s="4">
        <f>+G18-G19</f>
        <v>151.03099999999998</v>
      </c>
      <c r="H20" s="4">
        <f t="shared" ref="H20:K20" si="28">+H18-H19</f>
        <v>164.55500000000004</v>
      </c>
      <c r="I20" s="4">
        <f t="shared" si="28"/>
        <v>169.102</v>
      </c>
      <c r="J20" s="4">
        <f t="shared" si="28"/>
        <v>176.98499999999999</v>
      </c>
      <c r="K20" s="4">
        <f t="shared" si="28"/>
        <v>177.94599999999994</v>
      </c>
      <c r="L20" s="4"/>
      <c r="M20" s="4"/>
      <c r="N20" s="4">
        <f t="shared" ref="N20" si="29">+N18-N19</f>
        <v>212.71299999999997</v>
      </c>
      <c r="O20" s="4">
        <f t="shared" ref="O20" si="30">+O18-O19</f>
        <v>204.78700000000003</v>
      </c>
      <c r="P20" s="4">
        <f t="shared" ref="P20" si="31">+P18-P19</f>
        <v>233.48000000000008</v>
      </c>
      <c r="Q20" s="4">
        <f t="shared" ref="Q20" si="32">+Q18-Q19</f>
        <v>237.97799999999995</v>
      </c>
      <c r="R20" s="4">
        <f t="shared" ref="R20" si="33">+R18-R19</f>
        <v>244.77000000000004</v>
      </c>
      <c r="S20" s="4">
        <f t="shared" ref="S20:U20" si="34">+S18-S19</f>
        <v>285.07</v>
      </c>
      <c r="T20" s="4">
        <f t="shared" si="34"/>
        <v>315.58600000000007</v>
      </c>
      <c r="U20" s="4">
        <f t="shared" si="34"/>
        <v>346.08699999999993</v>
      </c>
      <c r="V20" s="4">
        <f t="shared" ref="V20:Y20" si="35">+V16*V41</f>
        <v>358.41840697919133</v>
      </c>
      <c r="W20" s="4">
        <f t="shared" si="35"/>
        <v>373.96579921585919</v>
      </c>
      <c r="X20" s="4">
        <f t="shared" si="35"/>
        <v>390.19989229047081</v>
      </c>
      <c r="Y20" s="4">
        <f t="shared" si="35"/>
        <v>407.15155769776101</v>
      </c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</row>
    <row r="21" spans="2:51" x14ac:dyDescent="0.2">
      <c r="B21" s="2" t="s">
        <v>70</v>
      </c>
      <c r="C21" s="4">
        <v>38.631</v>
      </c>
      <c r="D21" s="4">
        <f>+Q21-C21</f>
        <v>40.369</v>
      </c>
      <c r="E21" s="4">
        <v>40.384999999999998</v>
      </c>
      <c r="F21" s="4">
        <f>+S21-E21</f>
        <v>43.699000000000005</v>
      </c>
      <c r="G21" s="4">
        <v>46.203000000000003</v>
      </c>
      <c r="H21" s="4">
        <f>+T21-G21</f>
        <v>49.006999999999991</v>
      </c>
      <c r="I21" s="4">
        <v>51.819000000000003</v>
      </c>
      <c r="J21" s="96">
        <f>+U21-I21</f>
        <v>54.037999999999997</v>
      </c>
      <c r="K21" s="96">
        <v>55.207000000000001</v>
      </c>
      <c r="L21" s="96"/>
      <c r="M21" s="4"/>
      <c r="N21" s="4">
        <v>74.275000000000006</v>
      </c>
      <c r="O21" s="4">
        <v>75.721999999999994</v>
      </c>
      <c r="P21" s="4">
        <v>78.956999999999994</v>
      </c>
      <c r="Q21" s="4">
        <v>79</v>
      </c>
      <c r="R21" s="4">
        <v>76.611999999999995</v>
      </c>
      <c r="S21" s="4">
        <v>84.084000000000003</v>
      </c>
      <c r="T21" s="4">
        <v>95.21</v>
      </c>
      <c r="U21" s="4">
        <v>105.857</v>
      </c>
      <c r="V21" s="4">
        <f t="shared" ref="V21:Y21" si="36">+(V20-V24)*35%</f>
        <v>106.76292973848253</v>
      </c>
      <c r="W21" s="4">
        <f t="shared" si="36"/>
        <v>111.39406785153251</v>
      </c>
      <c r="X21" s="4">
        <f t="shared" si="36"/>
        <v>116.22975515035299</v>
      </c>
      <c r="Y21" s="4">
        <f t="shared" si="36"/>
        <v>121.27918739933305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spans="2:51" x14ac:dyDescent="0.2">
      <c r="B22" s="2" t="s">
        <v>44</v>
      </c>
      <c r="C22" s="4">
        <v>9.548</v>
      </c>
      <c r="D22" s="4">
        <f>+Q22-C22</f>
        <v>8.8980000000000015</v>
      </c>
      <c r="E22" s="4">
        <v>10.353</v>
      </c>
      <c r="F22" s="4">
        <f>+S22-E22</f>
        <v>10.125999999999999</v>
      </c>
      <c r="G22" s="4">
        <v>10.414999999999999</v>
      </c>
      <c r="H22" s="4">
        <f>+T22-G22</f>
        <v>9.9920000000000009</v>
      </c>
      <c r="I22" s="4">
        <v>10.861000000000001</v>
      </c>
      <c r="J22" s="96">
        <f>+U22-I22</f>
        <v>9.5569999999999986</v>
      </c>
      <c r="K22" s="96">
        <v>10.813000000000001</v>
      </c>
      <c r="L22" s="96"/>
      <c r="M22" s="4"/>
      <c r="N22" s="4">
        <v>16.538</v>
      </c>
      <c r="O22" s="4">
        <v>18.751999999999999</v>
      </c>
      <c r="P22" s="4">
        <v>18.495000000000001</v>
      </c>
      <c r="Q22" s="4">
        <v>18.446000000000002</v>
      </c>
      <c r="R22" s="4">
        <v>20.321999999999999</v>
      </c>
      <c r="S22" s="4">
        <v>20.478999999999999</v>
      </c>
      <c r="T22" s="4">
        <v>20.407</v>
      </c>
      <c r="U22" s="4">
        <v>20.417999999999999</v>
      </c>
      <c r="V22" s="4">
        <f t="shared" ref="V22:Y22" si="37">+(V20-V24)*9%</f>
        <v>27.453324789895508</v>
      </c>
      <c r="W22" s="4">
        <f t="shared" si="37"/>
        <v>28.644188876108363</v>
      </c>
      <c r="X22" s="4">
        <f t="shared" si="37"/>
        <v>29.887651324376485</v>
      </c>
      <c r="Y22" s="4">
        <f t="shared" si="37"/>
        <v>31.186076759828502</v>
      </c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spans="2:51" x14ac:dyDescent="0.2">
      <c r="B23" s="2" t="s">
        <v>45</v>
      </c>
      <c r="C23" s="4">
        <v>54.493000000000002</v>
      </c>
      <c r="D23" s="4">
        <f>+Q23-C23</f>
        <v>47.464999999999996</v>
      </c>
      <c r="E23" s="4">
        <v>61.094999999999999</v>
      </c>
      <c r="F23" s="4">
        <f>+S23-E23</f>
        <v>71.336000000000013</v>
      </c>
      <c r="G23" s="4">
        <v>72.471000000000004</v>
      </c>
      <c r="H23" s="4">
        <f>+T23-G23</f>
        <v>68.585000000000008</v>
      </c>
      <c r="I23" s="4">
        <v>82.715999999999994</v>
      </c>
      <c r="J23" s="96">
        <f>+U23-I23</f>
        <v>86.840999999999994</v>
      </c>
      <c r="K23" s="96">
        <v>86.912999999999997</v>
      </c>
      <c r="L23" s="96"/>
      <c r="M23" s="4"/>
      <c r="N23" s="4">
        <v>91.861000000000004</v>
      </c>
      <c r="O23" s="4">
        <v>94.13</v>
      </c>
      <c r="P23" s="4">
        <v>98.942999999999998</v>
      </c>
      <c r="Q23" s="4">
        <v>101.958</v>
      </c>
      <c r="R23" s="4">
        <v>113.312</v>
      </c>
      <c r="S23" s="4">
        <v>132.43100000000001</v>
      </c>
      <c r="T23" s="4">
        <v>141.05600000000001</v>
      </c>
      <c r="U23" s="4">
        <v>169.55699999999999</v>
      </c>
      <c r="V23" s="4">
        <f t="shared" ref="V23:Y23" si="38">+(V20-V24)*56%</f>
        <v>170.82068758157206</v>
      </c>
      <c r="W23" s="4">
        <f t="shared" si="38"/>
        <v>178.23050856245206</v>
      </c>
      <c r="X23" s="4">
        <f t="shared" si="38"/>
        <v>185.9676082405648</v>
      </c>
      <c r="Y23" s="4">
        <f t="shared" si="38"/>
        <v>194.04669983893291</v>
      </c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spans="2:51" x14ac:dyDescent="0.2">
      <c r="B24" s="2" t="s">
        <v>46</v>
      </c>
      <c r="C24" s="4">
        <f t="shared" ref="C24:F24" si="39">+C20-SUM(C21:C23)</f>
        <v>11.176000000000016</v>
      </c>
      <c r="D24" s="4">
        <f t="shared" ref="D24" si="40">+D20-SUM(D21:D23)</f>
        <v>27.397999999999996</v>
      </c>
      <c r="E24" s="4">
        <f t="shared" si="39"/>
        <v>22.446999999999974</v>
      </c>
      <c r="F24" s="4">
        <f t="shared" si="39"/>
        <v>25.629000000000062</v>
      </c>
      <c r="G24" s="4">
        <f>+G20-SUM(G21:G23)</f>
        <v>21.941999999999979</v>
      </c>
      <c r="H24" s="4">
        <f t="shared" ref="H24:K24" si="41">+H20-SUM(H21:H23)</f>
        <v>36.971000000000032</v>
      </c>
      <c r="I24" s="4">
        <f t="shared" si="41"/>
        <v>23.705999999999989</v>
      </c>
      <c r="J24" s="4">
        <f t="shared" si="41"/>
        <v>26.549000000000007</v>
      </c>
      <c r="K24" s="4">
        <f t="shared" si="41"/>
        <v>25.012999999999948</v>
      </c>
      <c r="L24" s="4"/>
      <c r="M24" s="4"/>
      <c r="N24" s="4">
        <f t="shared" ref="N24" si="42">+N20-SUM(N21:N23)</f>
        <v>30.038999999999959</v>
      </c>
      <c r="O24" s="4">
        <f t="shared" ref="O24" si="43">+O20-SUM(O21:O23)</f>
        <v>16.18300000000005</v>
      </c>
      <c r="P24" s="4">
        <f t="shared" ref="P24" si="44">+P20-SUM(P21:P23)</f>
        <v>37.085000000000093</v>
      </c>
      <c r="Q24" s="4">
        <f t="shared" ref="Q24" si="45">+Q20-SUM(Q21:Q23)</f>
        <v>38.573999999999955</v>
      </c>
      <c r="R24" s="4">
        <f t="shared" ref="R24" si="46">+R20-SUM(R21:R23)</f>
        <v>34.524000000000058</v>
      </c>
      <c r="S24" s="4">
        <f t="shared" ref="S24:U24" si="47">+S20-SUM(S21:S23)</f>
        <v>48.075999999999965</v>
      </c>
      <c r="T24" s="4">
        <f t="shared" si="47"/>
        <v>58.913000000000068</v>
      </c>
      <c r="U24" s="4">
        <f t="shared" si="47"/>
        <v>50.254999999999939</v>
      </c>
      <c r="V24" s="4">
        <f t="shared" ref="V24:Y24" si="48">+V16*V42</f>
        <v>53.38146486924127</v>
      </c>
      <c r="W24" s="4">
        <f t="shared" si="48"/>
        <v>55.69703392576627</v>
      </c>
      <c r="X24" s="4">
        <f t="shared" si="48"/>
        <v>58.114877575176514</v>
      </c>
      <c r="Y24" s="4">
        <f t="shared" si="48"/>
        <v>60.639593699666541</v>
      </c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spans="2:51" x14ac:dyDescent="0.2">
      <c r="B25" s="2" t="s">
        <v>47</v>
      </c>
      <c r="C25" s="4">
        <v>0</v>
      </c>
      <c r="D25" s="4">
        <f>+Q25-C25</f>
        <v>2.3E-2</v>
      </c>
      <c r="E25" s="4">
        <v>7.0000000000000001E-3</v>
      </c>
      <c r="F25" s="4">
        <f>+S25-E25</f>
        <v>0.72099999999999997</v>
      </c>
      <c r="G25" s="4">
        <v>1.054</v>
      </c>
      <c r="H25" s="4">
        <f>+T25-G25</f>
        <v>1.6820000000000002</v>
      </c>
      <c r="I25" s="4">
        <v>1.016</v>
      </c>
      <c r="J25" s="96">
        <f>+U25-I25</f>
        <v>1.4510000000000001</v>
      </c>
      <c r="K25" s="96">
        <v>0.56499999999999995</v>
      </c>
      <c r="L25" s="96"/>
      <c r="M25" s="4"/>
      <c r="N25" s="4">
        <v>5.5E-2</v>
      </c>
      <c r="O25" s="4">
        <v>0.18</v>
      </c>
      <c r="P25" s="4">
        <v>5.0999999999999997E-2</v>
      </c>
      <c r="Q25" s="4">
        <v>2.3E-2</v>
      </c>
      <c r="R25" s="4">
        <v>4.3999999999999997E-2</v>
      </c>
      <c r="S25" s="4">
        <v>0.72799999999999998</v>
      </c>
      <c r="T25" s="4">
        <v>2.7360000000000002</v>
      </c>
      <c r="U25" s="4">
        <v>2.4670000000000001</v>
      </c>
      <c r="V25" s="4">
        <f>+U25*(1+3%)</f>
        <v>2.54101</v>
      </c>
      <c r="W25" s="4">
        <f t="shared" ref="W25:Y25" si="49">+V25*(1+3%)</f>
        <v>2.6172403000000002</v>
      </c>
      <c r="X25" s="4">
        <f t="shared" si="49"/>
        <v>2.6957575090000003</v>
      </c>
      <c r="Y25" s="4">
        <f t="shared" si="49"/>
        <v>2.7766302342700002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</row>
    <row r="26" spans="2:51" x14ac:dyDescent="0.2">
      <c r="B26" s="2" t="s">
        <v>48</v>
      </c>
      <c r="C26" s="4">
        <v>0.14099999999999999</v>
      </c>
      <c r="D26" s="4">
        <f>+Q26-C26</f>
        <v>0.29700000000000004</v>
      </c>
      <c r="E26" s="4">
        <v>0.63200000000000001</v>
      </c>
      <c r="F26" s="4">
        <f>+S26-E26</f>
        <v>0.49299999999999999</v>
      </c>
      <c r="G26" s="4">
        <v>0.52</v>
      </c>
      <c r="H26" s="4">
        <f>+T26-G26</f>
        <v>0.48499999999999988</v>
      </c>
      <c r="I26" s="4">
        <v>0.44400000000000001</v>
      </c>
      <c r="J26" s="96">
        <f>+U26-I26</f>
        <v>0.436</v>
      </c>
      <c r="K26" s="96">
        <v>0.35</v>
      </c>
      <c r="L26" s="96"/>
      <c r="M26" s="4"/>
      <c r="N26" s="4">
        <v>0.79200000000000004</v>
      </c>
      <c r="O26" s="4">
        <v>0.63500000000000001</v>
      </c>
      <c r="P26" s="4">
        <v>0.56299999999999994</v>
      </c>
      <c r="Q26" s="4">
        <v>0.438</v>
      </c>
      <c r="R26" s="4">
        <v>0.65600000000000003</v>
      </c>
      <c r="S26" s="4">
        <v>1.125</v>
      </c>
      <c r="T26" s="4">
        <v>1.0049999999999999</v>
      </c>
      <c r="U26" s="4">
        <v>0.88</v>
      </c>
      <c r="V26" s="4">
        <v>0.5</v>
      </c>
      <c r="W26" s="4">
        <v>0.5</v>
      </c>
      <c r="X26" s="4">
        <v>0.5</v>
      </c>
      <c r="Y26" s="4">
        <v>0.5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spans="2:51" x14ac:dyDescent="0.2">
      <c r="B27" s="2" t="s">
        <v>52</v>
      </c>
      <c r="C27" s="4">
        <v>0</v>
      </c>
      <c r="D27" s="4">
        <f>+Q27-C27</f>
        <v>0</v>
      </c>
      <c r="E27" s="4">
        <v>0</v>
      </c>
      <c r="F27" s="4">
        <f>+S27-E27</f>
        <v>-0.13200000000000001</v>
      </c>
      <c r="G27" s="4">
        <v>0</v>
      </c>
      <c r="H27" s="4">
        <f>+T27-G27</f>
        <v>0</v>
      </c>
      <c r="I27" s="4">
        <v>0</v>
      </c>
      <c r="J27" s="96">
        <f>+U27-I27</f>
        <v>0</v>
      </c>
      <c r="K27" s="96">
        <f>+V27-J27</f>
        <v>0</v>
      </c>
      <c r="L27" s="96"/>
      <c r="M27" s="4"/>
      <c r="N27" s="4">
        <v>4.9000000000000002E-2</v>
      </c>
      <c r="O27" s="4">
        <v>0.56599999999999995</v>
      </c>
      <c r="P27" s="4">
        <v>0.115</v>
      </c>
      <c r="Q27" s="4">
        <v>0</v>
      </c>
      <c r="R27" s="4">
        <v>0</v>
      </c>
      <c r="S27" s="4">
        <v>-0.13200000000000001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spans="2:51" x14ac:dyDescent="0.2">
      <c r="B28" s="2" t="s">
        <v>49</v>
      </c>
      <c r="C28" s="4">
        <f>+C24+C25-C26+C27</f>
        <v>11.035000000000016</v>
      </c>
      <c r="D28" s="4">
        <f t="shared" ref="D28" si="50">+D24+D25-D26+D27</f>
        <v>27.123999999999995</v>
      </c>
      <c r="E28" s="4">
        <f t="shared" ref="E28:K28" si="51">+E24+E25-E26+E27</f>
        <v>21.821999999999974</v>
      </c>
      <c r="F28" s="4">
        <f t="shared" si="51"/>
        <v>25.725000000000062</v>
      </c>
      <c r="G28" s="4">
        <f t="shared" si="51"/>
        <v>22.475999999999978</v>
      </c>
      <c r="H28" s="4">
        <f t="shared" si="51"/>
        <v>38.168000000000035</v>
      </c>
      <c r="I28" s="4">
        <f t="shared" si="51"/>
        <v>24.277999999999988</v>
      </c>
      <c r="J28" s="4">
        <f t="shared" si="51"/>
        <v>27.564000000000007</v>
      </c>
      <c r="K28" s="4">
        <f t="shared" si="51"/>
        <v>25.227999999999948</v>
      </c>
      <c r="L28" s="4"/>
      <c r="M28" s="4"/>
      <c r="N28" s="4">
        <f t="shared" ref="N28" si="52">+N24+N25-N26+N27</f>
        <v>29.350999999999956</v>
      </c>
      <c r="O28" s="4">
        <f t="shared" ref="O28" si="53">+O24+O25-O26+O27</f>
        <v>16.29400000000005</v>
      </c>
      <c r="P28" s="4">
        <f t="shared" ref="P28" si="54">+P24+P25-P26+P27</f>
        <v>36.688000000000095</v>
      </c>
      <c r="Q28" s="4">
        <f t="shared" ref="Q28" si="55">+Q24+Q25-Q26+Q27</f>
        <v>38.158999999999956</v>
      </c>
      <c r="R28" s="4">
        <f t="shared" ref="R28" si="56">+R24+R25-R26+R27</f>
        <v>33.912000000000056</v>
      </c>
      <c r="S28" s="4">
        <f t="shared" ref="S28" si="57">+S24+S25-S26+S27</f>
        <v>47.546999999999969</v>
      </c>
      <c r="T28" s="4">
        <f t="shared" ref="T28:Y28" si="58">+T24+T25-T26+T27</f>
        <v>60.644000000000062</v>
      </c>
      <c r="U28" s="4">
        <f t="shared" si="58"/>
        <v>51.841999999999935</v>
      </c>
      <c r="V28" s="4">
        <f t="shared" si="58"/>
        <v>55.42247486924127</v>
      </c>
      <c r="W28" s="4">
        <f t="shared" si="58"/>
        <v>57.814274225766269</v>
      </c>
      <c r="X28" s="4">
        <f t="shared" si="58"/>
        <v>60.310635084176518</v>
      </c>
      <c r="Y28" s="4">
        <f t="shared" si="58"/>
        <v>62.916223933936543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</row>
    <row r="29" spans="2:51" x14ac:dyDescent="0.2">
      <c r="B29" s="2" t="s">
        <v>50</v>
      </c>
      <c r="C29" s="4">
        <f>2.732+0.157</f>
        <v>2.8890000000000002</v>
      </c>
      <c r="D29" s="4">
        <f>+Q29-C29</f>
        <v>6.6360000000000001</v>
      </c>
      <c r="E29" s="4">
        <f>6.054+0.273</f>
        <v>6.327</v>
      </c>
      <c r="F29" s="4">
        <f>+S29-E29</f>
        <v>7.17</v>
      </c>
      <c r="G29" s="4">
        <f>6.671+0.305</f>
        <v>6.976</v>
      </c>
      <c r="H29" s="4">
        <f>+T29-G29</f>
        <v>11.173000000000002</v>
      </c>
      <c r="I29" s="4">
        <f>6.231+0.305</f>
        <v>6.5359999999999996</v>
      </c>
      <c r="J29" s="96">
        <f>+U29-I29</f>
        <v>8.2830000000000013</v>
      </c>
      <c r="K29" s="96">
        <f>6.708+0.356</f>
        <v>7.0640000000000001</v>
      </c>
      <c r="L29" s="96"/>
      <c r="M29" s="4"/>
      <c r="N29" s="4">
        <f>-0.482+9.85</f>
        <v>9.3680000000000003</v>
      </c>
      <c r="O29" s="4">
        <f>-0.045+3.747</f>
        <v>3.702</v>
      </c>
      <c r="P29" s="4">
        <f>11.219+0.385</f>
        <v>11.603999999999999</v>
      </c>
      <c r="Q29" s="4">
        <f>9.122+0.403</f>
        <v>9.5250000000000004</v>
      </c>
      <c r="R29" s="4">
        <f>9.19+0.418</f>
        <v>9.6079999999999988</v>
      </c>
      <c r="S29" s="4">
        <f>13.022+0.475</f>
        <v>13.497</v>
      </c>
      <c r="T29" s="4">
        <v>18.149000000000001</v>
      </c>
      <c r="U29" s="4">
        <f>14.268+0.551</f>
        <v>14.819000000000001</v>
      </c>
      <c r="V29" s="4">
        <f t="shared" ref="V29:Y29" si="59">+V28*V43</f>
        <v>15.518292963387557</v>
      </c>
      <c r="W29" s="4">
        <f t="shared" si="59"/>
        <v>16.187996783214558</v>
      </c>
      <c r="X29" s="4">
        <f t="shared" si="59"/>
        <v>16.886977823569428</v>
      </c>
      <c r="Y29" s="4">
        <f t="shared" si="59"/>
        <v>17.616542701502233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</row>
    <row r="30" spans="2:51" x14ac:dyDescent="0.2">
      <c r="B30" s="2" t="s">
        <v>51</v>
      </c>
      <c r="C30" s="4">
        <f t="shared" ref="C30:F30" si="60">+C28-C29</f>
        <v>8.146000000000015</v>
      </c>
      <c r="D30" s="4">
        <f t="shared" ref="D30" si="61">+D28-D29</f>
        <v>20.487999999999996</v>
      </c>
      <c r="E30" s="4">
        <f t="shared" si="60"/>
        <v>15.494999999999974</v>
      </c>
      <c r="F30" s="4">
        <f t="shared" si="60"/>
        <v>18.555000000000064</v>
      </c>
      <c r="G30" s="4">
        <f>+G28-G29</f>
        <v>15.499999999999979</v>
      </c>
      <c r="H30" s="4">
        <f t="shared" ref="H30:K30" si="62">+H28-H29</f>
        <v>26.995000000000033</v>
      </c>
      <c r="I30" s="4">
        <f t="shared" si="62"/>
        <v>17.74199999999999</v>
      </c>
      <c r="J30" s="4">
        <f t="shared" si="62"/>
        <v>19.281000000000006</v>
      </c>
      <c r="K30" s="4">
        <f t="shared" si="62"/>
        <v>18.163999999999948</v>
      </c>
      <c r="L30" s="4"/>
      <c r="M30" s="4"/>
      <c r="N30" s="4">
        <f t="shared" ref="N30:R30" si="63">+N28-N29</f>
        <v>19.982999999999954</v>
      </c>
      <c r="O30" s="4">
        <f t="shared" si="63"/>
        <v>12.59200000000005</v>
      </c>
      <c r="P30" s="4">
        <f t="shared" si="63"/>
        <v>25.084000000000096</v>
      </c>
      <c r="Q30" s="4">
        <f t="shared" si="63"/>
        <v>28.633999999999958</v>
      </c>
      <c r="R30" s="4">
        <f t="shared" si="63"/>
        <v>24.304000000000059</v>
      </c>
      <c r="S30" s="4">
        <f>+S28-S29</f>
        <v>34.049999999999969</v>
      </c>
      <c r="T30" s="4">
        <f t="shared" ref="T30:Y30" si="64">+T28-T29</f>
        <v>42.495000000000061</v>
      </c>
      <c r="U30" s="4">
        <f t="shared" si="64"/>
        <v>37.022999999999932</v>
      </c>
      <c r="V30" s="4">
        <f t="shared" si="64"/>
        <v>39.904181905853711</v>
      </c>
      <c r="W30" s="4">
        <f t="shared" si="64"/>
        <v>41.626277442551711</v>
      </c>
      <c r="X30" s="4">
        <f t="shared" si="64"/>
        <v>43.423657260607087</v>
      </c>
      <c r="Y30" s="4">
        <f t="shared" si="64"/>
        <v>45.29968123243431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</row>
    <row r="31" spans="2:51" x14ac:dyDescent="0.2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</row>
    <row r="32" spans="2:51" x14ac:dyDescent="0.2">
      <c r="B32" s="2" t="s">
        <v>137</v>
      </c>
      <c r="C32" s="29">
        <f t="shared" ref="C32:F32" si="65">+C30/C33</f>
        <v>1.1957259183647728</v>
      </c>
      <c r="D32" s="29">
        <f t="shared" si="65"/>
        <v>3.0073695820595896</v>
      </c>
      <c r="E32" s="29">
        <f t="shared" si="65"/>
        <v>2.2744626939678478</v>
      </c>
      <c r="F32" s="29">
        <f t="shared" si="65"/>
        <v>2.723630544470709</v>
      </c>
      <c r="G32" s="29">
        <f t="shared" ref="G32:K32" si="66">+G30/G33</f>
        <v>2.2751966283640952</v>
      </c>
      <c r="H32" s="29">
        <f t="shared" si="66"/>
        <v>3.9625118053347683</v>
      </c>
      <c r="I32" s="29">
        <f t="shared" si="66"/>
        <v>2.6042928116410198</v>
      </c>
      <c r="J32" s="29">
        <f t="shared" si="66"/>
        <v>2.83019781880569</v>
      </c>
      <c r="K32" s="29">
        <f t="shared" si="66"/>
        <v>2.6662368746842171</v>
      </c>
      <c r="L32" s="29"/>
      <c r="M32" s="4"/>
      <c r="N32" s="29">
        <f t="shared" ref="N32:Y32" si="67">+N30/N33</f>
        <v>2.9330691325407243</v>
      </c>
      <c r="O32" s="29">
        <f t="shared" si="67"/>
        <v>1.8482313224717526</v>
      </c>
      <c r="P32" s="29">
        <f t="shared" si="67"/>
        <v>3.6817848231322614</v>
      </c>
      <c r="Q32" s="29">
        <f t="shared" si="67"/>
        <v>4.2028474974313754</v>
      </c>
      <c r="R32" s="29">
        <f t="shared" si="67"/>
        <v>3.5672978130045587</v>
      </c>
      <c r="S32" s="29">
        <f t="shared" si="67"/>
        <v>4.9977983267283088</v>
      </c>
      <c r="T32" s="29">
        <f t="shared" si="67"/>
        <v>6.2373403786878123</v>
      </c>
      <c r="U32" s="29">
        <f t="shared" si="67"/>
        <v>5.4341699691765646</v>
      </c>
      <c r="V32" s="29">
        <f t="shared" si="67"/>
        <v>5.8570647153755635</v>
      </c>
      <c r="W32" s="29">
        <f t="shared" si="67"/>
        <v>6.1098308296714681</v>
      </c>
      <c r="X32" s="29">
        <f t="shared" si="67"/>
        <v>6.3736470366368838</v>
      </c>
      <c r="Y32" s="29">
        <f t="shared" si="67"/>
        <v>6.6490064923578913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spans="1:51" x14ac:dyDescent="0.2">
      <c r="B33" s="2" t="s">
        <v>3</v>
      </c>
      <c r="C33" s="4">
        <v>6.8125980000000004</v>
      </c>
      <c r="D33" s="4">
        <v>6.8125980000000004</v>
      </c>
      <c r="E33" s="4">
        <v>6.8125980000000004</v>
      </c>
      <c r="F33" s="4">
        <v>6.8125980000000004</v>
      </c>
      <c r="G33" s="4">
        <v>6.8125980000000004</v>
      </c>
      <c r="H33" s="4">
        <v>6.8125980000000004</v>
      </c>
      <c r="I33" s="4">
        <v>6.8125980000000004</v>
      </c>
      <c r="J33" s="4">
        <v>6.8125980000000004</v>
      </c>
      <c r="K33" s="4">
        <v>6.8125980000000004</v>
      </c>
      <c r="L33" s="4"/>
      <c r="M33" s="4"/>
      <c r="N33" s="4">
        <v>6.8129999999999997</v>
      </c>
      <c r="O33" s="4">
        <v>6.8129999999999997</v>
      </c>
      <c r="P33" s="4">
        <v>6.8129999999999997</v>
      </c>
      <c r="Q33" s="4">
        <v>6.8129999999999997</v>
      </c>
      <c r="R33" s="4">
        <v>6.8129999999999997</v>
      </c>
      <c r="S33" s="4">
        <v>6.8129999999999997</v>
      </c>
      <c r="T33" s="4">
        <v>6.8129999999999997</v>
      </c>
      <c r="U33" s="4">
        <v>6.8129999999999997</v>
      </c>
      <c r="V33" s="4">
        <v>6.8129999999999997</v>
      </c>
      <c r="W33" s="4">
        <v>6.8129999999999997</v>
      </c>
      <c r="X33" s="4">
        <v>6.8129999999999997</v>
      </c>
      <c r="Y33" s="4">
        <v>6.8129999999999997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</row>
    <row r="34" spans="1:51" x14ac:dyDescent="0.2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spans="1:51" x14ac:dyDescent="0.2">
      <c r="B35" s="2" t="s">
        <v>77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30" t="s">
        <v>139</v>
      </c>
      <c r="O35" s="23">
        <f t="shared" ref="O35:R35" si="68">+O11/N11-1</f>
        <v>5.1192145862552607E-2</v>
      </c>
      <c r="P35" s="23">
        <f t="shared" si="68"/>
        <v>6.5400266844563015E-2</v>
      </c>
      <c r="Q35" s="23">
        <f t="shared" si="68"/>
        <v>-2.7610540783389093E-2</v>
      </c>
      <c r="R35" s="23">
        <f t="shared" si="68"/>
        <v>0.12386827565778447</v>
      </c>
      <c r="S35" s="23">
        <f t="shared" ref="S35:S40" si="69">+S11/R11-1</f>
        <v>0.15123474474302423</v>
      </c>
      <c r="T35" s="23">
        <f t="shared" ref="T35:U35" si="70">+T11/S11-1</f>
        <v>-1.5677491601343796E-2</v>
      </c>
      <c r="U35" s="23">
        <f t="shared" si="70"/>
        <v>8.8547591960561167E-2</v>
      </c>
      <c r="V35" s="23">
        <f t="shared" ref="V35:V40" si="71">+V11/U11-1</f>
        <v>5.8514312256865875E-2</v>
      </c>
      <c r="W35" s="23">
        <f t="shared" ref="W35:W40" si="72">+W11/V11-1</f>
        <v>3.8200000000000012E-2</v>
      </c>
      <c r="X35" s="23">
        <f t="shared" ref="X35:X40" si="73">+X11/W11-1</f>
        <v>3.8200000000000012E-2</v>
      </c>
      <c r="Y35" s="23">
        <f t="shared" ref="Y35:Y40" si="74">+Y11/X11-1</f>
        <v>3.8200000000000012E-2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</row>
    <row r="36" spans="1:51" x14ac:dyDescent="0.2">
      <c r="B36" s="2" t="s">
        <v>78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30" t="s">
        <v>139</v>
      </c>
      <c r="O36" s="23">
        <f t="shared" ref="O36:R36" si="75">+O12/N12-1</f>
        <v>-4.4622936189201434E-3</v>
      </c>
      <c r="P36" s="23">
        <f t="shared" si="75"/>
        <v>4.1425369789332311E-2</v>
      </c>
      <c r="Q36" s="23">
        <f t="shared" si="75"/>
        <v>-6.7697618166323803E-2</v>
      </c>
      <c r="R36" s="23">
        <f t="shared" si="75"/>
        <v>6.1879942570390423E-2</v>
      </c>
      <c r="S36" s="23">
        <f t="shared" si="69"/>
        <v>3.3097553659077406E-2</v>
      </c>
      <c r="T36" s="23">
        <f t="shared" ref="T36:U36" si="76">+T12/S12-1</f>
        <v>2.0502461810377515E-2</v>
      </c>
      <c r="U36" s="23">
        <f t="shared" si="76"/>
        <v>3.4915175957311639E-2</v>
      </c>
      <c r="V36" s="23">
        <f t="shared" si="71"/>
        <v>0.22255161105505117</v>
      </c>
      <c r="W36" s="23">
        <f t="shared" si="72"/>
        <v>5.1069099454958744E-2</v>
      </c>
      <c r="X36" s="23">
        <f t="shared" si="73"/>
        <v>5.1056009595100482E-2</v>
      </c>
      <c r="Y36" s="23">
        <f t="shared" si="74"/>
        <v>5.1043092995639361E-2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7" spans="1:51" x14ac:dyDescent="0.2">
      <c r="B37" s="2" t="s">
        <v>79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30" t="s">
        <v>139</v>
      </c>
      <c r="O37" s="27" t="s">
        <v>139</v>
      </c>
      <c r="P37" s="27" t="s">
        <v>139</v>
      </c>
      <c r="Q37" s="23">
        <f t="shared" ref="Q37:R37" si="77">+Q13/P13-1</f>
        <v>-3.8985194847160565E-2</v>
      </c>
      <c r="R37" s="23">
        <f t="shared" si="77"/>
        <v>0.11740271456103657</v>
      </c>
      <c r="S37" s="23">
        <f t="shared" si="69"/>
        <v>7.7808888774720142E-2</v>
      </c>
      <c r="T37" s="23">
        <f t="shared" ref="T37:U37" si="78">+T13/S13-1</f>
        <v>-1.817135619535315E-2</v>
      </c>
      <c r="U37" s="23">
        <f t="shared" si="78"/>
        <v>2.8241789109017423E-2</v>
      </c>
      <c r="V37" s="23">
        <f t="shared" si="71"/>
        <v>0.1830673513847465</v>
      </c>
      <c r="W37" s="23">
        <f t="shared" si="72"/>
        <v>4.3377772831769024E-2</v>
      </c>
      <c r="X37" s="23">
        <f t="shared" si="73"/>
        <v>4.3410635701584654E-2</v>
      </c>
      <c r="Y37" s="23">
        <f t="shared" si="74"/>
        <v>4.3443541995319412E-2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</row>
    <row r="38" spans="1:51" x14ac:dyDescent="0.2">
      <c r="B38" s="2" t="s">
        <v>80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30" t="s">
        <v>139</v>
      </c>
      <c r="O38" s="27" t="s">
        <v>139</v>
      </c>
      <c r="P38" s="27" t="s">
        <v>139</v>
      </c>
      <c r="Q38" s="23">
        <f t="shared" ref="Q38:R38" si="79">+Q14/P14-1</f>
        <v>-9.0683749892011556E-2</v>
      </c>
      <c r="R38" s="23">
        <f t="shared" si="79"/>
        <v>-2.2772284463543069E-2</v>
      </c>
      <c r="S38" s="23">
        <f t="shared" si="69"/>
        <v>5.4899526612173233E-2</v>
      </c>
      <c r="T38" s="23">
        <f t="shared" ref="T38:U38" si="80">+T14/S14-1</f>
        <v>-6.2045399764635745E-2</v>
      </c>
      <c r="U38" s="23">
        <f t="shared" si="80"/>
        <v>-3.0648647831542086E-2</v>
      </c>
      <c r="V38" s="23">
        <f t="shared" si="71"/>
        <v>0.30814042900618754</v>
      </c>
      <c r="W38" s="23">
        <f t="shared" si="72"/>
        <v>4.3377772831768802E-2</v>
      </c>
      <c r="X38" s="23">
        <f t="shared" si="73"/>
        <v>4.3410635701584877E-2</v>
      </c>
      <c r="Y38" s="23">
        <f t="shared" si="74"/>
        <v>4.344354199531919E-2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spans="1:51" x14ac:dyDescent="0.2">
      <c r="B39" s="2" t="s">
        <v>81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30" t="s">
        <v>139</v>
      </c>
      <c r="O39" s="27" t="s">
        <v>139</v>
      </c>
      <c r="P39" s="27" t="s">
        <v>139</v>
      </c>
      <c r="Q39" s="23">
        <f t="shared" ref="Q39:R39" si="81">+Q15/P15-1</f>
        <v>-6.8403533391636628E-3</v>
      </c>
      <c r="R39" s="23">
        <f t="shared" si="81"/>
        <v>0.17994102308563953</v>
      </c>
      <c r="S39" s="23">
        <f t="shared" si="69"/>
        <v>0.18430628431264773</v>
      </c>
      <c r="T39" s="23">
        <f t="shared" ref="T39:U39" si="82">+T15/S15-1</f>
        <v>6.1846051641770705E-2</v>
      </c>
      <c r="U39" s="23">
        <f t="shared" si="82"/>
        <v>0.18126405954577018</v>
      </c>
      <c r="V39" s="23">
        <f t="shared" si="71"/>
        <v>-4.9662539866657029E-2</v>
      </c>
      <c r="W39" s="23">
        <f t="shared" si="72"/>
        <v>4.3377772831769024E-2</v>
      </c>
      <c r="X39" s="23">
        <f t="shared" si="73"/>
        <v>4.3410635701584654E-2</v>
      </c>
      <c r="Y39" s="23">
        <f t="shared" si="74"/>
        <v>4.3443541995319412E-2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spans="1:51" s="1" customFormat="1" x14ac:dyDescent="0.2">
      <c r="A40" s="2"/>
      <c r="B40" s="1" t="s">
        <v>54</v>
      </c>
      <c r="C40" s="28"/>
      <c r="D40" s="28"/>
      <c r="E40" s="28"/>
      <c r="F40" s="28"/>
      <c r="G40" s="31">
        <f>+G16/E16-1</f>
        <v>-2.7240817666444039E-3</v>
      </c>
      <c r="H40" s="31">
        <f t="shared" ref="H40:K40" si="83">+H16/F16-1</f>
        <v>-1.7509824095996995E-3</v>
      </c>
      <c r="I40" s="31">
        <f t="shared" si="83"/>
        <v>4.4153813528475361E-2</v>
      </c>
      <c r="J40" s="31">
        <f t="shared" si="83"/>
        <v>9.1710621493832578E-2</v>
      </c>
      <c r="K40" s="31">
        <f t="shared" si="83"/>
        <v>0.11667490170995864</v>
      </c>
      <c r="L40" s="31"/>
      <c r="M40" s="28"/>
      <c r="N40" s="32" t="s">
        <v>139</v>
      </c>
      <c r="O40" s="31">
        <f t="shared" ref="O40:R40" si="84">+O16/N16-1</f>
        <v>2.680822488042045E-2</v>
      </c>
      <c r="P40" s="31">
        <f t="shared" si="84"/>
        <v>5.5096503020440446E-2</v>
      </c>
      <c r="Q40" s="31">
        <f t="shared" si="84"/>
        <v>-4.4491245113267075E-2</v>
      </c>
      <c r="R40" s="31">
        <f t="shared" si="84"/>
        <v>9.8398902885237227E-2</v>
      </c>
      <c r="S40" s="31">
        <f t="shared" si="69"/>
        <v>0.10430909878997108</v>
      </c>
      <c r="T40" s="31">
        <f t="shared" ref="T40:U40" si="85">+T16/S16-1</f>
        <v>-2.2330643647964221E-3</v>
      </c>
      <c r="U40" s="31">
        <f t="shared" si="85"/>
        <v>6.8162156062515189E-2</v>
      </c>
      <c r="V40" s="31">
        <f t="shared" si="71"/>
        <v>0.11892038400346738</v>
      </c>
      <c r="W40" s="31">
        <f t="shared" si="72"/>
        <v>4.3377772831769024E-2</v>
      </c>
      <c r="X40" s="31">
        <f t="shared" si="73"/>
        <v>4.3410635701584654E-2</v>
      </c>
      <c r="Y40" s="31">
        <f t="shared" si="74"/>
        <v>4.3443541995319412E-2</v>
      </c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</row>
    <row r="41" spans="1:51" x14ac:dyDescent="0.2">
      <c r="B41" s="2" t="s">
        <v>43</v>
      </c>
      <c r="C41" s="23">
        <f t="shared" ref="C41:G41" si="86">+C20/C18</f>
        <v>0.40479720672576064</v>
      </c>
      <c r="D41" s="23">
        <f t="shared" si="86"/>
        <v>0.46564581957865669</v>
      </c>
      <c r="E41" s="23">
        <f t="shared" si="86"/>
        <v>0.42187014015212204</v>
      </c>
      <c r="F41" s="23">
        <f t="shared" si="86"/>
        <v>0.45302961111378182</v>
      </c>
      <c r="G41" s="23">
        <f t="shared" si="86"/>
        <v>0.47224636820151711</v>
      </c>
      <c r="H41" s="23">
        <f t="shared" ref="H41:J41" si="87">+H20/H18</f>
        <v>0.50480710236336424</v>
      </c>
      <c r="I41" s="23">
        <f t="shared" si="87"/>
        <v>0.48526293134371185</v>
      </c>
      <c r="J41" s="23">
        <f t="shared" si="87"/>
        <v>0.49398928761823951</v>
      </c>
      <c r="K41" s="23">
        <f t="shared" ref="K41" si="88">+K20/K18</f>
        <v>0.48695628377916117</v>
      </c>
      <c r="L41" s="23"/>
      <c r="M41" s="4"/>
      <c r="N41" s="23">
        <f t="shared" ref="N41" si="89">+N20/N18</f>
        <v>0.414656540334434</v>
      </c>
      <c r="O41" s="23">
        <f t="shared" ref="O41:S41" si="90">+O20/O18</f>
        <v>0.38506753212077</v>
      </c>
      <c r="P41" s="23">
        <f t="shared" si="90"/>
        <v>0.41281224362782548</v>
      </c>
      <c r="Q41" s="23">
        <f t="shared" si="90"/>
        <v>0.43440673356175252</v>
      </c>
      <c r="R41" s="23">
        <f t="shared" si="90"/>
        <v>0.41424724859065903</v>
      </c>
      <c r="S41" s="23">
        <f t="shared" si="90"/>
        <v>0.43779803269625045</v>
      </c>
      <c r="T41" s="23">
        <v>0.47</v>
      </c>
      <c r="U41" s="23">
        <v>0.47</v>
      </c>
      <c r="V41" s="23">
        <v>0.47</v>
      </c>
      <c r="W41" s="23">
        <v>0.47</v>
      </c>
      <c r="X41" s="23">
        <v>0.47</v>
      </c>
      <c r="Y41" s="23">
        <v>0.47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spans="1:51" x14ac:dyDescent="0.2">
      <c r="B42" s="2" t="s">
        <v>55</v>
      </c>
      <c r="C42" s="23">
        <f t="shared" ref="C42:G42" si="91">+C24/C18</f>
        <v>3.9737312753558317E-2</v>
      </c>
      <c r="D42" s="23">
        <f t="shared" si="91"/>
        <v>0.10277744433107254</v>
      </c>
      <c r="E42" s="23">
        <f t="shared" si="91"/>
        <v>7.0522185254652023E-2</v>
      </c>
      <c r="F42" s="23">
        <f t="shared" si="91"/>
        <v>7.6999110705186918E-2</v>
      </c>
      <c r="G42" s="23">
        <f t="shared" si="91"/>
        <v>6.8608628765469873E-2</v>
      </c>
      <c r="H42" s="23">
        <f t="shared" ref="H42:J42" si="92">+H24/H18</f>
        <v>0.11341632512823038</v>
      </c>
      <c r="I42" s="23">
        <f t="shared" si="92"/>
        <v>6.8027835569266046E-2</v>
      </c>
      <c r="J42" s="23">
        <f t="shared" si="92"/>
        <v>7.4101882063319746E-2</v>
      </c>
      <c r="K42" s="23">
        <f t="shared" ref="K42" si="93">+K24/K18</f>
        <v>6.8449066155845797E-2</v>
      </c>
      <c r="L42" s="23"/>
      <c r="M42" s="4"/>
      <c r="N42" s="23">
        <f t="shared" ref="N42" si="94">+N24/N18</f>
        <v>5.855715360653109E-2</v>
      </c>
      <c r="O42" s="23">
        <f t="shared" ref="O42:S42" si="95">+O24/O18</f>
        <v>3.0429411399700367E-2</v>
      </c>
      <c r="P42" s="23">
        <f t="shared" si="95"/>
        <v>6.5569393759371E-2</v>
      </c>
      <c r="Q42" s="23">
        <f t="shared" si="95"/>
        <v>7.041325391595453E-2</v>
      </c>
      <c r="R42" s="23">
        <f t="shared" si="95"/>
        <v>5.8428206113265248E-2</v>
      </c>
      <c r="S42" s="23">
        <f t="shared" si="95"/>
        <v>7.3833017223506228E-2</v>
      </c>
      <c r="T42" s="23">
        <v>7.0000000000000007E-2</v>
      </c>
      <c r="U42" s="23">
        <v>7.0000000000000007E-2</v>
      </c>
      <c r="V42" s="23">
        <v>7.0000000000000007E-2</v>
      </c>
      <c r="W42" s="23">
        <v>7.0000000000000007E-2</v>
      </c>
      <c r="X42" s="23">
        <v>7.0000000000000007E-2</v>
      </c>
      <c r="Y42" s="23">
        <v>7.0000000000000007E-2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spans="1:51" x14ac:dyDescent="0.2">
      <c r="B43" s="2" t="s">
        <v>56</v>
      </c>
      <c r="C43" s="23">
        <f t="shared" ref="C43:F43" si="96">+C29/C28</f>
        <v>0.26180335296782925</v>
      </c>
      <c r="D43" s="23">
        <f t="shared" si="96"/>
        <v>0.24465418079929219</v>
      </c>
      <c r="E43" s="23">
        <f t="shared" si="96"/>
        <v>0.28993676106681365</v>
      </c>
      <c r="F43" s="23">
        <f t="shared" si="96"/>
        <v>0.2787172011661801</v>
      </c>
      <c r="G43" s="23">
        <f>+G29/G28</f>
        <v>0.31037551165687877</v>
      </c>
      <c r="H43" s="23">
        <f t="shared" ref="H43:J43" si="97">+H29/H28</f>
        <v>0.29273213162858919</v>
      </c>
      <c r="I43" s="23">
        <f t="shared" si="97"/>
        <v>0.26921492709448896</v>
      </c>
      <c r="J43" s="23">
        <f t="shared" si="97"/>
        <v>0.30050065302568563</v>
      </c>
      <c r="K43" s="23">
        <f t="shared" ref="K43" si="98">+K29/K28</f>
        <v>0.28000634215950587</v>
      </c>
      <c r="L43" s="23"/>
      <c r="M43" s="4"/>
      <c r="N43" s="23">
        <f t="shared" ref="N43" si="99">+N29/N28</f>
        <v>0.31917140812919542</v>
      </c>
      <c r="O43" s="23">
        <f t="shared" ref="O43:S43" si="100">+O29/O28</f>
        <v>0.22720019639130898</v>
      </c>
      <c r="P43" s="23">
        <f t="shared" si="100"/>
        <v>0.31628870475359705</v>
      </c>
      <c r="Q43" s="23">
        <f t="shared" si="100"/>
        <v>0.2496134594722087</v>
      </c>
      <c r="R43" s="23">
        <f t="shared" si="100"/>
        <v>0.28332153809860766</v>
      </c>
      <c r="S43" s="23">
        <f t="shared" si="100"/>
        <v>0.28386648999936925</v>
      </c>
      <c r="T43" s="23">
        <v>0.28000000000000003</v>
      </c>
      <c r="U43" s="23">
        <v>0.28000000000000003</v>
      </c>
      <c r="V43" s="23">
        <v>0.28000000000000003</v>
      </c>
      <c r="W43" s="23">
        <v>0.28000000000000003</v>
      </c>
      <c r="X43" s="23">
        <v>0.28000000000000003</v>
      </c>
      <c r="Y43" s="23">
        <v>0.28000000000000003</v>
      </c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spans="1:51" x14ac:dyDescent="0.2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spans="1:51" x14ac:dyDescent="0.2">
      <c r="A45" s="26" t="s">
        <v>103</v>
      </c>
      <c r="B45" s="3" t="s">
        <v>102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spans="1:51" x14ac:dyDescent="0.2">
      <c r="B46" s="2" t="s">
        <v>101</v>
      </c>
      <c r="C46" s="4"/>
      <c r="D46" s="4"/>
      <c r="E46" s="4">
        <v>8.6620000000000008</v>
      </c>
      <c r="F46" s="4">
        <v>9.8610000000000007</v>
      </c>
      <c r="G46" s="4">
        <v>8.9860000000000007</v>
      </c>
      <c r="H46" s="4"/>
      <c r="I46" s="4"/>
      <c r="J46" s="4"/>
      <c r="K46" s="4"/>
      <c r="L46" s="4"/>
      <c r="M46" s="4"/>
      <c r="N46" s="4">
        <v>9.9350000000000005</v>
      </c>
      <c r="O46" s="4">
        <v>12.234</v>
      </c>
      <c r="P46" s="4">
        <v>11.334</v>
      </c>
      <c r="Q46" s="4">
        <v>11.496</v>
      </c>
      <c r="R46" s="4">
        <v>9.6319999999999997</v>
      </c>
      <c r="S46" s="4">
        <v>9.8610000000000007</v>
      </c>
      <c r="T46" s="4">
        <v>8.3719999999999999</v>
      </c>
      <c r="U46" s="4">
        <v>7.43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spans="1:51" x14ac:dyDescent="0.2">
      <c r="B47" s="2" t="s">
        <v>82</v>
      </c>
      <c r="C47" s="4"/>
      <c r="D47" s="4"/>
      <c r="E47" s="4">
        <v>113.983</v>
      </c>
      <c r="F47" s="4">
        <v>112.738</v>
      </c>
      <c r="G47" s="4">
        <v>107.41</v>
      </c>
      <c r="H47" s="4"/>
      <c r="I47" s="4"/>
      <c r="J47" s="4"/>
      <c r="K47" s="4"/>
      <c r="L47" s="4"/>
      <c r="M47" s="4"/>
      <c r="N47" s="4">
        <v>122.96299999999999</v>
      </c>
      <c r="O47" s="4">
        <v>126.42100000000001</v>
      </c>
      <c r="P47" s="4">
        <v>113.938</v>
      </c>
      <c r="Q47" s="4">
        <v>109.946</v>
      </c>
      <c r="R47" s="4">
        <v>112.10299999999999</v>
      </c>
      <c r="S47" s="4">
        <v>112.738</v>
      </c>
      <c r="T47" s="4">
        <v>107.19799999999999</v>
      </c>
      <c r="U47" s="4">
        <v>110.14100000000001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spans="1:51" x14ac:dyDescent="0.2">
      <c r="B48" s="2" t="s">
        <v>83</v>
      </c>
      <c r="C48" s="4"/>
      <c r="D48" s="4"/>
      <c r="E48" s="4">
        <v>0.186</v>
      </c>
      <c r="F48" s="4">
        <v>3.5999999999999997E-2</v>
      </c>
      <c r="G48" s="4">
        <v>3.5999999999999997E-2</v>
      </c>
      <c r="H48" s="4"/>
      <c r="I48" s="4"/>
      <c r="J48" s="4"/>
      <c r="K48" s="4"/>
      <c r="L48" s="4"/>
      <c r="M48" s="4"/>
      <c r="N48" s="4">
        <v>0.125</v>
      </c>
      <c r="O48" s="4">
        <v>0.16500000000000001</v>
      </c>
      <c r="P48" s="4">
        <v>0.17599999999999999</v>
      </c>
      <c r="Q48" s="4">
        <v>0.186</v>
      </c>
      <c r="R48" s="4">
        <v>0.186</v>
      </c>
      <c r="S48" s="4">
        <v>3.5999999999999997E-2</v>
      </c>
      <c r="T48" s="4">
        <v>3.5999999999999997E-2</v>
      </c>
      <c r="U48" s="4">
        <v>3.5999999999999997E-2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</row>
    <row r="49" spans="2:51" x14ac:dyDescent="0.2">
      <c r="B49" s="2" t="s">
        <v>138</v>
      </c>
      <c r="C49" s="4"/>
      <c r="D49" s="4"/>
      <c r="E49" s="4">
        <v>0</v>
      </c>
      <c r="F49" s="4">
        <v>0</v>
      </c>
      <c r="G49" s="4">
        <v>0</v>
      </c>
      <c r="H49" s="4"/>
      <c r="I49" s="4"/>
      <c r="J49" s="4"/>
      <c r="K49" s="4"/>
      <c r="L49" s="4"/>
      <c r="M49" s="4"/>
      <c r="N49" s="4">
        <v>2.0630000000000002</v>
      </c>
      <c r="O49" s="4">
        <v>2.7890000000000001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</row>
    <row r="50" spans="2:51" x14ac:dyDescent="0.2">
      <c r="B50" s="2" t="s">
        <v>84</v>
      </c>
      <c r="C50" s="4">
        <f t="shared" ref="C50:D50" si="101">+SUM(C46:C49)</f>
        <v>0</v>
      </c>
      <c r="D50" s="4">
        <f t="shared" si="101"/>
        <v>0</v>
      </c>
      <c r="E50" s="4">
        <f>+SUM(E46:E49)</f>
        <v>122.83100000000002</v>
      </c>
      <c r="F50" s="4">
        <f>+SUM(F46:F49)</f>
        <v>122.63500000000001</v>
      </c>
      <c r="G50" s="4">
        <f>+SUM(G46:G49)</f>
        <v>116.432</v>
      </c>
      <c r="H50" s="4">
        <f>+SUM(H46:H49)</f>
        <v>0</v>
      </c>
      <c r="I50" s="4"/>
      <c r="J50" s="4"/>
      <c r="K50" s="4"/>
      <c r="L50" s="4"/>
      <c r="M50" s="4"/>
      <c r="N50" s="4">
        <f t="shared" ref="N50:R50" si="102">+SUM(N46:N49)</f>
        <v>135.08599999999998</v>
      </c>
      <c r="O50" s="4">
        <f t="shared" si="102"/>
        <v>141.60899999999998</v>
      </c>
      <c r="P50" s="4">
        <f>+SUM(P46:P49)</f>
        <v>125.44800000000001</v>
      </c>
      <c r="Q50" s="4">
        <f t="shared" si="102"/>
        <v>121.628</v>
      </c>
      <c r="R50" s="4">
        <f t="shared" si="102"/>
        <v>121.92100000000001</v>
      </c>
      <c r="S50" s="4">
        <f>+SUM(S46:S49)</f>
        <v>122.63500000000001</v>
      </c>
      <c r="T50" s="4">
        <f t="shared" ref="T50:U50" si="103">+SUM(T46:T48)</f>
        <v>115.60599999999999</v>
      </c>
      <c r="U50" s="4">
        <f t="shared" si="103"/>
        <v>117.607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spans="2:51" x14ac:dyDescent="0.2">
      <c r="B51" s="2" t="s">
        <v>85</v>
      </c>
      <c r="C51" s="4"/>
      <c r="D51" s="4"/>
      <c r="E51" s="4">
        <v>137.36799999999999</v>
      </c>
      <c r="F51" s="4">
        <v>147.75399999999999</v>
      </c>
      <c r="G51" s="4">
        <v>122.65300000000001</v>
      </c>
      <c r="H51" s="4"/>
      <c r="I51" s="4"/>
      <c r="J51" s="4"/>
      <c r="K51" s="4"/>
      <c r="L51" s="4"/>
      <c r="M51" s="4"/>
      <c r="N51" s="4">
        <v>89.064999999999998</v>
      </c>
      <c r="O51" s="4">
        <v>88.728999999999999</v>
      </c>
      <c r="P51" s="4">
        <v>89.108000000000004</v>
      </c>
      <c r="Q51" s="4">
        <v>120.026</v>
      </c>
      <c r="R51" s="4">
        <v>167.733</v>
      </c>
      <c r="S51" s="4">
        <v>147.75399999999999</v>
      </c>
      <c r="T51" s="4">
        <v>142.268</v>
      </c>
      <c r="U51" s="4">
        <v>165.87700000000001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spans="2:51" x14ac:dyDescent="0.2">
      <c r="B52" s="2" t="s">
        <v>86</v>
      </c>
      <c r="C52" s="4"/>
      <c r="D52" s="4"/>
      <c r="E52" s="4">
        <v>70.528999999999996</v>
      </c>
      <c r="F52" s="4">
        <v>81.716999999999999</v>
      </c>
      <c r="G52" s="4">
        <v>72.069999999999993</v>
      </c>
      <c r="H52" s="4"/>
      <c r="I52" s="4"/>
      <c r="J52" s="4"/>
      <c r="K52" s="4"/>
      <c r="L52" s="4"/>
      <c r="M52" s="4"/>
      <c r="N52" s="4">
        <v>82.2</v>
      </c>
      <c r="O52" s="4">
        <v>75.039000000000001</v>
      </c>
      <c r="P52" s="4">
        <f>69.349+0.001</f>
        <v>69.350000000000009</v>
      </c>
      <c r="Q52" s="4">
        <v>66.677000000000007</v>
      </c>
      <c r="R52" s="4">
        <v>80.674999999999997</v>
      </c>
      <c r="S52" s="4">
        <v>81.716999999999999</v>
      </c>
      <c r="T52" s="4">
        <v>84.718999999999994</v>
      </c>
      <c r="U52" s="4">
        <v>91.635999999999996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spans="2:51" x14ac:dyDescent="0.2">
      <c r="B53" s="2" t="s">
        <v>87</v>
      </c>
      <c r="C53" s="4"/>
      <c r="D53" s="4"/>
      <c r="E53" s="4">
        <v>9.1669999999999998</v>
      </c>
      <c r="F53" s="4">
        <v>13.132</v>
      </c>
      <c r="G53" s="4">
        <v>9.468</v>
      </c>
      <c r="H53" s="4"/>
      <c r="I53" s="4"/>
      <c r="J53" s="4"/>
      <c r="K53" s="4"/>
      <c r="L53" s="4"/>
      <c r="M53" s="4"/>
      <c r="N53" s="4">
        <f>9.297+0.659+1.275</f>
        <v>11.231000000000002</v>
      </c>
      <c r="O53" s="4">
        <f>5.878+0.719+5.319</f>
        <v>11.916</v>
      </c>
      <c r="P53" s="4">
        <v>6.1109999999999998</v>
      </c>
      <c r="Q53" s="4">
        <v>8.6430000000000007</v>
      </c>
      <c r="R53" s="4">
        <v>9.3089999999999993</v>
      </c>
      <c r="S53" s="4">
        <v>13.132</v>
      </c>
      <c r="T53" s="4">
        <v>6.7519999999999998</v>
      </c>
      <c r="U53" s="4">
        <f>7.471</f>
        <v>7.4710000000000001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  <row r="54" spans="2:51" x14ac:dyDescent="0.2">
      <c r="B54" s="2" t="s">
        <v>88</v>
      </c>
      <c r="C54" s="4"/>
      <c r="D54" s="4"/>
      <c r="E54" s="4">
        <v>18.651</v>
      </c>
      <c r="F54" s="4">
        <v>67.082999999999998</v>
      </c>
      <c r="G54" s="4">
        <v>72.837999999999994</v>
      </c>
      <c r="H54" s="4"/>
      <c r="I54" s="4"/>
      <c r="J54" s="4"/>
      <c r="K54" s="4"/>
      <c r="L54" s="4"/>
      <c r="M54" s="4"/>
      <c r="N54" s="4">
        <v>11.045</v>
      </c>
      <c r="O54" s="4">
        <v>14.666</v>
      </c>
      <c r="P54" s="4">
        <v>17.018000000000001</v>
      </c>
      <c r="Q54" s="4">
        <v>7.2080000000000002</v>
      </c>
      <c r="R54" s="4">
        <v>1.103</v>
      </c>
      <c r="S54" s="4">
        <v>67.082999999999998</v>
      </c>
      <c r="T54" s="4">
        <v>110.736</v>
      </c>
      <c r="U54" s="4">
        <v>116.907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</row>
    <row r="55" spans="2:51" x14ac:dyDescent="0.2">
      <c r="B55" s="2" t="s">
        <v>89</v>
      </c>
      <c r="C55" s="4">
        <f t="shared" ref="C55:E55" si="104">+SUM(C51:C54)</f>
        <v>0</v>
      </c>
      <c r="D55" s="4">
        <f t="shared" si="104"/>
        <v>0</v>
      </c>
      <c r="E55" s="4">
        <f t="shared" si="104"/>
        <v>235.715</v>
      </c>
      <c r="F55" s="4">
        <f>+SUM(F51:F54)</f>
        <v>309.68600000000004</v>
      </c>
      <c r="G55" s="4">
        <f t="shared" ref="G55:H55" si="105">+SUM(G51:G54)</f>
        <v>277.029</v>
      </c>
      <c r="H55" s="4">
        <f t="shared" si="105"/>
        <v>0</v>
      </c>
      <c r="I55" s="4"/>
      <c r="J55" s="4"/>
      <c r="K55" s="4"/>
      <c r="L55" s="4"/>
      <c r="M55" s="4"/>
      <c r="N55" s="4">
        <f t="shared" ref="N55:R55" si="106">+SUM(N51:N54)</f>
        <v>193.54099999999997</v>
      </c>
      <c r="O55" s="4">
        <f t="shared" si="106"/>
        <v>190.35</v>
      </c>
      <c r="P55" s="4">
        <f t="shared" si="106"/>
        <v>181.58700000000002</v>
      </c>
      <c r="Q55" s="4">
        <f t="shared" si="106"/>
        <v>202.554</v>
      </c>
      <c r="R55" s="4">
        <f t="shared" si="106"/>
        <v>258.82000000000005</v>
      </c>
      <c r="S55" s="4">
        <f>+SUM(S51:S54)</f>
        <v>309.68600000000004</v>
      </c>
      <c r="T55" s="4">
        <f t="shared" ref="T55:U55" si="107">+SUM(T51:T54)</f>
        <v>344.47500000000002</v>
      </c>
      <c r="U55" s="4">
        <f t="shared" si="107"/>
        <v>381.89100000000002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spans="2:51" x14ac:dyDescent="0.2">
      <c r="B56" s="2" t="s">
        <v>90</v>
      </c>
      <c r="C56" s="4"/>
      <c r="D56" s="4"/>
      <c r="E56" s="4">
        <f>0.388+0.028</f>
        <v>0.41600000000000004</v>
      </c>
      <c r="F56" s="4">
        <v>1.0209999999999999</v>
      </c>
      <c r="G56" s="4">
        <f>0.699+0.008</f>
        <v>0.70699999999999996</v>
      </c>
      <c r="H56" s="4"/>
      <c r="I56" s="4"/>
      <c r="J56" s="4"/>
      <c r="K56" s="4"/>
      <c r="L56" s="4"/>
      <c r="M56" s="4"/>
      <c r="N56" s="4">
        <v>0</v>
      </c>
      <c r="O56" s="4">
        <v>0</v>
      </c>
      <c r="P56" s="4">
        <f>0.755+0.088</f>
        <v>0.84299999999999997</v>
      </c>
      <c r="Q56" s="4">
        <f>1.327+0.124</f>
        <v>1.4510000000000001</v>
      </c>
      <c r="R56" s="4">
        <v>2.032</v>
      </c>
      <c r="S56" s="4">
        <v>1.0209999999999999</v>
      </c>
      <c r="T56" s="4">
        <v>0.51900000000000002</v>
      </c>
      <c r="U56" s="4">
        <v>0.60299999999999998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spans="2:51" x14ac:dyDescent="0.2">
      <c r="B57" s="1" t="s">
        <v>91</v>
      </c>
      <c r="C57" s="28">
        <f t="shared" ref="C57:E57" si="108">+C50+C55+C56</f>
        <v>0</v>
      </c>
      <c r="D57" s="28">
        <f t="shared" si="108"/>
        <v>0</v>
      </c>
      <c r="E57" s="28">
        <f t="shared" si="108"/>
        <v>358.96200000000005</v>
      </c>
      <c r="F57" s="28">
        <f>+F50+F55+F56</f>
        <v>433.34200000000004</v>
      </c>
      <c r="G57" s="28">
        <f>+G50+G55+G56</f>
        <v>394.16800000000001</v>
      </c>
      <c r="H57" s="28">
        <f>+H50+H55+H56</f>
        <v>0</v>
      </c>
      <c r="I57" s="28"/>
      <c r="J57" s="28"/>
      <c r="K57" s="28"/>
      <c r="L57" s="28"/>
      <c r="M57" s="28"/>
      <c r="N57" s="28">
        <f t="shared" ref="N57:P57" si="109">+N50+N55+N56</f>
        <v>328.62699999999995</v>
      </c>
      <c r="O57" s="28">
        <f t="shared" si="109"/>
        <v>331.95899999999995</v>
      </c>
      <c r="P57" s="28">
        <f t="shared" si="109"/>
        <v>307.87800000000004</v>
      </c>
      <c r="Q57" s="28">
        <f>+Q50+Q55+Q56</f>
        <v>325.63300000000004</v>
      </c>
      <c r="R57" s="28">
        <f>+R50+R55+R56</f>
        <v>382.77300000000002</v>
      </c>
      <c r="S57" s="28">
        <f>+S50+S55+S56</f>
        <v>433.34200000000004</v>
      </c>
      <c r="T57" s="28">
        <f>+T50+T55+T56</f>
        <v>460.6</v>
      </c>
      <c r="U57" s="28">
        <f>+U50+U55+U56</f>
        <v>500.10100000000006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spans="2:51" x14ac:dyDescent="0.2">
      <c r="B58" s="2" t="s">
        <v>92</v>
      </c>
      <c r="C58" s="4"/>
      <c r="D58" s="4"/>
      <c r="E58" s="4">
        <v>211.75899999999999</v>
      </c>
      <c r="F58" s="4">
        <v>232.178</v>
      </c>
      <c r="G58" s="4">
        <v>232.91</v>
      </c>
      <c r="H58" s="4"/>
      <c r="I58" s="4"/>
      <c r="J58" s="4"/>
      <c r="K58" s="4"/>
      <c r="L58" s="4"/>
      <c r="M58" s="4"/>
      <c r="N58" s="4">
        <v>169.45599999999999</v>
      </c>
      <c r="O58" s="4">
        <v>171.197</v>
      </c>
      <c r="P58" s="4">
        <v>175.86099999999999</v>
      </c>
      <c r="Q58" s="4">
        <v>193.04900000000001</v>
      </c>
      <c r="R58" s="4">
        <v>205.255</v>
      </c>
      <c r="S58" s="4">
        <v>232.178</v>
      </c>
      <c r="T58" s="4">
        <v>261.048</v>
      </c>
      <c r="U58" s="4">
        <v>282.279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spans="2:51" x14ac:dyDescent="0.2">
      <c r="B59" s="2" t="s">
        <v>93</v>
      </c>
      <c r="C59" s="4"/>
      <c r="D59" s="4"/>
      <c r="E59" s="4">
        <v>1.18</v>
      </c>
      <c r="F59" s="4">
        <v>1.28</v>
      </c>
      <c r="G59" s="4">
        <v>1.355</v>
      </c>
      <c r="H59" s="4"/>
      <c r="I59" s="4"/>
      <c r="J59" s="4"/>
      <c r="K59" s="4"/>
      <c r="L59" s="4"/>
      <c r="M59" s="4"/>
      <c r="N59" s="4">
        <v>1.069</v>
      </c>
      <c r="O59" s="4">
        <v>0.75800000000000001</v>
      </c>
      <c r="P59" s="4">
        <v>0.86799999999999999</v>
      </c>
      <c r="Q59" s="4">
        <v>0.97499999999999998</v>
      </c>
      <c r="R59" s="4">
        <v>1.105</v>
      </c>
      <c r="S59" s="4">
        <v>1.28</v>
      </c>
      <c r="T59" s="4">
        <v>1.496</v>
      </c>
      <c r="U59" s="4">
        <v>1.7230000000000001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2:51" x14ac:dyDescent="0.2">
      <c r="B60" s="2" t="s">
        <v>94</v>
      </c>
      <c r="C60" s="4"/>
      <c r="D60" s="4"/>
      <c r="E60" s="4">
        <v>7.202</v>
      </c>
      <c r="F60" s="4">
        <v>9.1069999999999993</v>
      </c>
      <c r="G60" s="4">
        <v>13.666</v>
      </c>
      <c r="H60" s="4"/>
      <c r="I60" s="4"/>
      <c r="J60" s="4"/>
      <c r="K60" s="4"/>
      <c r="L60" s="4"/>
      <c r="M60" s="4"/>
      <c r="N60" s="4">
        <v>1.9830000000000001</v>
      </c>
      <c r="O60" s="4">
        <v>2.6549999999999998</v>
      </c>
      <c r="P60" s="4">
        <v>4.3769999999999998</v>
      </c>
      <c r="Q60" s="4">
        <v>4.0650000000000004</v>
      </c>
      <c r="R60" s="4">
        <v>4.0170000000000003</v>
      </c>
      <c r="S60" s="4">
        <v>9.1069999999999993</v>
      </c>
      <c r="T60" s="4">
        <v>15.007</v>
      </c>
      <c r="U60" s="4">
        <v>12.847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spans="2:51" x14ac:dyDescent="0.2">
      <c r="B61" s="2" t="s">
        <v>95</v>
      </c>
      <c r="C61" s="4"/>
      <c r="D61" s="4"/>
      <c r="E61" s="4">
        <v>57.959000000000003</v>
      </c>
      <c r="F61" s="4">
        <v>52.615000000000002</v>
      </c>
      <c r="G61" s="4">
        <v>61.795000000000002</v>
      </c>
      <c r="H61" s="4"/>
      <c r="I61" s="4"/>
      <c r="J61" s="4"/>
      <c r="K61" s="4"/>
      <c r="L61" s="4"/>
      <c r="M61" s="4"/>
      <c r="N61" s="4">
        <v>2.6280000000000001</v>
      </c>
      <c r="O61" s="4">
        <v>2.9169999999999998</v>
      </c>
      <c r="P61" s="4">
        <v>39.374000000000002</v>
      </c>
      <c r="Q61" s="4">
        <v>39.802</v>
      </c>
      <c r="R61" s="4">
        <v>43.655999999999999</v>
      </c>
      <c r="S61" s="4">
        <v>52.615000000000002</v>
      </c>
      <c r="T61" s="4">
        <v>53.598999999999997</v>
      </c>
      <c r="U61" s="4">
        <v>55.892000000000003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spans="2:51" x14ac:dyDescent="0.2">
      <c r="B62" s="2" t="s">
        <v>6</v>
      </c>
      <c r="C62" s="4"/>
      <c r="D62" s="4"/>
      <c r="E62" s="4">
        <v>23.021000000000001</v>
      </c>
      <c r="F62" s="4">
        <v>20.841999999999999</v>
      </c>
      <c r="G62" s="4">
        <v>19.061</v>
      </c>
      <c r="H62" s="4"/>
      <c r="I62" s="4"/>
      <c r="J62" s="4"/>
      <c r="K62" s="4"/>
      <c r="L62" s="4"/>
      <c r="M62" s="4"/>
      <c r="N62" s="4">
        <f>23.704+18.509+2.702</f>
        <v>44.914999999999999</v>
      </c>
      <c r="O62" s="4">
        <f>16.83+38.868+2.464</f>
        <v>58.161999999999999</v>
      </c>
      <c r="P62" s="4">
        <v>28.79</v>
      </c>
      <c r="Q62" s="4">
        <v>14.048999999999999</v>
      </c>
      <c r="R62" s="4">
        <v>42.52</v>
      </c>
      <c r="S62" s="4">
        <v>20.841999999999999</v>
      </c>
      <c r="T62" s="4">
        <v>16.056000000000001</v>
      </c>
      <c r="U62" s="4">
        <v>12.127000000000001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spans="2:51" x14ac:dyDescent="0.2">
      <c r="B63" s="2" t="s">
        <v>96</v>
      </c>
      <c r="C63" s="4"/>
      <c r="D63" s="4"/>
      <c r="E63" s="4">
        <v>52.366999999999997</v>
      </c>
      <c r="F63" s="4">
        <v>106.184</v>
      </c>
      <c r="G63" s="4">
        <v>58.438000000000002</v>
      </c>
      <c r="H63" s="4"/>
      <c r="I63" s="4"/>
      <c r="J63" s="4"/>
      <c r="K63" s="4"/>
      <c r="L63" s="4"/>
      <c r="M63" s="4"/>
      <c r="N63" s="4">
        <v>92.646000000000001</v>
      </c>
      <c r="O63" s="4">
        <v>84.103999999999999</v>
      </c>
      <c r="P63" s="4">
        <v>50.866</v>
      </c>
      <c r="Q63" s="4">
        <v>64.894000000000005</v>
      </c>
      <c r="R63" s="4">
        <v>78.052000000000007</v>
      </c>
      <c r="S63" s="4">
        <v>106.184</v>
      </c>
      <c r="T63" s="4">
        <v>103.119</v>
      </c>
      <c r="U63" s="4">
        <v>124.33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spans="2:51" x14ac:dyDescent="0.2">
      <c r="B64" s="2" t="s">
        <v>97</v>
      </c>
      <c r="C64" s="4"/>
      <c r="D64" s="4"/>
      <c r="E64" s="4">
        <v>5.0010000000000003</v>
      </c>
      <c r="F64" s="4">
        <v>10.337</v>
      </c>
      <c r="G64" s="4">
        <v>6.1449999999999996</v>
      </c>
      <c r="H64" s="4"/>
      <c r="I64" s="4"/>
      <c r="J64" s="4"/>
      <c r="K64" s="4"/>
      <c r="L64" s="4"/>
      <c r="M64" s="4"/>
      <c r="N64" s="4">
        <f>0.312+11.749</f>
        <v>12.061</v>
      </c>
      <c r="O64" s="4">
        <f>9.08+0.767</f>
        <v>9.8469999999999995</v>
      </c>
      <c r="P64" s="4">
        <v>7.742</v>
      </c>
      <c r="Q64" s="4">
        <v>8.5690000000000008</v>
      </c>
      <c r="R64" s="4">
        <v>7.694</v>
      </c>
      <c r="S64" s="4">
        <v>10.337</v>
      </c>
      <c r="T64" s="4">
        <v>10.273999999999999</v>
      </c>
      <c r="U64" s="4">
        <v>10.903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spans="1:51" x14ac:dyDescent="0.2">
      <c r="B65" s="2" t="s">
        <v>98</v>
      </c>
      <c r="C65" s="4"/>
      <c r="D65" s="4"/>
      <c r="E65" s="4">
        <v>0.47399999999999998</v>
      </c>
      <c r="F65" s="4">
        <v>0.79900000000000004</v>
      </c>
      <c r="G65" s="4">
        <v>0.79900000000000004</v>
      </c>
      <c r="H65" s="4"/>
      <c r="I65" s="4"/>
      <c r="J65" s="4"/>
      <c r="K65" s="4"/>
      <c r="L65" s="4"/>
      <c r="M65" s="4"/>
      <c r="N65" s="4">
        <v>3.8690000000000002</v>
      </c>
      <c r="O65" s="4">
        <v>2.319</v>
      </c>
      <c r="P65" s="4">
        <v>0</v>
      </c>
      <c r="Q65" s="4">
        <v>0.23</v>
      </c>
      <c r="R65" s="4">
        <v>0.47399999999999998</v>
      </c>
      <c r="S65" s="4">
        <v>0.79900000000000004</v>
      </c>
      <c r="T65" s="4">
        <v>0</v>
      </c>
      <c r="U65" s="4">
        <v>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spans="1:51" x14ac:dyDescent="0.2">
      <c r="B66" s="2" t="s">
        <v>99</v>
      </c>
      <c r="C66" s="4">
        <f t="shared" ref="C66:G66" si="110">+SUM(C59:C65)</f>
        <v>0</v>
      </c>
      <c r="D66" s="4">
        <f t="shared" si="110"/>
        <v>0</v>
      </c>
      <c r="E66" s="4">
        <f t="shared" si="110"/>
        <v>147.20400000000001</v>
      </c>
      <c r="F66" s="4">
        <f t="shared" si="110"/>
        <v>201.16399999999999</v>
      </c>
      <c r="G66" s="4">
        <f t="shared" si="110"/>
        <v>161.25900000000001</v>
      </c>
      <c r="H66" s="4">
        <f t="shared" ref="H66:Q66" si="111">+SUM(H59:H65)</f>
        <v>0</v>
      </c>
      <c r="I66" s="4"/>
      <c r="J66" s="4"/>
      <c r="K66" s="4"/>
      <c r="L66" s="4"/>
      <c r="M66" s="4"/>
      <c r="N66" s="4">
        <f t="shared" si="111"/>
        <v>159.17099999999999</v>
      </c>
      <c r="O66" s="4">
        <f t="shared" si="111"/>
        <v>160.762</v>
      </c>
      <c r="P66" s="4">
        <f t="shared" si="111"/>
        <v>132.017</v>
      </c>
      <c r="Q66" s="4">
        <f t="shared" si="111"/>
        <v>132.58399999999997</v>
      </c>
      <c r="R66" s="4">
        <f>+SUM(R59:R65)</f>
        <v>177.518</v>
      </c>
      <c r="S66" s="4">
        <f t="shared" ref="S66:U66" si="112">+SUM(S59:S65)</f>
        <v>201.16399999999999</v>
      </c>
      <c r="T66" s="4">
        <f t="shared" si="112"/>
        <v>199.55099999999999</v>
      </c>
      <c r="U66" s="4">
        <f t="shared" si="112"/>
        <v>217.82199999999997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spans="1:51" x14ac:dyDescent="0.2">
      <c r="B67" s="1" t="s">
        <v>100</v>
      </c>
      <c r="C67" s="28">
        <f t="shared" ref="C67:E67" si="113">+C66+C58</f>
        <v>0</v>
      </c>
      <c r="D67" s="28">
        <f t="shared" si="113"/>
        <v>0</v>
      </c>
      <c r="E67" s="28">
        <f t="shared" si="113"/>
        <v>358.96299999999997</v>
      </c>
      <c r="F67" s="28">
        <f>+F66+F58</f>
        <v>433.34199999999998</v>
      </c>
      <c r="G67" s="28">
        <f>+G66+G58</f>
        <v>394.16899999999998</v>
      </c>
      <c r="H67" s="28">
        <f>+H66+H58</f>
        <v>0</v>
      </c>
      <c r="I67" s="28"/>
      <c r="J67" s="28"/>
      <c r="K67" s="28"/>
      <c r="L67" s="28"/>
      <c r="M67" s="28"/>
      <c r="N67" s="28">
        <f t="shared" ref="N67:R67" si="114">+N66+N58</f>
        <v>328.62699999999995</v>
      </c>
      <c r="O67" s="28">
        <f t="shared" si="114"/>
        <v>331.959</v>
      </c>
      <c r="P67" s="28">
        <f t="shared" si="114"/>
        <v>307.87799999999999</v>
      </c>
      <c r="Q67" s="28">
        <f t="shared" si="114"/>
        <v>325.63299999999998</v>
      </c>
      <c r="R67" s="28">
        <f t="shared" si="114"/>
        <v>382.77300000000002</v>
      </c>
      <c r="S67" s="28">
        <f>+S66+S58</f>
        <v>433.34199999999998</v>
      </c>
      <c r="T67" s="28">
        <f t="shared" ref="T67:U67" si="115">+T66+T58</f>
        <v>460.59899999999999</v>
      </c>
      <c r="U67" s="28">
        <f t="shared" si="115"/>
        <v>500.101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spans="1:51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spans="1:51" x14ac:dyDescent="0.2">
      <c r="A69" s="26" t="s">
        <v>103</v>
      </c>
      <c r="B69" s="3" t="s">
        <v>105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spans="1:51" x14ac:dyDescent="0.2">
      <c r="B70" s="2" t="s">
        <v>51</v>
      </c>
      <c r="C70" s="4">
        <f t="shared" ref="C70:H70" si="116">+C30</f>
        <v>8.146000000000015</v>
      </c>
      <c r="D70" s="4">
        <f t="shared" si="116"/>
        <v>20.487999999999996</v>
      </c>
      <c r="E70" s="4">
        <f t="shared" si="116"/>
        <v>15.494999999999974</v>
      </c>
      <c r="F70" s="4">
        <f t="shared" si="116"/>
        <v>18.555000000000064</v>
      </c>
      <c r="G70" s="4">
        <f t="shared" si="116"/>
        <v>15.499999999999979</v>
      </c>
      <c r="H70" s="4">
        <f t="shared" si="116"/>
        <v>26.995000000000033</v>
      </c>
      <c r="I70" s="4"/>
      <c r="J70" s="4"/>
      <c r="K70" s="4"/>
      <c r="L70" s="4"/>
      <c r="M70" s="4"/>
      <c r="N70" s="4">
        <f t="shared" ref="N70:R70" si="117">+N30</f>
        <v>19.982999999999954</v>
      </c>
      <c r="O70" s="4">
        <f t="shared" si="117"/>
        <v>12.59200000000005</v>
      </c>
      <c r="P70" s="4">
        <f t="shared" si="117"/>
        <v>25.084000000000096</v>
      </c>
      <c r="Q70" s="4">
        <f t="shared" si="117"/>
        <v>28.633999999999958</v>
      </c>
      <c r="R70" s="4">
        <f t="shared" si="117"/>
        <v>24.304000000000059</v>
      </c>
      <c r="S70" s="4">
        <f>+S30</f>
        <v>34.049999999999969</v>
      </c>
      <c r="T70" s="4">
        <v>41.973999999999997</v>
      </c>
      <c r="U70" s="4">
        <v>37.023000000000003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spans="1:51" x14ac:dyDescent="0.2">
      <c r="B71" s="2" t="s">
        <v>106</v>
      </c>
      <c r="C71" s="4"/>
      <c r="D71" s="4"/>
      <c r="E71" s="4">
        <v>6.3280000000000003</v>
      </c>
      <c r="F71" s="4"/>
      <c r="G71" s="4">
        <v>6.6710000000000003</v>
      </c>
      <c r="H71" s="4"/>
      <c r="I71" s="4"/>
      <c r="J71" s="4"/>
      <c r="K71" s="4"/>
      <c r="L71" s="4"/>
      <c r="M71" s="4"/>
      <c r="N71" s="4">
        <f>+N29</f>
        <v>9.3680000000000003</v>
      </c>
      <c r="O71" s="4">
        <f>+O29</f>
        <v>3.702</v>
      </c>
      <c r="P71" s="4">
        <v>11.218999999999999</v>
      </c>
      <c r="Q71" s="4">
        <v>9.1219999999999999</v>
      </c>
      <c r="R71" s="4">
        <v>9.19</v>
      </c>
      <c r="S71" s="4">
        <v>13.022</v>
      </c>
      <c r="T71" s="4">
        <v>0</v>
      </c>
      <c r="U71" s="95">
        <v>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spans="1:51" x14ac:dyDescent="0.2">
      <c r="B72" s="2" t="s">
        <v>44</v>
      </c>
      <c r="C72" s="4"/>
      <c r="D72" s="4"/>
      <c r="E72" s="4">
        <v>10.353</v>
      </c>
      <c r="F72" s="4"/>
      <c r="G72" s="4">
        <v>10.414999999999999</v>
      </c>
      <c r="H72" s="4"/>
      <c r="I72" s="4"/>
      <c r="J72" s="4"/>
      <c r="K72" s="4"/>
      <c r="L72" s="4"/>
      <c r="M72" s="4"/>
      <c r="N72" s="4">
        <v>16.538</v>
      </c>
      <c r="O72" s="4">
        <v>18.751999999999999</v>
      </c>
      <c r="P72" s="4">
        <v>18.495000000000001</v>
      </c>
      <c r="Q72" s="4">
        <v>18.446000000000002</v>
      </c>
      <c r="R72" s="4">
        <v>20.321999999999999</v>
      </c>
      <c r="S72" s="4">
        <v>20.478999999999999</v>
      </c>
      <c r="T72" s="4">
        <v>20.407</v>
      </c>
      <c r="U72" s="4">
        <v>20.417999999999999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</row>
    <row r="73" spans="1:51" x14ac:dyDescent="0.2">
      <c r="B73" s="2" t="s">
        <v>107</v>
      </c>
      <c r="C73" s="4"/>
      <c r="D73" s="4"/>
      <c r="E73" s="4">
        <v>-3.4000000000000002E-2</v>
      </c>
      <c r="F73" s="4"/>
      <c r="G73" s="4">
        <v>0</v>
      </c>
      <c r="H73" s="4"/>
      <c r="I73" s="4"/>
      <c r="J73" s="4"/>
      <c r="K73" s="4"/>
      <c r="L73" s="4"/>
      <c r="M73" s="4"/>
      <c r="N73" s="4">
        <v>-0.26</v>
      </c>
      <c r="O73" s="4">
        <v>-2.4E-2</v>
      </c>
      <c r="P73" s="4">
        <v>-8.4000000000000005E-2</v>
      </c>
      <c r="Q73" s="4">
        <v>-2.1000000000000001E-2</v>
      </c>
      <c r="R73" s="4">
        <v>-0.04</v>
      </c>
      <c r="S73" s="4">
        <v>-4.2000000000000003E-2</v>
      </c>
      <c r="T73" s="4">
        <v>0</v>
      </c>
      <c r="U73" s="4">
        <v>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</row>
    <row r="74" spans="1:51" x14ac:dyDescent="0.2">
      <c r="B74" s="2" t="s">
        <v>47</v>
      </c>
      <c r="C74" s="4"/>
      <c r="D74" s="4"/>
      <c r="E74" s="4">
        <v>0</v>
      </c>
      <c r="F74" s="4"/>
      <c r="G74" s="4">
        <v>0</v>
      </c>
      <c r="H74" s="4"/>
      <c r="I74" s="4"/>
      <c r="J74" s="4"/>
      <c r="K74" s="4"/>
      <c r="L74" s="4"/>
      <c r="M74" s="4"/>
      <c r="N74" s="4">
        <v>-5.5E-2</v>
      </c>
      <c r="O74" s="4">
        <v>-0.18</v>
      </c>
      <c r="P74" s="4">
        <v>-5.0999999999999997E-2</v>
      </c>
      <c r="Q74" s="4">
        <v>-2.3E-2</v>
      </c>
      <c r="R74" s="4">
        <v>-4.3999999999999997E-2</v>
      </c>
      <c r="S74" s="4">
        <v>-0.72899999999999998</v>
      </c>
      <c r="T74" s="4">
        <v>0</v>
      </c>
      <c r="U74" s="4">
        <v>-1.708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</row>
    <row r="75" spans="1:51" x14ac:dyDescent="0.2">
      <c r="B75" s="2" t="s">
        <v>108</v>
      </c>
      <c r="C75" s="4"/>
      <c r="D75" s="4"/>
      <c r="E75" s="4">
        <v>0</v>
      </c>
      <c r="F75" s="4"/>
      <c r="G75" s="4">
        <v>0</v>
      </c>
      <c r="H75" s="4"/>
      <c r="I75" s="4"/>
      <c r="J75" s="4"/>
      <c r="K75" s="4"/>
      <c r="L75" s="4"/>
      <c r="M75" s="4"/>
      <c r="N75" s="4">
        <v>0.79200000000000004</v>
      </c>
      <c r="O75" s="4">
        <v>0.63500000000000001</v>
      </c>
      <c r="P75" s="4">
        <v>0.56299999999999994</v>
      </c>
      <c r="Q75" s="4">
        <v>0.438</v>
      </c>
      <c r="R75" s="4">
        <v>0.65600000000000003</v>
      </c>
      <c r="S75" s="4">
        <v>1.1259999999999999</v>
      </c>
      <c r="T75" s="4">
        <v>-1.2999999999999999E-2</v>
      </c>
      <c r="U75" s="95">
        <v>3.9E-2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</row>
    <row r="76" spans="1:51" x14ac:dyDescent="0.2">
      <c r="B76" s="2" t="s">
        <v>109</v>
      </c>
      <c r="C76" s="4"/>
      <c r="D76" s="4"/>
      <c r="E76" s="4">
        <v>0</v>
      </c>
      <c r="F76" s="4"/>
      <c r="G76" s="4">
        <v>0</v>
      </c>
      <c r="H76" s="4"/>
      <c r="I76" s="4"/>
      <c r="J76" s="4"/>
      <c r="K76" s="4"/>
      <c r="L76" s="4"/>
      <c r="M76" s="4"/>
      <c r="N76" s="4">
        <v>-0.50600000000000001</v>
      </c>
      <c r="O76" s="4">
        <v>0.11899999999999999</v>
      </c>
      <c r="P76" s="4">
        <v>0</v>
      </c>
      <c r="Q76" s="4">
        <v>0</v>
      </c>
      <c r="R76" s="4">
        <v>-0.58599999999999997</v>
      </c>
      <c r="S76" s="4">
        <v>-1.115</v>
      </c>
      <c r="T76" s="4">
        <v>0</v>
      </c>
      <c r="U76" s="4">
        <v>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</row>
    <row r="77" spans="1:51" x14ac:dyDescent="0.2">
      <c r="B77" s="2" t="s">
        <v>110</v>
      </c>
      <c r="C77" s="4"/>
      <c r="D77" s="4"/>
      <c r="E77" s="4">
        <v>0</v>
      </c>
      <c r="F77" s="4"/>
      <c r="G77" s="4">
        <v>0</v>
      </c>
      <c r="H77" s="4"/>
      <c r="I77" s="4"/>
      <c r="J77" s="4"/>
      <c r="K77" s="4"/>
      <c r="L77" s="4"/>
      <c r="M77" s="4"/>
      <c r="N77" s="4">
        <v>4.0000000000000001E-3</v>
      </c>
      <c r="O77" s="4">
        <v>-0.52400000000000002</v>
      </c>
      <c r="P77" s="4">
        <v>-0.52</v>
      </c>
      <c r="Q77" s="4">
        <v>-0.29099999999999998</v>
      </c>
      <c r="R77" s="4">
        <v>0</v>
      </c>
      <c r="S77" s="4">
        <v>0.624</v>
      </c>
      <c r="T77" s="4">
        <v>-1.7310000000000001</v>
      </c>
      <c r="U77" s="4">
        <v>-1.5880000000000001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</row>
    <row r="78" spans="1:51" x14ac:dyDescent="0.2">
      <c r="B78" s="2" t="s">
        <v>111</v>
      </c>
      <c r="C78" s="4"/>
      <c r="D78" s="4"/>
      <c r="E78" s="4">
        <v>-4.8789999999999996</v>
      </c>
      <c r="F78" s="4"/>
      <c r="G78" s="4">
        <v>-4.2679999999999998</v>
      </c>
      <c r="H78" s="4"/>
      <c r="I78" s="4"/>
      <c r="J78" s="4"/>
      <c r="K78" s="4"/>
      <c r="L78" s="4"/>
      <c r="M78" s="4"/>
      <c r="N78" s="4">
        <v>-11.308</v>
      </c>
      <c r="O78" s="4">
        <v>-11.878</v>
      </c>
      <c r="P78" s="4">
        <v>-10.15</v>
      </c>
      <c r="Q78" s="4">
        <v>-11.417</v>
      </c>
      <c r="R78" s="4">
        <v>-9.4649999999999999</v>
      </c>
      <c r="S78" s="4">
        <v>-9.1189999999999998</v>
      </c>
      <c r="T78" s="4">
        <v>-9.26</v>
      </c>
      <c r="U78" s="4">
        <v>-16.462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79" spans="1:51" x14ac:dyDescent="0.2">
      <c r="B79" s="2" t="s">
        <v>112</v>
      </c>
      <c r="C79" s="4"/>
      <c r="D79" s="4"/>
      <c r="E79" s="4">
        <v>0</v>
      </c>
      <c r="F79" s="4"/>
      <c r="G79" s="4">
        <v>5.1999999999999998E-2</v>
      </c>
      <c r="H79" s="4"/>
      <c r="I79" s="4"/>
      <c r="J79" s="4"/>
      <c r="K79" s="4"/>
      <c r="L79" s="4"/>
      <c r="M79" s="4"/>
      <c r="N79" s="4">
        <v>0</v>
      </c>
      <c r="O79" s="4">
        <v>2.5609999999999999</v>
      </c>
      <c r="P79" s="4">
        <v>5.0819999999999999</v>
      </c>
      <c r="Q79" s="4">
        <v>7.8E-2</v>
      </c>
      <c r="R79" s="4">
        <v>2.5680000000000001</v>
      </c>
      <c r="S79" s="4">
        <v>0</v>
      </c>
      <c r="T79" s="4">
        <v>0</v>
      </c>
      <c r="U79" s="4">
        <v>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</row>
    <row r="80" spans="1:51" x14ac:dyDescent="0.2">
      <c r="B80" s="2" t="s">
        <v>113</v>
      </c>
      <c r="C80" s="4"/>
      <c r="D80" s="4"/>
      <c r="E80" s="4">
        <v>0</v>
      </c>
      <c r="F80" s="4"/>
      <c r="G80" s="4">
        <v>9.2550000000000008</v>
      </c>
      <c r="H80" s="4"/>
      <c r="I80" s="4"/>
      <c r="J80" s="4"/>
      <c r="K80" s="4"/>
      <c r="L80" s="4"/>
      <c r="M80" s="4"/>
      <c r="N80" s="4">
        <v>0.20499999999999999</v>
      </c>
      <c r="O80" s="4">
        <v>-2.1000000000000001E-2</v>
      </c>
      <c r="P80" s="4">
        <v>0.59299999999999997</v>
      </c>
      <c r="Q80" s="4">
        <v>0.253</v>
      </c>
      <c r="R80" s="4">
        <v>8.0000000000000002E-3</v>
      </c>
      <c r="S80" s="4">
        <v>0.81399999999999995</v>
      </c>
      <c r="T80" s="4">
        <v>1.1559999999999999</v>
      </c>
      <c r="U80" s="4">
        <v>4.4560000000000004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</row>
    <row r="81" spans="2:51" x14ac:dyDescent="0.2">
      <c r="B81" s="2" t="s">
        <v>120</v>
      </c>
      <c r="C81" s="4"/>
      <c r="D81" s="4"/>
      <c r="E81" s="4">
        <v>0</v>
      </c>
      <c r="F81" s="4"/>
      <c r="G81" s="4">
        <v>1.171</v>
      </c>
      <c r="H81" s="4"/>
      <c r="I81" s="4"/>
      <c r="J81" s="4"/>
      <c r="K81" s="4"/>
      <c r="L81" s="4"/>
      <c r="M81" s="4"/>
      <c r="N81" s="4">
        <v>-0.78</v>
      </c>
      <c r="O81" s="4">
        <v>0.45600000000000002</v>
      </c>
      <c r="P81" s="4">
        <v>0.93700000000000006</v>
      </c>
      <c r="Q81" s="4">
        <v>-0.69599999999999995</v>
      </c>
      <c r="R81" s="4">
        <v>0.11700000000000001</v>
      </c>
      <c r="S81" s="4">
        <v>-0.29199999999999998</v>
      </c>
      <c r="T81" s="4">
        <v>0</v>
      </c>
      <c r="U81" s="4">
        <v>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</row>
    <row r="82" spans="2:51" x14ac:dyDescent="0.2">
      <c r="B82" s="2" t="s">
        <v>115</v>
      </c>
      <c r="C82" s="4"/>
      <c r="D82" s="4"/>
      <c r="E82" s="4">
        <v>0</v>
      </c>
      <c r="F82" s="4"/>
      <c r="G82" s="4">
        <v>0</v>
      </c>
      <c r="H82" s="4"/>
      <c r="I82" s="4"/>
      <c r="J82" s="4"/>
      <c r="K82" s="4"/>
      <c r="L82" s="4"/>
      <c r="M82" s="4"/>
      <c r="N82" s="4">
        <v>-8.3840000000000003</v>
      </c>
      <c r="O82" s="4">
        <v>2.06</v>
      </c>
      <c r="P82" s="4">
        <v>2.601</v>
      </c>
      <c r="Q82" s="4">
        <v>-0.46700000000000003</v>
      </c>
      <c r="R82" s="4">
        <v>-0.08</v>
      </c>
      <c r="S82" s="4">
        <v>1.7430000000000001</v>
      </c>
      <c r="T82" s="4">
        <v>18.916</v>
      </c>
      <c r="U82" s="4">
        <v>14.268000000000001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</row>
    <row r="83" spans="2:51" x14ac:dyDescent="0.2">
      <c r="B83" s="2" t="s">
        <v>349</v>
      </c>
      <c r="C83" s="4"/>
      <c r="D83" s="4"/>
      <c r="E83" s="4">
        <v>14.648</v>
      </c>
      <c r="F83" s="4"/>
      <c r="G83" s="4">
        <v>0</v>
      </c>
      <c r="H83" s="4"/>
      <c r="I83" s="4"/>
      <c r="J83" s="4"/>
      <c r="K83" s="4"/>
      <c r="L83" s="4"/>
      <c r="M83" s="4"/>
      <c r="N83" s="4">
        <v>-2.3490000000000002</v>
      </c>
      <c r="O83" s="4">
        <v>3.42</v>
      </c>
      <c r="P83" s="4">
        <v>0</v>
      </c>
      <c r="Q83" s="4">
        <v>0</v>
      </c>
      <c r="R83" s="4">
        <v>-1.9730000000000001</v>
      </c>
      <c r="S83" s="4">
        <v>-0.41</v>
      </c>
      <c r="T83" s="4">
        <v>2.8769999999999998</v>
      </c>
      <c r="U83" s="4">
        <v>-1.2430000000000001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</row>
    <row r="84" spans="2:51" x14ac:dyDescent="0.2">
      <c r="B84" s="2" t="s">
        <v>350</v>
      </c>
      <c r="C84" s="4"/>
      <c r="D84" s="4"/>
      <c r="E84" s="4">
        <v>2.577</v>
      </c>
      <c r="F84" s="4"/>
      <c r="G84" s="4">
        <v>0</v>
      </c>
      <c r="H84" s="4"/>
      <c r="I84" s="4"/>
      <c r="J84" s="4"/>
      <c r="K84" s="4"/>
      <c r="L84" s="4"/>
      <c r="M84" s="4"/>
      <c r="N84" s="4">
        <v>5.8220000000000001</v>
      </c>
      <c r="O84" s="4">
        <v>-7.3390000000000004</v>
      </c>
      <c r="P84" s="4">
        <v>0</v>
      </c>
      <c r="Q84" s="4">
        <v>0</v>
      </c>
      <c r="R84" s="4">
        <v>1.337</v>
      </c>
      <c r="S84" s="4">
        <v>10.923999999999999</v>
      </c>
      <c r="T84" s="4">
        <v>-0.67</v>
      </c>
      <c r="U84" s="4">
        <v>1.5369999999999999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</row>
    <row r="85" spans="2:51" x14ac:dyDescent="0.2">
      <c r="B85" s="2" t="s">
        <v>117</v>
      </c>
      <c r="C85" s="4"/>
      <c r="D85" s="4"/>
      <c r="E85" s="4">
        <v>40.511000000000003</v>
      </c>
      <c r="F85" s="4"/>
      <c r="G85" s="4">
        <v>34.747999999999998</v>
      </c>
      <c r="H85" s="4"/>
      <c r="I85" s="4"/>
      <c r="J85" s="4"/>
      <c r="K85" s="4"/>
      <c r="L85" s="4"/>
      <c r="M85" s="4"/>
      <c r="N85" s="4">
        <v>1.3839999999999999</v>
      </c>
      <c r="O85" s="4">
        <v>7.4969999999999999</v>
      </c>
      <c r="P85" s="4">
        <v>5.4020000000000001</v>
      </c>
      <c r="Q85" s="4">
        <v>-28.145</v>
      </c>
      <c r="R85" s="4">
        <v>-57.122</v>
      </c>
      <c r="S85" s="4">
        <v>18.576000000000001</v>
      </c>
      <c r="T85" s="4">
        <v>2.4849999999999999</v>
      </c>
      <c r="U85" s="4">
        <v>-28.611000000000001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</row>
    <row r="86" spans="2:51" x14ac:dyDescent="0.2">
      <c r="B86" s="2" t="s">
        <v>118</v>
      </c>
      <c r="C86" s="4"/>
      <c r="D86" s="4"/>
      <c r="E86" s="4">
        <v>-25.684999999999999</v>
      </c>
      <c r="F86" s="4"/>
      <c r="G86" s="4">
        <v>-47.746000000000002</v>
      </c>
      <c r="H86" s="4"/>
      <c r="I86" s="4"/>
      <c r="J86" s="4"/>
      <c r="K86" s="4"/>
      <c r="L86" s="4"/>
      <c r="M86" s="4"/>
      <c r="N86" s="4">
        <v>16.765999999999998</v>
      </c>
      <c r="O86" s="4">
        <v>-5.98</v>
      </c>
      <c r="P86" s="4">
        <v>-4.3289999999999997</v>
      </c>
      <c r="Q86" s="4">
        <v>14.029</v>
      </c>
      <c r="R86" s="4">
        <v>8.6620000000000008</v>
      </c>
      <c r="S86" s="4">
        <v>28.132000000000001</v>
      </c>
      <c r="T86" s="4">
        <v>-3.0640000000000001</v>
      </c>
      <c r="U86" s="4">
        <v>19.295999999999999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</row>
    <row r="87" spans="2:51" x14ac:dyDescent="0.2">
      <c r="B87" s="2" t="s">
        <v>119</v>
      </c>
      <c r="C87" s="4">
        <f t="shared" ref="C87:H87" si="118">+C85+C86</f>
        <v>0</v>
      </c>
      <c r="D87" s="4">
        <f t="shared" si="118"/>
        <v>0</v>
      </c>
      <c r="E87" s="4">
        <f t="shared" si="118"/>
        <v>14.826000000000004</v>
      </c>
      <c r="F87" s="4">
        <f t="shared" si="118"/>
        <v>0</v>
      </c>
      <c r="G87" s="4">
        <f t="shared" si="118"/>
        <v>-12.998000000000005</v>
      </c>
      <c r="H87" s="4">
        <f t="shared" si="118"/>
        <v>0</v>
      </c>
      <c r="I87" s="4"/>
      <c r="J87" s="4"/>
      <c r="K87" s="4"/>
      <c r="L87" s="4"/>
      <c r="M87" s="4"/>
      <c r="N87" s="4">
        <f t="shared" ref="N87:R87" si="119">+N85+N86</f>
        <v>18.149999999999999</v>
      </c>
      <c r="O87" s="4">
        <f t="shared" si="119"/>
        <v>1.5169999999999995</v>
      </c>
      <c r="P87" s="4">
        <f t="shared" si="119"/>
        <v>1.0730000000000004</v>
      </c>
      <c r="Q87" s="4">
        <f t="shared" si="119"/>
        <v>-14.116</v>
      </c>
      <c r="R87" s="4">
        <f t="shared" si="119"/>
        <v>-48.46</v>
      </c>
      <c r="S87" s="4">
        <f>+S85+S86</f>
        <v>46.707999999999998</v>
      </c>
      <c r="T87" s="4">
        <f t="shared" ref="T87:U87" si="120">+T85+T86</f>
        <v>-0.57900000000000018</v>
      </c>
      <c r="U87" s="4">
        <f t="shared" si="120"/>
        <v>-9.3150000000000013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</row>
    <row r="88" spans="2:51" x14ac:dyDescent="0.2">
      <c r="B88" s="1" t="s">
        <v>121</v>
      </c>
      <c r="C88" s="28">
        <f t="shared" ref="C88:H88" si="121">+SUM(C70:C84)+C87</f>
        <v>8.146000000000015</v>
      </c>
      <c r="D88" s="28">
        <f t="shared" si="121"/>
        <v>20.487999999999996</v>
      </c>
      <c r="E88" s="28">
        <f t="shared" si="121"/>
        <v>59.313999999999979</v>
      </c>
      <c r="F88" s="28">
        <f t="shared" si="121"/>
        <v>18.555000000000064</v>
      </c>
      <c r="G88" s="28">
        <f t="shared" si="121"/>
        <v>25.797999999999973</v>
      </c>
      <c r="H88" s="28">
        <f t="shared" si="121"/>
        <v>26.995000000000033</v>
      </c>
      <c r="I88" s="28"/>
      <c r="J88" s="28"/>
      <c r="K88" s="28"/>
      <c r="L88" s="28"/>
      <c r="M88" s="28"/>
      <c r="N88" s="28">
        <f t="shared" ref="N88:R88" si="122">+SUM(N70:N84)+N87</f>
        <v>47.219999999999949</v>
      </c>
      <c r="O88" s="28">
        <f t="shared" si="122"/>
        <v>25.848000000000045</v>
      </c>
      <c r="P88" s="28">
        <f t="shared" si="122"/>
        <v>54.842000000000091</v>
      </c>
      <c r="Q88" s="28">
        <f t="shared" si="122"/>
        <v>29.939999999999962</v>
      </c>
      <c r="R88" s="28">
        <f t="shared" si="122"/>
        <v>-2.1459999999999368</v>
      </c>
      <c r="S88" s="28">
        <f>+SUM(S70:S84)+S87</f>
        <v>117.78299999999996</v>
      </c>
      <c r="T88" s="28">
        <f t="shared" ref="T88:U88" si="123">+SUM(T70:T84)+T87</f>
        <v>73.076999999999998</v>
      </c>
      <c r="U88" s="28">
        <f t="shared" si="123"/>
        <v>47.425000000000011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</row>
    <row r="89" spans="2:51" x14ac:dyDescent="0.2">
      <c r="B89" s="2" t="s">
        <v>123</v>
      </c>
      <c r="C89" s="4"/>
      <c r="D89" s="4"/>
      <c r="E89" s="4">
        <v>5.0000000000000001E-3</v>
      </c>
      <c r="F89" s="4"/>
      <c r="G89" s="4">
        <v>6.0000000000000001E-3</v>
      </c>
      <c r="H89" s="4"/>
      <c r="I89" s="4"/>
      <c r="J89" s="4"/>
      <c r="K89" s="4"/>
      <c r="L89" s="4"/>
      <c r="M89" s="4"/>
      <c r="N89" s="4">
        <v>1.6E-2</v>
      </c>
      <c r="O89" s="4">
        <v>3.1E-2</v>
      </c>
      <c r="P89" s="4">
        <v>0.01</v>
      </c>
      <c r="Q89" s="4">
        <f>0.005+0.808</f>
        <v>0.81300000000000006</v>
      </c>
      <c r="R89" s="4">
        <v>0</v>
      </c>
      <c r="S89" s="4">
        <v>5.0000000000000001E-3</v>
      </c>
      <c r="T89" s="4">
        <v>7.0000000000000001E-3</v>
      </c>
      <c r="U89" s="4">
        <v>0.41299999999999998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</row>
    <row r="90" spans="2:51" x14ac:dyDescent="0.2">
      <c r="B90" s="2" t="s">
        <v>126</v>
      </c>
      <c r="C90" s="4"/>
      <c r="D90" s="4"/>
      <c r="E90" s="4">
        <v>-8.0000000000000002E-3</v>
      </c>
      <c r="F90" s="4"/>
      <c r="G90" s="4">
        <v>0</v>
      </c>
      <c r="H90" s="4"/>
      <c r="I90" s="4"/>
      <c r="J90" s="4"/>
      <c r="K90" s="4"/>
      <c r="L90" s="4"/>
      <c r="M90" s="4"/>
      <c r="N90" s="4">
        <v>0</v>
      </c>
      <c r="O90" s="4">
        <v>0</v>
      </c>
      <c r="P90" s="4">
        <v>0</v>
      </c>
      <c r="Q90" s="4">
        <v>0.106</v>
      </c>
      <c r="R90" s="4">
        <v>0</v>
      </c>
      <c r="S90" s="4">
        <v>0.187</v>
      </c>
      <c r="T90" s="4">
        <f>0.158+2.67</f>
        <v>2.8279999999999998</v>
      </c>
      <c r="U90" s="95">
        <f>0.071+2.872</f>
        <v>2.9430000000000001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</row>
    <row r="91" spans="2:51" x14ac:dyDescent="0.2">
      <c r="B91" s="2" t="s">
        <v>125</v>
      </c>
      <c r="C91" s="4"/>
      <c r="D91" s="4"/>
      <c r="E91" s="4">
        <v>-9.7279999999999998</v>
      </c>
      <c r="F91" s="4"/>
      <c r="G91" s="4">
        <v>-3.3580000000000001</v>
      </c>
      <c r="H91" s="4"/>
      <c r="I91" s="4"/>
      <c r="J91" s="4"/>
      <c r="K91" s="4"/>
      <c r="L91" s="4"/>
      <c r="M91" s="4"/>
      <c r="N91" s="4">
        <v>-35.448</v>
      </c>
      <c r="O91" s="4">
        <v>-22.283999999999999</v>
      </c>
      <c r="P91" s="4">
        <v>-13.896000000000001</v>
      </c>
      <c r="Q91" s="4">
        <v>-12.999000000000001</v>
      </c>
      <c r="R91" s="4">
        <v>-19.559000000000001</v>
      </c>
      <c r="S91" s="4">
        <v>-17.766999999999999</v>
      </c>
      <c r="T91" s="4">
        <v>-11.353</v>
      </c>
      <c r="U91" s="4">
        <v>-20.039000000000001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</row>
    <row r="92" spans="2:51" x14ac:dyDescent="0.2">
      <c r="B92" s="2" t="s">
        <v>124</v>
      </c>
      <c r="C92" s="4"/>
      <c r="D92" s="4"/>
      <c r="E92" s="4">
        <v>-0.21299999999999999</v>
      </c>
      <c r="F92" s="4"/>
      <c r="G92" s="4">
        <v>-0.66400000000000003</v>
      </c>
      <c r="H92" s="4"/>
      <c r="I92" s="4"/>
      <c r="J92" s="4"/>
      <c r="K92" s="4"/>
      <c r="L92" s="4"/>
      <c r="M92" s="4"/>
      <c r="N92" s="4">
        <v>-1.877</v>
      </c>
      <c r="O92" s="4">
        <f>-1.992-0.04</f>
        <v>-2.032</v>
      </c>
      <c r="P92" s="4">
        <f>-1.238-0.01</f>
        <v>-1.248</v>
      </c>
      <c r="Q92" s="4">
        <f>-1.974-0.028</f>
        <v>-2.0019999999999998</v>
      </c>
      <c r="R92" s="4">
        <v>-1.5720000000000001</v>
      </c>
      <c r="S92" s="4">
        <v>-1.79</v>
      </c>
      <c r="T92" s="4">
        <v>-1.879</v>
      </c>
      <c r="U92" s="4">
        <v>-2.6139999999999999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</row>
    <row r="93" spans="2:51" x14ac:dyDescent="0.2">
      <c r="B93" s="1" t="s">
        <v>122</v>
      </c>
      <c r="C93" s="28">
        <f t="shared" ref="C93:H93" si="124">+SUM(C89:C92)</f>
        <v>0</v>
      </c>
      <c r="D93" s="28">
        <f t="shared" si="124"/>
        <v>0</v>
      </c>
      <c r="E93" s="28">
        <f t="shared" si="124"/>
        <v>-9.9439999999999991</v>
      </c>
      <c r="F93" s="28">
        <f t="shared" si="124"/>
        <v>0</v>
      </c>
      <c r="G93" s="28">
        <f t="shared" si="124"/>
        <v>-4.016</v>
      </c>
      <c r="H93" s="28">
        <f t="shared" si="124"/>
        <v>0</v>
      </c>
      <c r="I93" s="28"/>
      <c r="J93" s="28"/>
      <c r="K93" s="28"/>
      <c r="L93" s="28"/>
      <c r="M93" s="28"/>
      <c r="N93" s="28">
        <f t="shared" ref="N93:R93" si="125">+SUM(N89:N92)</f>
        <v>-37.309000000000005</v>
      </c>
      <c r="O93" s="28">
        <f t="shared" si="125"/>
        <v>-24.285</v>
      </c>
      <c r="P93" s="28">
        <f t="shared" si="125"/>
        <v>-15.134</v>
      </c>
      <c r="Q93" s="28">
        <f t="shared" si="125"/>
        <v>-14.082000000000001</v>
      </c>
      <c r="R93" s="28">
        <f t="shared" si="125"/>
        <v>-21.131</v>
      </c>
      <c r="S93" s="28">
        <f>+SUM(S89:S92)</f>
        <v>-19.364999999999998</v>
      </c>
      <c r="T93" s="28">
        <f t="shared" ref="T93:U93" si="126">+SUM(T89:T92)</f>
        <v>-10.397</v>
      </c>
      <c r="U93" s="28">
        <f t="shared" si="126"/>
        <v>-19.297000000000001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</row>
    <row r="94" spans="2:51" x14ac:dyDescent="0.2">
      <c r="B94" s="2" t="s">
        <v>127</v>
      </c>
      <c r="C94" s="4"/>
      <c r="D94" s="4"/>
      <c r="E94" s="4">
        <v>-0.95299999999999996</v>
      </c>
      <c r="F94" s="4"/>
      <c r="G94" s="4">
        <v>-1.5069999999999999</v>
      </c>
      <c r="H94" s="4"/>
      <c r="I94" s="4"/>
      <c r="J94" s="4"/>
      <c r="K94" s="4"/>
      <c r="L94" s="4"/>
      <c r="M94" s="4"/>
      <c r="N94" s="4">
        <v>-3.367</v>
      </c>
      <c r="O94" s="4">
        <v>-1.7889999999999999</v>
      </c>
      <c r="P94" s="4">
        <v>-0.996</v>
      </c>
      <c r="Q94" s="4">
        <v>-3.3879999999999999</v>
      </c>
      <c r="R94" s="4">
        <v>-2.2130000000000001</v>
      </c>
      <c r="S94" s="4">
        <v>-1.595</v>
      </c>
      <c r="T94" s="4">
        <v>-1.9810000000000001</v>
      </c>
      <c r="U94" s="4">
        <v>-6.5110000000000001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 spans="2:51" x14ac:dyDescent="0.2">
      <c r="B95" s="2" t="s">
        <v>128</v>
      </c>
      <c r="C95" s="4"/>
      <c r="D95" s="4"/>
      <c r="E95" s="4">
        <v>0.08</v>
      </c>
      <c r="F95" s="4"/>
      <c r="G95" s="4">
        <v>0.27500000000000002</v>
      </c>
      <c r="H95" s="4"/>
      <c r="I95" s="4"/>
      <c r="J95" s="4"/>
      <c r="K95" s="4"/>
      <c r="L95" s="4"/>
      <c r="M95" s="4"/>
      <c r="N95" s="4">
        <v>3.3069999999999999</v>
      </c>
      <c r="O95" s="4">
        <v>1.224</v>
      </c>
      <c r="P95" s="4">
        <v>1.6319999999999999</v>
      </c>
      <c r="Q95" s="4">
        <v>3.3879999999999999</v>
      </c>
      <c r="R95" s="4">
        <v>1.7749999999999999</v>
      </c>
      <c r="S95" s="4">
        <v>1.6559999999999999</v>
      </c>
      <c r="T95" s="4">
        <v>2.2360000000000002</v>
      </c>
      <c r="U95" s="4">
        <v>6.1390000000000002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</row>
    <row r="96" spans="2:51" x14ac:dyDescent="0.2">
      <c r="B96" s="2" t="s">
        <v>129</v>
      </c>
      <c r="C96" s="4"/>
      <c r="D96" s="4"/>
      <c r="E96" s="4">
        <v>-10.884</v>
      </c>
      <c r="F96" s="4"/>
      <c r="G96" s="4">
        <v>-13.605</v>
      </c>
      <c r="H96" s="4"/>
      <c r="I96" s="4"/>
      <c r="J96" s="4"/>
      <c r="K96" s="4"/>
      <c r="L96" s="4"/>
      <c r="M96" s="4"/>
      <c r="N96" s="4">
        <v>-10.875999999999999</v>
      </c>
      <c r="O96" s="4">
        <v>-10.885</v>
      </c>
      <c r="P96" s="4">
        <v>-10.867000000000001</v>
      </c>
      <c r="Q96" s="4">
        <v>-10.9</v>
      </c>
      <c r="R96" s="4">
        <v>-10.891</v>
      </c>
      <c r="S96" s="4">
        <v>-10.884</v>
      </c>
      <c r="T96" s="4">
        <v>-13.6</v>
      </c>
      <c r="U96" s="4">
        <v>-16.327999999999999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</row>
    <row r="97" spans="2:51" x14ac:dyDescent="0.2">
      <c r="B97" s="2" t="s">
        <v>130</v>
      </c>
      <c r="C97" s="4"/>
      <c r="D97" s="4"/>
      <c r="E97" s="4">
        <v>0</v>
      </c>
      <c r="F97" s="4"/>
      <c r="G97" s="4">
        <v>0</v>
      </c>
      <c r="H97" s="4"/>
      <c r="I97" s="4"/>
      <c r="J97" s="4"/>
      <c r="K97" s="4"/>
      <c r="L97" s="4"/>
      <c r="M97" s="4"/>
      <c r="N97" s="4">
        <v>5.15</v>
      </c>
      <c r="O97" s="4">
        <v>0</v>
      </c>
      <c r="P97" s="4">
        <v>0</v>
      </c>
      <c r="Q97" s="4">
        <v>0</v>
      </c>
      <c r="R97" s="4">
        <v>20</v>
      </c>
      <c r="S97" s="4">
        <v>0</v>
      </c>
      <c r="T97" s="4">
        <v>0</v>
      </c>
      <c r="U97" s="4">
        <v>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</row>
    <row r="98" spans="2:51" x14ac:dyDescent="0.2">
      <c r="B98" s="2" t="s">
        <v>131</v>
      </c>
      <c r="C98" s="4"/>
      <c r="D98" s="4"/>
      <c r="E98" s="4">
        <f>-2.602+0.001-0.624</f>
        <v>-3.2250000000000001</v>
      </c>
      <c r="F98" s="4"/>
      <c r="G98" s="4">
        <f>-1.782+1.043-0.475</f>
        <v>-1.214</v>
      </c>
      <c r="H98" s="4"/>
      <c r="I98" s="4"/>
      <c r="J98" s="4"/>
      <c r="K98" s="4"/>
      <c r="L98" s="4"/>
      <c r="M98" s="4"/>
      <c r="N98" s="4">
        <v>-7.5019999999999998</v>
      </c>
      <c r="O98" s="4">
        <v>-7.258</v>
      </c>
      <c r="P98" s="4">
        <v>-6.8730000000000002</v>
      </c>
      <c r="Q98" s="4">
        <v>-6.4119999999999999</v>
      </c>
      <c r="R98" s="4">
        <v>-4.5810000000000004</v>
      </c>
      <c r="S98" s="4">
        <v>-4.9950000000000001</v>
      </c>
      <c r="T98" s="4">
        <v>-4.7869999999999999</v>
      </c>
      <c r="U98" s="4">
        <v>-3.9279999999999999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</row>
    <row r="99" spans="2:51" x14ac:dyDescent="0.2">
      <c r="B99" s="2" t="s">
        <v>132</v>
      </c>
      <c r="C99" s="4"/>
      <c r="D99" s="4"/>
      <c r="E99" s="4">
        <v>-16.896999999999998</v>
      </c>
      <c r="F99" s="4"/>
      <c r="G99" s="4">
        <v>0</v>
      </c>
      <c r="H99" s="4"/>
      <c r="I99" s="4"/>
      <c r="J99" s="4"/>
      <c r="K99" s="4"/>
      <c r="L99" s="4"/>
      <c r="M99" s="4"/>
      <c r="N99" s="4">
        <v>0</v>
      </c>
      <c r="O99" s="4">
        <v>20.742999999999999</v>
      </c>
      <c r="P99" s="4">
        <v>-20.035</v>
      </c>
      <c r="Q99" s="4">
        <v>-8.33</v>
      </c>
      <c r="R99" s="4">
        <v>13.052</v>
      </c>
      <c r="S99" s="4">
        <v>-16.681999999999999</v>
      </c>
      <c r="T99" s="4">
        <v>-0.94299999999999995</v>
      </c>
      <c r="U99" s="4">
        <v>-1.4370000000000001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</row>
    <row r="100" spans="2:51" x14ac:dyDescent="0.2">
      <c r="B100" s="1" t="s">
        <v>122</v>
      </c>
      <c r="C100" s="28">
        <f t="shared" ref="C100:H100" si="127">+SUM(C94:C99)</f>
        <v>0</v>
      </c>
      <c r="D100" s="28">
        <f t="shared" si="127"/>
        <v>0</v>
      </c>
      <c r="E100" s="28">
        <f t="shared" si="127"/>
        <v>-31.878999999999998</v>
      </c>
      <c r="F100" s="28">
        <f t="shared" si="127"/>
        <v>0</v>
      </c>
      <c r="G100" s="28">
        <f t="shared" si="127"/>
        <v>-16.050999999999998</v>
      </c>
      <c r="H100" s="28">
        <f t="shared" si="127"/>
        <v>0</v>
      </c>
      <c r="I100" s="28"/>
      <c r="J100" s="28"/>
      <c r="K100" s="28"/>
      <c r="L100" s="28"/>
      <c r="M100" s="28"/>
      <c r="N100" s="28">
        <f t="shared" ref="N100:R100" si="128">+SUM(N94:N99)</f>
        <v>-13.288</v>
      </c>
      <c r="O100" s="28">
        <f t="shared" si="128"/>
        <v>2.0350000000000001</v>
      </c>
      <c r="P100" s="28">
        <f t="shared" si="128"/>
        <v>-37.139000000000003</v>
      </c>
      <c r="Q100" s="28">
        <f t="shared" si="128"/>
        <v>-25.642000000000003</v>
      </c>
      <c r="R100" s="28">
        <f t="shared" si="128"/>
        <v>17.141999999999999</v>
      </c>
      <c r="S100" s="28">
        <f>+SUM(S94:S99)</f>
        <v>-32.5</v>
      </c>
      <c r="T100" s="28">
        <f t="shared" ref="T100:U100" si="129">+SUM(T94:T99)</f>
        <v>-19.074999999999999</v>
      </c>
      <c r="U100" s="28">
        <f t="shared" si="129"/>
        <v>-22.065000000000001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</row>
    <row r="101" spans="2:51" x14ac:dyDescent="0.2">
      <c r="B101" s="2" t="s">
        <v>133</v>
      </c>
      <c r="C101" s="4"/>
      <c r="D101" s="4"/>
      <c r="E101" s="4">
        <v>4.2000000000000003E-2</v>
      </c>
      <c r="F101" s="4"/>
      <c r="G101" s="4">
        <v>2.4E-2</v>
      </c>
      <c r="H101" s="4"/>
      <c r="I101" s="4"/>
      <c r="J101" s="4"/>
      <c r="K101" s="4"/>
      <c r="L101" s="4"/>
      <c r="M101" s="4"/>
      <c r="N101" s="4">
        <v>-0.156</v>
      </c>
      <c r="O101" s="4">
        <v>2.3E-2</v>
      </c>
      <c r="P101" s="4">
        <v>-0.217</v>
      </c>
      <c r="Q101" s="4">
        <v>-2.5999999999999999E-2</v>
      </c>
      <c r="R101" s="4">
        <v>-3.0000000000000001E-3</v>
      </c>
      <c r="S101" s="4">
        <v>6.2E-2</v>
      </c>
      <c r="T101" s="4">
        <v>0.05</v>
      </c>
      <c r="U101" s="4">
        <v>0.109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</row>
    <row r="102" spans="2:51" x14ac:dyDescent="0.2">
      <c r="B102" s="1" t="s">
        <v>134</v>
      </c>
      <c r="C102" s="28">
        <f t="shared" ref="C102:H102" si="130">+C88+C93+C100+C101</f>
        <v>8.146000000000015</v>
      </c>
      <c r="D102" s="28">
        <f t="shared" si="130"/>
        <v>20.487999999999996</v>
      </c>
      <c r="E102" s="28">
        <f t="shared" si="130"/>
        <v>17.53299999999998</v>
      </c>
      <c r="F102" s="28">
        <f t="shared" si="130"/>
        <v>18.555000000000064</v>
      </c>
      <c r="G102" s="28">
        <f t="shared" si="130"/>
        <v>5.7549999999999768</v>
      </c>
      <c r="H102" s="28">
        <f t="shared" si="130"/>
        <v>26.995000000000033</v>
      </c>
      <c r="I102" s="28"/>
      <c r="J102" s="28"/>
      <c r="K102" s="28"/>
      <c r="L102" s="28"/>
      <c r="M102" s="28"/>
      <c r="N102" s="28">
        <f t="shared" ref="N102:R102" si="131">+N88+N93+N100+N101</f>
        <v>-3.5330000000000559</v>
      </c>
      <c r="O102" s="33">
        <f t="shared" si="131"/>
        <v>3.6210000000000453</v>
      </c>
      <c r="P102" s="28">
        <f t="shared" si="131"/>
        <v>2.3520000000000878</v>
      </c>
      <c r="Q102" s="33">
        <f t="shared" si="131"/>
        <v>-9.8100000000000414</v>
      </c>
      <c r="R102" s="28">
        <f t="shared" si="131"/>
        <v>-6.1379999999999377</v>
      </c>
      <c r="S102" s="28">
        <f>+S88+S93+S100+S101</f>
        <v>65.979999999999961</v>
      </c>
      <c r="T102" s="28">
        <f>+T88+T93+T100+T101</f>
        <v>43.655000000000001</v>
      </c>
      <c r="U102" s="28">
        <f t="shared" ref="U102" si="132">+U88+U93+U100+U101</f>
        <v>6.1720000000000095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</row>
    <row r="103" spans="2:51" x14ac:dyDescent="0.2">
      <c r="B103" s="2" t="s">
        <v>135</v>
      </c>
      <c r="C103" s="4"/>
      <c r="D103" s="4"/>
      <c r="E103" s="4">
        <v>1.103</v>
      </c>
      <c r="F103" s="4"/>
      <c r="G103" s="4">
        <v>67.082999999999998</v>
      </c>
      <c r="H103" s="4"/>
      <c r="I103" s="4"/>
      <c r="J103" s="4"/>
      <c r="K103" s="4"/>
      <c r="L103" s="4"/>
      <c r="M103" s="4"/>
      <c r="N103" s="4">
        <f>+N104-N102</f>
        <v>14.578000000000012</v>
      </c>
      <c r="O103" s="4">
        <f>+O104-O102</f>
        <v>11.044999999999956</v>
      </c>
      <c r="P103" s="4">
        <f>+P104-P102</f>
        <v>14.665999999999956</v>
      </c>
      <c r="Q103" s="4">
        <f>+Q104-Q102</f>
        <v>17.018000000000043</v>
      </c>
      <c r="R103" s="4">
        <f>+R104-R102</f>
        <v>7.2409999999999375</v>
      </c>
      <c r="S103" s="4">
        <v>1.103</v>
      </c>
      <c r="T103" s="4">
        <f>+S104</f>
        <v>67.082999999999956</v>
      </c>
      <c r="U103" s="4">
        <f>+T104</f>
        <v>110.73799999999996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</row>
    <row r="104" spans="2:51" x14ac:dyDescent="0.2">
      <c r="B104" s="2" t="s">
        <v>136</v>
      </c>
      <c r="C104" s="4"/>
      <c r="D104" s="4"/>
      <c r="E104" s="4">
        <f>+E102+E103</f>
        <v>18.635999999999981</v>
      </c>
      <c r="F104" s="4"/>
      <c r="G104" s="4">
        <f>+G102+G103</f>
        <v>72.83799999999998</v>
      </c>
      <c r="H104" s="4"/>
      <c r="I104" s="4"/>
      <c r="J104" s="4"/>
      <c r="K104" s="4"/>
      <c r="L104" s="4"/>
      <c r="M104" s="4"/>
      <c r="N104" s="4">
        <f>+O103</f>
        <v>11.044999999999956</v>
      </c>
      <c r="O104" s="4">
        <v>14.666</v>
      </c>
      <c r="P104" s="4">
        <f>+Q103</f>
        <v>17.018000000000043</v>
      </c>
      <c r="Q104" s="4">
        <v>7.2080000000000002</v>
      </c>
      <c r="R104" s="4">
        <f>+S103</f>
        <v>1.103</v>
      </c>
      <c r="S104" s="4">
        <f>+S102+S103</f>
        <v>67.082999999999956</v>
      </c>
      <c r="T104" s="4">
        <f>+T102+T103</f>
        <v>110.73799999999996</v>
      </c>
      <c r="U104" s="4">
        <f>+U102+U103</f>
        <v>116.90999999999997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</row>
    <row r="105" spans="2:51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</row>
    <row r="106" spans="2:51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</row>
    <row r="107" spans="2:51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</row>
    <row r="108" spans="2:51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</row>
    <row r="109" spans="2:51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</row>
    <row r="110" spans="2:51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</row>
    <row r="111" spans="2:51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</row>
    <row r="112" spans="2:51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</row>
    <row r="113" spans="3:51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</row>
    <row r="114" spans="3:51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</row>
    <row r="115" spans="3:51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</row>
    <row r="116" spans="3:51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</row>
    <row r="117" spans="3:51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</row>
    <row r="118" spans="3:51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</row>
    <row r="119" spans="3:51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</row>
    <row r="120" spans="3:51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</row>
    <row r="121" spans="3:51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</row>
    <row r="122" spans="3:51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</row>
    <row r="123" spans="3:51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</row>
    <row r="124" spans="3:51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</row>
    <row r="125" spans="3:51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</row>
    <row r="126" spans="3:51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</row>
    <row r="127" spans="3:51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</row>
    <row r="128" spans="3:51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</row>
    <row r="129" spans="3:51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</row>
    <row r="130" spans="3:51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</row>
    <row r="131" spans="3:51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</row>
    <row r="132" spans="3:51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</row>
    <row r="133" spans="3:51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</row>
    <row r="134" spans="3:51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</row>
    <row r="135" spans="3:51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</row>
    <row r="136" spans="3:51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</row>
    <row r="137" spans="3:51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</row>
    <row r="138" spans="3:51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</row>
    <row r="139" spans="3:51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</row>
    <row r="140" spans="3:51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</row>
    <row r="141" spans="3:51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</row>
    <row r="142" spans="3:51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</row>
    <row r="143" spans="3:51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</row>
    <row r="144" spans="3:51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</row>
    <row r="145" spans="3:51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</row>
    <row r="146" spans="3:51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</row>
    <row r="147" spans="3:51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</row>
    <row r="148" spans="3:51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</row>
    <row r="149" spans="3:51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</row>
    <row r="150" spans="3:51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</row>
    <row r="151" spans="3:51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</row>
    <row r="152" spans="3:51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</row>
    <row r="153" spans="3:51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</row>
    <row r="154" spans="3:51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</row>
    <row r="155" spans="3:51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</row>
    <row r="156" spans="3:51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</row>
    <row r="157" spans="3:51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</row>
    <row r="158" spans="3:51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</row>
    <row r="159" spans="3:51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</row>
    <row r="160" spans="3:51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</row>
    <row r="161" spans="3:51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</row>
    <row r="162" spans="3:51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</row>
    <row r="163" spans="3:51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</row>
    <row r="164" spans="3:51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</row>
    <row r="165" spans="3:51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</row>
    <row r="166" spans="3:51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</row>
    <row r="167" spans="3:51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</row>
    <row r="168" spans="3:51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</row>
    <row r="169" spans="3:51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</row>
    <row r="170" spans="3:51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</row>
    <row r="171" spans="3:51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</row>
    <row r="172" spans="3:51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</row>
    <row r="173" spans="3:51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</row>
    <row r="174" spans="3:51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</row>
    <row r="175" spans="3:51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</row>
    <row r="176" spans="3:51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</row>
    <row r="177" spans="3:51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</row>
    <row r="178" spans="3:51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</row>
    <row r="179" spans="3:51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</row>
    <row r="180" spans="3:51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</row>
    <row r="181" spans="3:51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</row>
    <row r="182" spans="3:51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</row>
    <row r="183" spans="3:51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</row>
    <row r="184" spans="3:51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</row>
    <row r="185" spans="3:51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</row>
    <row r="186" spans="3:51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</row>
    <row r="187" spans="3:51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</row>
    <row r="188" spans="3:51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</row>
    <row r="189" spans="3:51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</row>
    <row r="190" spans="3:51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</row>
    <row r="191" spans="3:51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</row>
    <row r="192" spans="3:51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</row>
    <row r="193" spans="3:51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</row>
    <row r="194" spans="3:51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</row>
    <row r="195" spans="3:51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</row>
    <row r="196" spans="3:51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</row>
    <row r="197" spans="3:51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</row>
    <row r="198" spans="3:51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</row>
    <row r="199" spans="3:51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</row>
    <row r="200" spans="3:51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</row>
    <row r="201" spans="3:51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</row>
    <row r="202" spans="3:51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</row>
    <row r="203" spans="3:51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</row>
    <row r="204" spans="3:51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</row>
    <row r="205" spans="3:51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</row>
    <row r="206" spans="3:51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</row>
    <row r="207" spans="3:51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</row>
    <row r="208" spans="3:51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</row>
    <row r="209" spans="3:51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</row>
    <row r="210" spans="3:51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</row>
    <row r="211" spans="3:51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</row>
    <row r="212" spans="3:51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</row>
    <row r="213" spans="3:51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</row>
    <row r="214" spans="3:51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</row>
    <row r="215" spans="3:51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</row>
    <row r="216" spans="3:51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</row>
    <row r="217" spans="3:51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</row>
    <row r="218" spans="3:51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</row>
    <row r="219" spans="3:51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</row>
    <row r="220" spans="3:51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</row>
    <row r="221" spans="3:51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</row>
    <row r="222" spans="3:51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</row>
    <row r="223" spans="3:51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</row>
    <row r="224" spans="3:51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</row>
    <row r="225" spans="3:51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</row>
    <row r="226" spans="3:51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</row>
    <row r="227" spans="3:51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</row>
    <row r="228" spans="3:51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</row>
    <row r="229" spans="3:51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</row>
    <row r="230" spans="3:51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</row>
    <row r="231" spans="3:51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</row>
    <row r="232" spans="3:51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</row>
    <row r="233" spans="3:51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</row>
    <row r="234" spans="3:51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</row>
    <row r="235" spans="3:51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</row>
    <row r="236" spans="3:51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</row>
    <row r="237" spans="3:51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</row>
    <row r="238" spans="3:51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</row>
    <row r="239" spans="3:51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</row>
    <row r="240" spans="3:51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</row>
    <row r="241" spans="3:51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</row>
    <row r="242" spans="3:51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</row>
    <row r="243" spans="3:51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</row>
    <row r="244" spans="3:51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</row>
    <row r="245" spans="3:51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</row>
    <row r="246" spans="3:51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</row>
    <row r="247" spans="3:51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</row>
    <row r="248" spans="3:51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</row>
    <row r="249" spans="3:51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</row>
    <row r="250" spans="3:51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</row>
    <row r="251" spans="3:51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</row>
    <row r="252" spans="3:51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</row>
    <row r="253" spans="3:51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</row>
    <row r="254" spans="3:51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</row>
    <row r="255" spans="3:51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</row>
    <row r="256" spans="3:51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</row>
    <row r="257" spans="3:51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</row>
    <row r="258" spans="3:51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</row>
    <row r="259" spans="3:51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</row>
    <row r="260" spans="3:51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</row>
    <row r="261" spans="3:51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</row>
    <row r="262" spans="3:51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</row>
    <row r="263" spans="3:51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</row>
    <row r="264" spans="3:51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</row>
    <row r="265" spans="3:51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</row>
    <row r="266" spans="3:51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</row>
    <row r="267" spans="3:51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</row>
    <row r="268" spans="3:51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</row>
    <row r="269" spans="3:51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</row>
    <row r="270" spans="3:51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</row>
    <row r="271" spans="3:51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</row>
    <row r="272" spans="3:51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</row>
    <row r="273" spans="3:51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</row>
    <row r="274" spans="3:51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</row>
    <row r="275" spans="3:51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</row>
    <row r="276" spans="3:51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</row>
    <row r="277" spans="3:51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</row>
    <row r="278" spans="3:51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</row>
    <row r="279" spans="3:51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</row>
    <row r="280" spans="3:51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</row>
    <row r="281" spans="3:51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</row>
    <row r="282" spans="3:51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</row>
    <row r="283" spans="3:51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</row>
    <row r="284" spans="3:51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</row>
    <row r="285" spans="3:51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</row>
    <row r="286" spans="3:51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</row>
    <row r="287" spans="3:51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</row>
    <row r="288" spans="3:51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</row>
    <row r="289" spans="3:51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</row>
    <row r="290" spans="3:51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</row>
    <row r="291" spans="3:51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</row>
    <row r="292" spans="3:51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</row>
    <row r="293" spans="3:51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</row>
    <row r="294" spans="3:51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</row>
    <row r="295" spans="3:51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</row>
    <row r="296" spans="3:51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</row>
    <row r="297" spans="3:51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</row>
    <row r="298" spans="3:51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</row>
    <row r="299" spans="3:51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</row>
    <row r="300" spans="3:51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</row>
    <row r="301" spans="3:51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</row>
    <row r="302" spans="3:51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</row>
    <row r="303" spans="3:51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</row>
    <row r="304" spans="3:51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</row>
    <row r="305" spans="3:51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</row>
    <row r="306" spans="3:51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</row>
    <row r="307" spans="3:51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</row>
    <row r="308" spans="3:51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</row>
    <row r="309" spans="3:51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</row>
    <row r="310" spans="3:51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</row>
    <row r="311" spans="3:51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</row>
    <row r="312" spans="3:51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</row>
    <row r="313" spans="3:51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</row>
    <row r="314" spans="3:51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</row>
    <row r="315" spans="3:51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</row>
    <row r="316" spans="3:51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</row>
    <row r="317" spans="3:51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</row>
    <row r="318" spans="3:51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</row>
    <row r="319" spans="3:51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</row>
    <row r="320" spans="3:51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</row>
  </sheetData>
  <hyperlinks>
    <hyperlink ref="A1" location="Main!A1" display="Main" xr:uid="{B2F26436-468F-453A-BF60-537C1C3F49BB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43BC-2BCC-4287-8C16-488893ADFDD6}">
  <dimension ref="A1:AU320"/>
  <sheetViews>
    <sheetView zoomScale="200" zoomScaleNormal="200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defaultRowHeight="12.75" x14ac:dyDescent="0.2"/>
  <cols>
    <col min="1" max="1" width="5.42578125" style="2" bestFit="1" customWidth="1"/>
    <col min="2" max="2" width="31" style="2" bestFit="1" customWidth="1"/>
    <col min="3" max="16384" width="9.140625" style="2"/>
  </cols>
  <sheetData>
    <row r="1" spans="1:47" x14ac:dyDescent="0.2">
      <c r="A1" s="6" t="s">
        <v>13</v>
      </c>
    </row>
    <row r="2" spans="1:47" x14ac:dyDescent="0.2"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25</v>
      </c>
      <c r="P2" s="5" t="s">
        <v>26</v>
      </c>
      <c r="Q2" s="5" t="s">
        <v>27</v>
      </c>
      <c r="R2" s="5" t="s">
        <v>316</v>
      </c>
      <c r="S2" s="5" t="s">
        <v>317</v>
      </c>
      <c r="T2" s="5" t="s">
        <v>318</v>
      </c>
      <c r="U2" s="5" t="s">
        <v>319</v>
      </c>
    </row>
    <row r="3" spans="1:47" x14ac:dyDescent="0.2">
      <c r="B3" s="2" t="s">
        <v>315</v>
      </c>
      <c r="C3" s="24"/>
      <c r="D3" s="24"/>
      <c r="E3" s="24"/>
      <c r="F3" s="24"/>
      <c r="G3" s="24"/>
      <c r="H3" s="24"/>
      <c r="I3" s="17"/>
      <c r="J3" s="17">
        <f t="shared" ref="J3:O3" si="0">+K3*(1-4%)</f>
        <v>6597.7088577896438</v>
      </c>
      <c r="K3" s="17">
        <f t="shared" si="0"/>
        <v>6872.613393530879</v>
      </c>
      <c r="L3" s="17">
        <f t="shared" si="0"/>
        <v>7158.9722849279988</v>
      </c>
      <c r="M3" s="17">
        <f t="shared" si="0"/>
        <v>7457.2627967999988</v>
      </c>
      <c r="N3" s="17">
        <f t="shared" si="0"/>
        <v>7767.9820799999989</v>
      </c>
      <c r="O3" s="17">
        <f t="shared" si="0"/>
        <v>8091.6479999999992</v>
      </c>
      <c r="P3" s="17">
        <f>+Q3*(1-4%)</f>
        <v>8428.7999999999993</v>
      </c>
      <c r="Q3" s="17">
        <v>8780</v>
      </c>
      <c r="R3" s="17">
        <f>+Q3*(1+1.82%)</f>
        <v>8939.7960000000003</v>
      </c>
      <c r="S3" s="17">
        <f t="shared" ref="S3:U3" si="1">+R3*(1+1.82%)</f>
        <v>9102.5002872000005</v>
      </c>
      <c r="T3" s="17">
        <f t="shared" si="1"/>
        <v>9268.1657924270403</v>
      </c>
      <c r="U3" s="17">
        <f t="shared" si="1"/>
        <v>9436.8464098492132</v>
      </c>
    </row>
    <row r="4" spans="1:47" x14ac:dyDescent="0.2">
      <c r="B4" s="2" t="s">
        <v>320</v>
      </c>
      <c r="C4" s="24"/>
      <c r="D4" s="24"/>
      <c r="E4" s="24"/>
      <c r="F4" s="24"/>
      <c r="G4" s="24"/>
      <c r="H4" s="24"/>
      <c r="I4" s="17"/>
      <c r="J4" s="25">
        <f t="shared" ref="J4:N4" si="2">+J11/J3</f>
        <v>4.322712719632605E-2</v>
      </c>
      <c r="K4" s="25">
        <f t="shared" si="2"/>
        <v>4.362241593310031E-2</v>
      </c>
      <c r="L4" s="25">
        <f t="shared" si="2"/>
        <v>4.4616320232508402E-2</v>
      </c>
      <c r="M4" s="25">
        <f t="shared" si="2"/>
        <v>4.1649061922999019E-2</v>
      </c>
      <c r="N4" s="25">
        <f t="shared" si="2"/>
        <v>4.4935737029918592E-2</v>
      </c>
      <c r="O4" s="25">
        <f>+O11/O3</f>
        <v>4.9662318479498868E-2</v>
      </c>
      <c r="P4" s="25">
        <f>+P11/P3</f>
        <v>4.743744661161732E-2</v>
      </c>
      <c r="Q4" s="25">
        <v>4.4999999999999998E-2</v>
      </c>
      <c r="R4" s="25">
        <v>4.2999999999999997E-2</v>
      </c>
      <c r="S4" s="25">
        <v>4.2000000000000003E-2</v>
      </c>
      <c r="T4" s="25">
        <v>4.1000000000000002E-2</v>
      </c>
      <c r="U4" s="25">
        <v>0.04</v>
      </c>
    </row>
    <row r="5" spans="1:47" x14ac:dyDescent="0.2">
      <c r="B5" s="2" t="s">
        <v>321</v>
      </c>
      <c r="C5" s="24"/>
      <c r="D5" s="24"/>
      <c r="E5" s="24"/>
      <c r="F5" s="24"/>
      <c r="G5" s="24"/>
      <c r="H5" s="24"/>
      <c r="I5" s="17"/>
      <c r="J5" s="17">
        <f t="shared" ref="J5:N5" si="3">+K5*(1-4.5%)</f>
        <v>65210.365787440925</v>
      </c>
      <c r="K5" s="17">
        <f t="shared" si="3"/>
        <v>68283.105536587362</v>
      </c>
      <c r="L5" s="17">
        <f t="shared" si="3"/>
        <v>71500.634069724983</v>
      </c>
      <c r="M5" s="17">
        <f t="shared" si="3"/>
        <v>74869.773894999991</v>
      </c>
      <c r="N5" s="17">
        <f t="shared" si="3"/>
        <v>78397.668999999994</v>
      </c>
      <c r="O5" s="17">
        <f>+P5*(1-4.5%)</f>
        <v>82091.8</v>
      </c>
      <c r="P5" s="17">
        <v>85960</v>
      </c>
      <c r="Q5" s="17">
        <v>104500</v>
      </c>
      <c r="R5" s="17">
        <f>+Q5*(1+3%)</f>
        <v>107635</v>
      </c>
      <c r="S5" s="17">
        <f t="shared" ref="S5:U5" si="4">+R5*(1+3%)</f>
        <v>110864.05</v>
      </c>
      <c r="T5" s="17">
        <f t="shared" si="4"/>
        <v>114189.9715</v>
      </c>
      <c r="U5" s="17">
        <f t="shared" si="4"/>
        <v>117615.67064500001</v>
      </c>
    </row>
    <row r="6" spans="1:47" x14ac:dyDescent="0.2">
      <c r="B6" s="2" t="s">
        <v>322</v>
      </c>
      <c r="C6" s="24"/>
      <c r="D6" s="24"/>
      <c r="E6" s="24"/>
      <c r="F6" s="24"/>
      <c r="G6" s="24"/>
      <c r="H6" s="24"/>
      <c r="I6" s="17"/>
      <c r="J6" s="25">
        <f t="shared" ref="J6:N6" si="5">+J16/J5</f>
        <v>7.8098626476050936E-3</v>
      </c>
      <c r="K6" s="25">
        <f t="shared" si="5"/>
        <v>7.658365797668658E-3</v>
      </c>
      <c r="L6" s="25">
        <f t="shared" si="5"/>
        <v>7.716700798232827E-3</v>
      </c>
      <c r="M6" s="25">
        <f t="shared" si="5"/>
        <v>7.041573288833025E-3</v>
      </c>
      <c r="N6" s="25">
        <f t="shared" si="5"/>
        <v>7.3864058381633776E-3</v>
      </c>
      <c r="O6" s="25">
        <f>+O16/O5</f>
        <v>7.7898157915894158E-3</v>
      </c>
      <c r="P6" s="25">
        <f>+P16/P5</f>
        <v>7.4020777105630528E-3</v>
      </c>
      <c r="Q6" s="25">
        <v>6.0000000000000001E-3</v>
      </c>
      <c r="R6" s="25">
        <v>5.0000000000000001E-3</v>
      </c>
      <c r="S6" s="25">
        <v>5.0000000000000001E-3</v>
      </c>
      <c r="T6" s="25">
        <v>5.0000000000000001E-3</v>
      </c>
      <c r="U6" s="25">
        <v>5.0000000000000001E-3</v>
      </c>
    </row>
    <row r="7" spans="1:47" x14ac:dyDescent="0.2">
      <c r="B7" s="2" t="s">
        <v>324</v>
      </c>
      <c r="C7" s="24"/>
      <c r="D7" s="24"/>
      <c r="E7" s="24"/>
      <c r="F7" s="24"/>
      <c r="G7" s="24"/>
      <c r="H7" s="24"/>
      <c r="I7" s="17"/>
      <c r="J7" s="17">
        <f t="shared" ref="J7:N7" si="6">+J5-J3</f>
        <v>58612.656929651283</v>
      </c>
      <c r="K7" s="17">
        <f t="shared" si="6"/>
        <v>61410.492143056486</v>
      </c>
      <c r="L7" s="17">
        <f t="shared" si="6"/>
        <v>64341.661784796983</v>
      </c>
      <c r="M7" s="17">
        <f t="shared" si="6"/>
        <v>67412.51109819999</v>
      </c>
      <c r="N7" s="17">
        <f t="shared" si="6"/>
        <v>70629.686919999993</v>
      </c>
      <c r="O7" s="17">
        <f>+O5-O3</f>
        <v>74000.152000000002</v>
      </c>
      <c r="P7" s="17">
        <f t="shared" ref="P7:U7" si="7">+P5-P3</f>
        <v>77531.199999999997</v>
      </c>
      <c r="Q7" s="17">
        <f t="shared" si="7"/>
        <v>95720</v>
      </c>
      <c r="R7" s="17">
        <f t="shared" si="7"/>
        <v>98695.203999999998</v>
      </c>
      <c r="S7" s="17">
        <f t="shared" si="7"/>
        <v>101761.5497128</v>
      </c>
      <c r="T7" s="17">
        <f t="shared" si="7"/>
        <v>104921.80570757296</v>
      </c>
      <c r="U7" s="17">
        <f t="shared" si="7"/>
        <v>108178.82423515079</v>
      </c>
    </row>
    <row r="8" spans="1:47" x14ac:dyDescent="0.2">
      <c r="B8" s="2" t="s">
        <v>323</v>
      </c>
      <c r="C8" s="24"/>
      <c r="D8" s="24"/>
      <c r="E8" s="24"/>
      <c r="F8" s="24"/>
      <c r="G8" s="24"/>
      <c r="H8" s="24"/>
      <c r="I8" s="17"/>
      <c r="J8" s="25">
        <f t="shared" ref="J8:N8" si="8">+J12/J7</f>
        <v>3.8234062698944311E-3</v>
      </c>
      <c r="K8" s="25">
        <f t="shared" si="8"/>
        <v>3.6329296870034168E-3</v>
      </c>
      <c r="L8" s="25">
        <f t="shared" si="8"/>
        <v>3.6110661980896974E-3</v>
      </c>
      <c r="M8" s="25">
        <f t="shared" si="8"/>
        <v>3.2132462724086814E-3</v>
      </c>
      <c r="N8" s="25">
        <f t="shared" si="8"/>
        <v>3.2566617527348372E-3</v>
      </c>
      <c r="O8" s="25">
        <f>+O12/O7</f>
        <v>3.2112096202180774E-3</v>
      </c>
      <c r="P8" s="25">
        <f t="shared" ref="P8" si="9">+P12/P7</f>
        <v>3.0496348566770538E-3</v>
      </c>
      <c r="Q8" s="25">
        <v>2E-3</v>
      </c>
      <c r="R8" s="25">
        <v>2E-3</v>
      </c>
      <c r="S8" s="25">
        <v>2E-3</v>
      </c>
      <c r="T8" s="25">
        <v>2E-3</v>
      </c>
      <c r="U8" s="25">
        <v>2E-3</v>
      </c>
    </row>
    <row r="9" spans="1:47" x14ac:dyDescent="0.2">
      <c r="C9" s="24"/>
      <c r="D9" s="24"/>
      <c r="E9" s="24"/>
      <c r="F9" s="24"/>
      <c r="G9" s="24"/>
      <c r="H9" s="24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pans="1:47" x14ac:dyDescent="0.2">
      <c r="A10" s="26" t="s">
        <v>103</v>
      </c>
      <c r="B10" s="3" t="s">
        <v>104</v>
      </c>
      <c r="C10" s="5"/>
      <c r="D10" s="5"/>
      <c r="E10" s="5"/>
      <c r="F10" s="5"/>
      <c r="G10" s="5"/>
      <c r="H10" s="5"/>
      <c r="J10" s="5"/>
      <c r="K10" s="5"/>
      <c r="L10" s="5"/>
      <c r="M10" s="5"/>
      <c r="N10" s="5"/>
      <c r="O10" s="5"/>
      <c r="P10" s="5"/>
      <c r="Q10" s="5"/>
    </row>
    <row r="11" spans="1:47" x14ac:dyDescent="0.2">
      <c r="B11" s="2" t="s">
        <v>72</v>
      </c>
      <c r="C11" s="5"/>
      <c r="D11" s="5"/>
      <c r="E11" s="4"/>
      <c r="F11" s="4"/>
      <c r="G11" s="4"/>
      <c r="H11" s="4"/>
      <c r="I11" s="4"/>
      <c r="J11" s="4">
        <v>285.2</v>
      </c>
      <c r="K11" s="4">
        <v>299.8</v>
      </c>
      <c r="L11" s="4">
        <v>319.40699999999998</v>
      </c>
      <c r="M11" s="4">
        <v>310.58800000000002</v>
      </c>
      <c r="N11" s="4">
        <v>349.06</v>
      </c>
      <c r="O11" s="4">
        <v>401.85</v>
      </c>
      <c r="P11" s="4">
        <f>+O11*(1-0.5%)</f>
        <v>399.84075000000001</v>
      </c>
      <c r="Q11" s="24">
        <f>+Q3*Q4</f>
        <v>395.09999999999997</v>
      </c>
      <c r="R11" s="24">
        <f t="shared" ref="R11:U11" si="10">+R3*R4</f>
        <v>384.41122799999999</v>
      </c>
      <c r="S11" s="24">
        <f t="shared" si="10"/>
        <v>382.30501206240007</v>
      </c>
      <c r="T11" s="24">
        <f t="shared" si="10"/>
        <v>379.99479748950864</v>
      </c>
      <c r="U11" s="24">
        <f t="shared" si="10"/>
        <v>377.47385639396856</v>
      </c>
    </row>
    <row r="12" spans="1:47" x14ac:dyDescent="0.2">
      <c r="B12" s="2" t="s">
        <v>73</v>
      </c>
      <c r="C12" s="5"/>
      <c r="D12" s="5"/>
      <c r="E12" s="4"/>
      <c r="F12" s="4"/>
      <c r="G12" s="4"/>
      <c r="H12" s="4"/>
      <c r="I12" s="4"/>
      <c r="J12" s="4">
        <v>224.1</v>
      </c>
      <c r="K12" s="4">
        <v>223.1</v>
      </c>
      <c r="L12" s="4">
        <v>232.34200000000001</v>
      </c>
      <c r="M12" s="4">
        <v>216.613</v>
      </c>
      <c r="N12" s="4">
        <v>230.017</v>
      </c>
      <c r="O12" s="4">
        <v>237.63</v>
      </c>
      <c r="P12" s="4">
        <f>+O12*(1-0.5%)</f>
        <v>236.44184999999999</v>
      </c>
      <c r="Q12" s="24">
        <f>+Q7*Q8</f>
        <v>191.44</v>
      </c>
      <c r="R12" s="24">
        <f t="shared" ref="R12:U12" si="11">+R7*R8</f>
        <v>197.39040800000001</v>
      </c>
      <c r="S12" s="24">
        <f t="shared" si="11"/>
        <v>203.52309942560001</v>
      </c>
      <c r="T12" s="24">
        <f t="shared" si="11"/>
        <v>209.84361141514592</v>
      </c>
      <c r="U12" s="24">
        <f t="shared" si="11"/>
        <v>216.3576484703016</v>
      </c>
    </row>
    <row r="13" spans="1:47" x14ac:dyDescent="0.2">
      <c r="B13" s="2" t="s">
        <v>74</v>
      </c>
      <c r="C13" s="5"/>
      <c r="D13" s="5"/>
      <c r="E13" s="4"/>
      <c r="F13" s="4"/>
      <c r="G13" s="4"/>
      <c r="H13" s="4"/>
      <c r="I13" s="4"/>
      <c r="J13" s="27" t="s">
        <v>139</v>
      </c>
      <c r="K13" s="27" t="s">
        <v>139</v>
      </c>
      <c r="L13" s="4">
        <v>253.76300000000001</v>
      </c>
      <c r="M13" s="4">
        <v>243.87</v>
      </c>
      <c r="N13" s="4">
        <v>272.50099999999998</v>
      </c>
      <c r="O13" s="4">
        <v>293.70400000000001</v>
      </c>
      <c r="P13" s="4">
        <f>46%*P16</f>
        <v>292.68999600000001</v>
      </c>
      <c r="Q13" s="4">
        <f t="shared" ref="Q13:U13" si="12">46%*Q16</f>
        <v>269.80840000000001</v>
      </c>
      <c r="R13" s="4">
        <f t="shared" si="12"/>
        <v>267.62875256000001</v>
      </c>
      <c r="S13" s="4">
        <f t="shared" si="12"/>
        <v>269.48093128448005</v>
      </c>
      <c r="T13" s="4">
        <f t="shared" si="12"/>
        <v>271.3256680961411</v>
      </c>
      <c r="U13" s="4">
        <f t="shared" si="12"/>
        <v>273.16249223756432</v>
      </c>
    </row>
    <row r="14" spans="1:47" x14ac:dyDescent="0.2">
      <c r="B14" s="2" t="s">
        <v>75</v>
      </c>
      <c r="C14" s="5"/>
      <c r="D14" s="5"/>
      <c r="E14" s="4"/>
      <c r="F14" s="4"/>
      <c r="G14" s="4"/>
      <c r="H14" s="4"/>
      <c r="I14" s="4"/>
      <c r="J14" s="27" t="s">
        <v>139</v>
      </c>
      <c r="K14" s="27" t="s">
        <v>139</v>
      </c>
      <c r="L14" s="4">
        <v>150.47900000000001</v>
      </c>
      <c r="M14" s="4">
        <v>136.833</v>
      </c>
      <c r="N14" s="4">
        <v>133.71700000000001</v>
      </c>
      <c r="O14" s="4">
        <v>141.05799999999999</v>
      </c>
      <c r="P14" s="4">
        <f>22%*P16</f>
        <v>139.98217199999999</v>
      </c>
      <c r="Q14" s="4">
        <f t="shared" ref="Q14:U14" si="13">22%*Q16</f>
        <v>129.03879999999998</v>
      </c>
      <c r="R14" s="4">
        <f t="shared" si="13"/>
        <v>127.99635992</v>
      </c>
      <c r="S14" s="4">
        <f t="shared" si="13"/>
        <v>128.88218452736001</v>
      </c>
      <c r="T14" s="4">
        <f t="shared" si="13"/>
        <v>129.76444995902401</v>
      </c>
      <c r="U14" s="4">
        <f t="shared" si="13"/>
        <v>130.64293107013944</v>
      </c>
    </row>
    <row r="15" spans="1:47" x14ac:dyDescent="0.2">
      <c r="B15" s="2" t="s">
        <v>76</v>
      </c>
      <c r="C15" s="5"/>
      <c r="D15" s="5"/>
      <c r="E15" s="4"/>
      <c r="F15" s="4"/>
      <c r="G15" s="4"/>
      <c r="H15" s="4"/>
      <c r="I15" s="4"/>
      <c r="J15" s="27" t="s">
        <v>139</v>
      </c>
      <c r="K15" s="27" t="s">
        <v>139</v>
      </c>
      <c r="L15" s="4">
        <v>147.50700000000001</v>
      </c>
      <c r="M15" s="4">
        <v>146.49799999999999</v>
      </c>
      <c r="N15" s="4">
        <v>172.85900000000001</v>
      </c>
      <c r="O15" s="4">
        <v>204.71799999999999</v>
      </c>
      <c r="P15" s="4">
        <f>32%*P16</f>
        <v>203.610432</v>
      </c>
      <c r="Q15" s="4">
        <f t="shared" ref="Q15:U15" si="14">32%*Q16</f>
        <v>187.69280000000001</v>
      </c>
      <c r="R15" s="4">
        <f t="shared" si="14"/>
        <v>186.17652352000002</v>
      </c>
      <c r="S15" s="4">
        <f t="shared" si="14"/>
        <v>187.46499567616004</v>
      </c>
      <c r="T15" s="4">
        <f t="shared" si="14"/>
        <v>188.74829084948945</v>
      </c>
      <c r="U15" s="4">
        <f t="shared" si="14"/>
        <v>190.02608155656645</v>
      </c>
    </row>
    <row r="16" spans="1:47" s="1" customFormat="1" x14ac:dyDescent="0.2">
      <c r="B16" s="1" t="s">
        <v>41</v>
      </c>
      <c r="C16" s="28"/>
      <c r="D16" s="28"/>
      <c r="E16" s="28">
        <v>316.80399999999997</v>
      </c>
      <c r="F16" s="28"/>
      <c r="G16" s="28">
        <v>315.94099999999997</v>
      </c>
      <c r="H16" s="28"/>
      <c r="I16" s="28"/>
      <c r="J16" s="28">
        <v>509.28399999999999</v>
      </c>
      <c r="K16" s="28">
        <v>522.93700000000001</v>
      </c>
      <c r="L16" s="28">
        <v>551.74900000000002</v>
      </c>
      <c r="M16" s="28">
        <v>527.20100000000002</v>
      </c>
      <c r="N16" s="28">
        <v>579.077</v>
      </c>
      <c r="O16" s="28">
        <v>639.48</v>
      </c>
      <c r="P16" s="28">
        <f>+SUM(P11:P12)</f>
        <v>636.2826</v>
      </c>
      <c r="Q16" s="28">
        <f>+SUM(Q11:Q12)</f>
        <v>586.54</v>
      </c>
      <c r="R16" s="28">
        <f t="shared" ref="R16:U16" si="15">+SUM(R11:R12)</f>
        <v>581.80163600000003</v>
      </c>
      <c r="S16" s="28">
        <f t="shared" si="15"/>
        <v>585.8281114880001</v>
      </c>
      <c r="T16" s="28">
        <f t="shared" si="15"/>
        <v>589.83840890465456</v>
      </c>
      <c r="U16" s="28">
        <f t="shared" si="15"/>
        <v>593.83150486427019</v>
      </c>
      <c r="V16" s="2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</row>
    <row r="17" spans="2:47" x14ac:dyDescent="0.2">
      <c r="B17" s="2" t="s">
        <v>52</v>
      </c>
      <c r="C17" s="4"/>
      <c r="D17" s="4"/>
      <c r="E17" s="4">
        <f>-3.481+4.974</f>
        <v>1.4930000000000003</v>
      </c>
      <c r="F17" s="4"/>
      <c r="G17" s="4">
        <f>0.627+3.246</f>
        <v>3.8730000000000002</v>
      </c>
      <c r="H17" s="4"/>
      <c r="I17" s="4"/>
      <c r="J17" s="4">
        <f>-5.613+9.315</f>
        <v>3.7019999999999991</v>
      </c>
      <c r="K17" s="4">
        <f>1.432+0.056+7.396</f>
        <v>8.8840000000000003</v>
      </c>
      <c r="L17" s="4">
        <f>4.384+0.128+9.323</f>
        <v>13.835000000000001</v>
      </c>
      <c r="M17" s="4">
        <f>11.669+8.953</f>
        <v>20.622</v>
      </c>
      <c r="N17" s="4">
        <f>-0.744+12.546</f>
        <v>11.802</v>
      </c>
      <c r="O17" s="4">
        <f>-4.836+16.501</f>
        <v>11.665000000000001</v>
      </c>
      <c r="P17" s="4">
        <v>11.7</v>
      </c>
      <c r="Q17" s="4">
        <v>11.7</v>
      </c>
      <c r="R17" s="4">
        <v>11.7</v>
      </c>
      <c r="S17" s="4">
        <v>11.7</v>
      </c>
      <c r="T17" s="4">
        <v>11.7</v>
      </c>
      <c r="U17" s="4">
        <v>11.7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2:47" x14ac:dyDescent="0.2">
      <c r="B18" s="2" t="s">
        <v>53</v>
      </c>
      <c r="C18" s="4">
        <f t="shared" ref="C18:F18" si="16">+C16+C17</f>
        <v>0</v>
      </c>
      <c r="D18" s="4">
        <f t="shared" si="16"/>
        <v>0</v>
      </c>
      <c r="E18" s="4">
        <f t="shared" si="16"/>
        <v>318.29699999999997</v>
      </c>
      <c r="F18" s="4">
        <f t="shared" si="16"/>
        <v>0</v>
      </c>
      <c r="G18" s="4">
        <f>+G16+G17</f>
        <v>319.81399999999996</v>
      </c>
      <c r="H18" s="4">
        <f t="shared" ref="H18" si="17">+H16+H17</f>
        <v>0</v>
      </c>
      <c r="I18" s="4"/>
      <c r="J18" s="4">
        <f t="shared" ref="J18:U18" si="18">+J16+J17</f>
        <v>512.98599999999999</v>
      </c>
      <c r="K18" s="4">
        <f t="shared" si="18"/>
        <v>531.82100000000003</v>
      </c>
      <c r="L18" s="4">
        <f t="shared" si="18"/>
        <v>565.58400000000006</v>
      </c>
      <c r="M18" s="4">
        <f t="shared" si="18"/>
        <v>547.82299999999998</v>
      </c>
      <c r="N18" s="4">
        <f t="shared" si="18"/>
        <v>590.87900000000002</v>
      </c>
      <c r="O18" s="4">
        <f t="shared" si="18"/>
        <v>651.14499999999998</v>
      </c>
      <c r="P18" s="4">
        <f t="shared" si="18"/>
        <v>647.98260000000005</v>
      </c>
      <c r="Q18" s="4">
        <f t="shared" si="18"/>
        <v>598.24</v>
      </c>
      <c r="R18" s="4">
        <f t="shared" si="18"/>
        <v>593.50163600000008</v>
      </c>
      <c r="S18" s="4">
        <f t="shared" si="18"/>
        <v>597.52811148800015</v>
      </c>
      <c r="T18" s="4">
        <f t="shared" si="18"/>
        <v>601.5384089046546</v>
      </c>
      <c r="U18" s="4">
        <f t="shared" si="18"/>
        <v>605.53150486427023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2:47" x14ac:dyDescent="0.2">
      <c r="B19" s="2" t="s">
        <v>42</v>
      </c>
      <c r="C19" s="4"/>
      <c r="D19" s="4"/>
      <c r="E19" s="4">
        <v>184.017</v>
      </c>
      <c r="F19" s="4"/>
      <c r="G19" s="4">
        <v>168.78299999999999</v>
      </c>
      <c r="H19" s="4"/>
      <c r="I19" s="4"/>
      <c r="J19" s="4">
        <v>300.27300000000002</v>
      </c>
      <c r="K19" s="4">
        <v>327.03399999999999</v>
      </c>
      <c r="L19" s="4">
        <v>332.10399999999998</v>
      </c>
      <c r="M19" s="4">
        <v>309.84500000000003</v>
      </c>
      <c r="N19" s="4">
        <v>346.10899999999998</v>
      </c>
      <c r="O19" s="4">
        <v>366.07499999999999</v>
      </c>
      <c r="P19" s="4">
        <f>+P18-P20</f>
        <v>348.92977800000006</v>
      </c>
      <c r="Q19" s="4">
        <f>+Q18-Q20</f>
        <v>322.56620000000004</v>
      </c>
      <c r="R19" s="4">
        <f t="shared" ref="R19:U19" si="19">+R18-R20</f>
        <v>320.05486708000007</v>
      </c>
      <c r="S19" s="4">
        <f t="shared" si="19"/>
        <v>322.18889908864014</v>
      </c>
      <c r="T19" s="4">
        <f t="shared" si="19"/>
        <v>324.31435671946696</v>
      </c>
      <c r="U19" s="4">
        <f t="shared" si="19"/>
        <v>326.43069757806325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2:47" x14ac:dyDescent="0.2">
      <c r="B20" s="2" t="s">
        <v>71</v>
      </c>
      <c r="C20" s="4">
        <f t="shared" ref="C20:F20" si="20">+C18-C19</f>
        <v>0</v>
      </c>
      <c r="D20" s="4">
        <f t="shared" si="20"/>
        <v>0</v>
      </c>
      <c r="E20" s="4">
        <f t="shared" si="20"/>
        <v>134.27999999999997</v>
      </c>
      <c r="F20" s="4">
        <f t="shared" si="20"/>
        <v>0</v>
      </c>
      <c r="G20" s="4">
        <f>+G18-G19</f>
        <v>151.03099999999998</v>
      </c>
      <c r="H20" s="4">
        <f t="shared" ref="H20" si="21">+H18-H19</f>
        <v>0</v>
      </c>
      <c r="I20" s="4"/>
      <c r="J20" s="4">
        <f t="shared" ref="J20:O20" si="22">+J18-J19</f>
        <v>212.71299999999997</v>
      </c>
      <c r="K20" s="4">
        <f t="shared" si="22"/>
        <v>204.78700000000003</v>
      </c>
      <c r="L20" s="4">
        <f t="shared" si="22"/>
        <v>233.48000000000008</v>
      </c>
      <c r="M20" s="4">
        <f t="shared" si="22"/>
        <v>237.97799999999995</v>
      </c>
      <c r="N20" s="4">
        <f t="shared" si="22"/>
        <v>244.77000000000004</v>
      </c>
      <c r="O20" s="4">
        <f t="shared" si="22"/>
        <v>285.07</v>
      </c>
      <c r="P20" s="4">
        <f>+P16*P41</f>
        <v>299.05282199999999</v>
      </c>
      <c r="Q20" s="4">
        <f>+Q16*Q41</f>
        <v>275.67379999999997</v>
      </c>
      <c r="R20" s="4">
        <f t="shared" ref="R20:U20" si="23">+R16*R41</f>
        <v>273.44676892000001</v>
      </c>
      <c r="S20" s="4">
        <f t="shared" si="23"/>
        <v>275.33921239936001</v>
      </c>
      <c r="T20" s="4">
        <f t="shared" si="23"/>
        <v>277.22405218518765</v>
      </c>
      <c r="U20" s="4">
        <f t="shared" si="23"/>
        <v>279.10080728620699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2:47" x14ac:dyDescent="0.2">
      <c r="B21" s="2" t="s">
        <v>70</v>
      </c>
      <c r="C21" s="4"/>
      <c r="D21" s="4"/>
      <c r="E21" s="4">
        <v>40.384999999999998</v>
      </c>
      <c r="F21" s="4"/>
      <c r="G21" s="4">
        <v>46.203000000000003</v>
      </c>
      <c r="H21" s="4"/>
      <c r="I21" s="4"/>
      <c r="J21" s="4">
        <v>74.275000000000006</v>
      </c>
      <c r="K21" s="4">
        <v>75.721999999999994</v>
      </c>
      <c r="L21" s="4">
        <v>78.956999999999994</v>
      </c>
      <c r="M21" s="4">
        <v>79</v>
      </c>
      <c r="N21" s="4">
        <v>76.611999999999995</v>
      </c>
      <c r="O21" s="4">
        <v>84.084000000000003</v>
      </c>
      <c r="P21" s="4">
        <f>+(P20-P24)*35%</f>
        <v>89.079563999999991</v>
      </c>
      <c r="Q21" s="4">
        <f t="shared" ref="Q21:U21" si="24">+(Q20-Q24)*35%</f>
        <v>83.142044999999982</v>
      </c>
      <c r="R21" s="4">
        <f t="shared" si="24"/>
        <v>83.488534766000001</v>
      </c>
      <c r="S21" s="4">
        <f t="shared" si="24"/>
        <v>84.066333998527995</v>
      </c>
      <c r="T21" s="4">
        <f t="shared" si="24"/>
        <v>84.641811677817927</v>
      </c>
      <c r="U21" s="4">
        <f t="shared" si="24"/>
        <v>85.214820948022762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2:47" x14ac:dyDescent="0.2">
      <c r="B22" s="2" t="s">
        <v>44</v>
      </c>
      <c r="C22" s="4"/>
      <c r="D22" s="4"/>
      <c r="E22" s="4">
        <v>10.353</v>
      </c>
      <c r="F22" s="4"/>
      <c r="G22" s="4">
        <v>10.414999999999999</v>
      </c>
      <c r="H22" s="4"/>
      <c r="I22" s="4"/>
      <c r="J22" s="4">
        <v>16.538</v>
      </c>
      <c r="K22" s="4">
        <v>18.751999999999999</v>
      </c>
      <c r="L22" s="4">
        <v>18.495000000000001</v>
      </c>
      <c r="M22" s="4">
        <v>18.446000000000002</v>
      </c>
      <c r="N22" s="4">
        <v>20.321999999999999</v>
      </c>
      <c r="O22" s="4">
        <v>20.478999999999999</v>
      </c>
      <c r="P22" s="4">
        <f>+(P20-P24)*9%</f>
        <v>22.906173599999999</v>
      </c>
      <c r="Q22" s="4">
        <f t="shared" ref="Q22:U22" si="25">+(Q20-Q24)*9%</f>
        <v>21.379382999999997</v>
      </c>
      <c r="R22" s="4">
        <f t="shared" si="25"/>
        <v>21.468480368399998</v>
      </c>
      <c r="S22" s="4">
        <f t="shared" si="25"/>
        <v>21.6170573139072</v>
      </c>
      <c r="T22" s="4">
        <f t="shared" si="25"/>
        <v>21.765037288581752</v>
      </c>
      <c r="U22" s="4">
        <f t="shared" si="25"/>
        <v>21.91238252949157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2:47" x14ac:dyDescent="0.2">
      <c r="B23" s="2" t="s">
        <v>45</v>
      </c>
      <c r="C23" s="4"/>
      <c r="D23" s="4"/>
      <c r="E23" s="4">
        <v>61.094999999999999</v>
      </c>
      <c r="F23" s="4"/>
      <c r="G23" s="4">
        <v>72.471000000000004</v>
      </c>
      <c r="H23" s="4"/>
      <c r="I23" s="4"/>
      <c r="J23" s="4">
        <v>91.861000000000004</v>
      </c>
      <c r="K23" s="4">
        <v>94.13</v>
      </c>
      <c r="L23" s="4">
        <v>98.942999999999998</v>
      </c>
      <c r="M23" s="4">
        <v>101.958</v>
      </c>
      <c r="N23" s="4">
        <v>113.312</v>
      </c>
      <c r="O23" s="4">
        <v>132.43100000000001</v>
      </c>
      <c r="P23" s="4">
        <f>+(P20-P24)*56%</f>
        <v>142.5273024</v>
      </c>
      <c r="Q23" s="4">
        <f t="shared" ref="Q23:U23" si="26">+(Q20-Q24)*56%</f>
        <v>133.02727199999998</v>
      </c>
      <c r="R23" s="4">
        <f t="shared" si="26"/>
        <v>133.58165562560001</v>
      </c>
      <c r="S23" s="4">
        <f t="shared" si="26"/>
        <v>134.50613439764481</v>
      </c>
      <c r="T23" s="4">
        <f t="shared" si="26"/>
        <v>135.4268986845087</v>
      </c>
      <c r="U23" s="4">
        <f t="shared" si="26"/>
        <v>136.34371351683646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</row>
    <row r="24" spans="2:47" x14ac:dyDescent="0.2">
      <c r="B24" s="2" t="s">
        <v>46</v>
      </c>
      <c r="C24" s="4">
        <f t="shared" ref="C24:F24" si="27">+C20-SUM(C21:C23)</f>
        <v>0</v>
      </c>
      <c r="D24" s="4">
        <f t="shared" si="27"/>
        <v>0</v>
      </c>
      <c r="E24" s="4">
        <f t="shared" si="27"/>
        <v>22.446999999999974</v>
      </c>
      <c r="F24" s="4">
        <f t="shared" si="27"/>
        <v>0</v>
      </c>
      <c r="G24" s="4">
        <f>+G20-SUM(G21:G23)</f>
        <v>21.941999999999979</v>
      </c>
      <c r="H24" s="4">
        <f t="shared" ref="H24" si="28">+H20-SUM(H21:H23)</f>
        <v>0</v>
      </c>
      <c r="I24" s="4"/>
      <c r="J24" s="4">
        <f t="shared" ref="J24:O24" si="29">+J20-SUM(J21:J23)</f>
        <v>30.038999999999959</v>
      </c>
      <c r="K24" s="4">
        <f t="shared" si="29"/>
        <v>16.18300000000005</v>
      </c>
      <c r="L24" s="4">
        <f t="shared" si="29"/>
        <v>37.085000000000093</v>
      </c>
      <c r="M24" s="4">
        <f t="shared" si="29"/>
        <v>38.573999999999955</v>
      </c>
      <c r="N24" s="4">
        <f t="shared" si="29"/>
        <v>34.524000000000058</v>
      </c>
      <c r="O24" s="4">
        <f t="shared" si="29"/>
        <v>48.075999999999965</v>
      </c>
      <c r="P24" s="4">
        <f>+P16*P42</f>
        <v>44.539782000000002</v>
      </c>
      <c r="Q24" s="4">
        <f>+Q16*Q42</f>
        <v>38.125099999999996</v>
      </c>
      <c r="R24" s="4">
        <f t="shared" ref="R24:U24" si="30">+R16*R42</f>
        <v>34.908098160000002</v>
      </c>
      <c r="S24" s="4">
        <f t="shared" si="30"/>
        <v>35.149686689280003</v>
      </c>
      <c r="T24" s="4">
        <f t="shared" si="30"/>
        <v>35.390304534279274</v>
      </c>
      <c r="U24" s="4">
        <f t="shared" si="30"/>
        <v>35.629890291856206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spans="2:47" x14ac:dyDescent="0.2">
      <c r="B25" s="2" t="s">
        <v>47</v>
      </c>
      <c r="C25" s="4"/>
      <c r="D25" s="4"/>
      <c r="E25" s="4">
        <v>7.0000000000000001E-3</v>
      </c>
      <c r="F25" s="4"/>
      <c r="G25" s="4">
        <v>1.054</v>
      </c>
      <c r="H25" s="4"/>
      <c r="I25" s="4"/>
      <c r="J25" s="4">
        <v>5.5E-2</v>
      </c>
      <c r="K25" s="4">
        <v>0.18</v>
      </c>
      <c r="L25" s="4">
        <v>5.0999999999999997E-2</v>
      </c>
      <c r="M25" s="4">
        <v>2.3E-2</v>
      </c>
      <c r="N25" s="4">
        <v>4.3999999999999997E-2</v>
      </c>
      <c r="O25" s="4">
        <v>0.72799999999999998</v>
      </c>
      <c r="P25" s="4">
        <v>2.2000000000000002</v>
      </c>
      <c r="Q25" s="4">
        <v>2.5</v>
      </c>
      <c r="R25" s="4">
        <f>+Q25*(1+3%)</f>
        <v>2.5750000000000002</v>
      </c>
      <c r="S25" s="4">
        <f t="shared" ref="S25:U25" si="31">+R25*(1+3%)</f>
        <v>2.6522500000000004</v>
      </c>
      <c r="T25" s="4">
        <f t="shared" si="31"/>
        <v>2.7318175000000005</v>
      </c>
      <c r="U25" s="4">
        <f t="shared" si="31"/>
        <v>2.8137720250000005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 spans="2:47" x14ac:dyDescent="0.2">
      <c r="B26" s="2" t="s">
        <v>48</v>
      </c>
      <c r="C26" s="4"/>
      <c r="D26" s="4"/>
      <c r="E26" s="4">
        <v>0.63200000000000001</v>
      </c>
      <c r="F26" s="4"/>
      <c r="G26" s="4">
        <v>0.52</v>
      </c>
      <c r="H26" s="4"/>
      <c r="I26" s="4"/>
      <c r="J26" s="4">
        <v>0.79200000000000004</v>
      </c>
      <c r="K26" s="4">
        <v>0.63500000000000001</v>
      </c>
      <c r="L26" s="4">
        <v>0.56299999999999994</v>
      </c>
      <c r="M26" s="4">
        <v>0.438</v>
      </c>
      <c r="N26" s="4">
        <v>0.65600000000000003</v>
      </c>
      <c r="O26" s="4">
        <v>1.125</v>
      </c>
      <c r="P26" s="4">
        <v>0.5</v>
      </c>
      <c r="Q26" s="4">
        <v>0.5</v>
      </c>
      <c r="R26" s="4">
        <v>0.5</v>
      </c>
      <c r="S26" s="4">
        <v>0.5</v>
      </c>
      <c r="T26" s="4">
        <v>0.5</v>
      </c>
      <c r="U26" s="4">
        <v>0.5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spans="2:47" x14ac:dyDescent="0.2">
      <c r="B27" s="2" t="s">
        <v>52</v>
      </c>
      <c r="C27" s="4"/>
      <c r="D27" s="4"/>
      <c r="E27" s="4"/>
      <c r="F27" s="4"/>
      <c r="G27" s="4"/>
      <c r="H27" s="4"/>
      <c r="I27" s="4"/>
      <c r="J27" s="4">
        <v>4.9000000000000002E-2</v>
      </c>
      <c r="K27" s="4">
        <v>0.56599999999999995</v>
      </c>
      <c r="L27" s="4">
        <v>0.115</v>
      </c>
      <c r="M27" s="4">
        <v>0</v>
      </c>
      <c r="N27" s="4">
        <v>0</v>
      </c>
      <c r="O27" s="4">
        <v>-0.13200000000000001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pans="2:47" x14ac:dyDescent="0.2">
      <c r="B28" s="2" t="s">
        <v>49</v>
      </c>
      <c r="C28" s="4">
        <f>+C24+C25-C26+C27</f>
        <v>0</v>
      </c>
      <c r="D28" s="4">
        <f t="shared" ref="D28:H28" si="32">+D24+D25-D26+D27</f>
        <v>0</v>
      </c>
      <c r="E28" s="4">
        <f t="shared" si="32"/>
        <v>21.821999999999974</v>
      </c>
      <c r="F28" s="4">
        <f t="shared" si="32"/>
        <v>0</v>
      </c>
      <c r="G28" s="4">
        <f t="shared" si="32"/>
        <v>22.475999999999978</v>
      </c>
      <c r="H28" s="4">
        <f t="shared" si="32"/>
        <v>0</v>
      </c>
      <c r="I28" s="4"/>
      <c r="J28" s="4">
        <f t="shared" ref="J28:U28" si="33">+J24+J25-J26+J27</f>
        <v>29.350999999999956</v>
      </c>
      <c r="K28" s="4">
        <f t="shared" si="33"/>
        <v>16.29400000000005</v>
      </c>
      <c r="L28" s="4">
        <f t="shared" si="33"/>
        <v>36.688000000000095</v>
      </c>
      <c r="M28" s="4">
        <f t="shared" si="33"/>
        <v>38.158999999999956</v>
      </c>
      <c r="N28" s="4">
        <f t="shared" si="33"/>
        <v>33.912000000000056</v>
      </c>
      <c r="O28" s="4">
        <f t="shared" si="33"/>
        <v>47.546999999999969</v>
      </c>
      <c r="P28" s="4">
        <f t="shared" si="33"/>
        <v>46.239782000000005</v>
      </c>
      <c r="Q28" s="4">
        <f t="shared" si="33"/>
        <v>40.125099999999996</v>
      </c>
      <c r="R28" s="4">
        <f t="shared" si="33"/>
        <v>36.983098160000004</v>
      </c>
      <c r="S28" s="4">
        <f t="shared" si="33"/>
        <v>37.301936689280005</v>
      </c>
      <c r="T28" s="4">
        <f t="shared" si="33"/>
        <v>37.622122034279272</v>
      </c>
      <c r="U28" s="4">
        <f t="shared" si="33"/>
        <v>37.943662316856205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2:47" x14ac:dyDescent="0.2">
      <c r="B29" s="2" t="s">
        <v>50</v>
      </c>
      <c r="C29" s="4"/>
      <c r="D29" s="4"/>
      <c r="E29" s="4">
        <f>6.054+0.273</f>
        <v>6.327</v>
      </c>
      <c r="F29" s="4"/>
      <c r="G29" s="4">
        <f>6.671+0.305</f>
        <v>6.976</v>
      </c>
      <c r="H29" s="4"/>
      <c r="I29" s="4"/>
      <c r="J29" s="4">
        <f>-0.482+9.85</f>
        <v>9.3680000000000003</v>
      </c>
      <c r="K29" s="4">
        <f>-0.045+3.747</f>
        <v>3.702</v>
      </c>
      <c r="L29" s="4">
        <f>11.219+0.385</f>
        <v>11.603999999999999</v>
      </c>
      <c r="M29" s="4">
        <f>9.122+0.403</f>
        <v>9.5250000000000004</v>
      </c>
      <c r="N29" s="4">
        <f>9.19+0.418</f>
        <v>9.6079999999999988</v>
      </c>
      <c r="O29" s="4">
        <f>13.022+0.475</f>
        <v>13.497</v>
      </c>
      <c r="P29" s="4">
        <f>+P28*P43</f>
        <v>12.947138960000002</v>
      </c>
      <c r="Q29" s="4">
        <f>+Q28*Q43</f>
        <v>11.235028</v>
      </c>
      <c r="R29" s="4">
        <f t="shared" ref="R29:U29" si="34">+R28*R43</f>
        <v>10.355267484800002</v>
      </c>
      <c r="S29" s="4">
        <f t="shared" si="34"/>
        <v>10.444542272998403</v>
      </c>
      <c r="T29" s="4">
        <f t="shared" si="34"/>
        <v>10.534194169598198</v>
      </c>
      <c r="U29" s="4">
        <f t="shared" si="34"/>
        <v>10.624225448719738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2:47" x14ac:dyDescent="0.2">
      <c r="B30" s="2" t="s">
        <v>51</v>
      </c>
      <c r="C30" s="4">
        <f t="shared" ref="C30:F30" si="35">+C28-C29</f>
        <v>0</v>
      </c>
      <c r="D30" s="4">
        <f t="shared" si="35"/>
        <v>0</v>
      </c>
      <c r="E30" s="4">
        <f t="shared" si="35"/>
        <v>15.494999999999974</v>
      </c>
      <c r="F30" s="4">
        <f t="shared" si="35"/>
        <v>0</v>
      </c>
      <c r="G30" s="4">
        <f>+G28-G29</f>
        <v>15.499999999999979</v>
      </c>
      <c r="H30" s="4">
        <f t="shared" ref="H30" si="36">+H28-H29</f>
        <v>0</v>
      </c>
      <c r="I30" s="4"/>
      <c r="J30" s="4">
        <f t="shared" ref="J30:N30" si="37">+J28-J29</f>
        <v>19.982999999999954</v>
      </c>
      <c r="K30" s="4">
        <f t="shared" si="37"/>
        <v>12.59200000000005</v>
      </c>
      <c r="L30" s="4">
        <f t="shared" si="37"/>
        <v>25.084000000000096</v>
      </c>
      <c r="M30" s="4">
        <f t="shared" si="37"/>
        <v>28.633999999999958</v>
      </c>
      <c r="N30" s="4">
        <f t="shared" si="37"/>
        <v>24.304000000000059</v>
      </c>
      <c r="O30" s="4">
        <f>+O28-O29</f>
        <v>34.049999999999969</v>
      </c>
      <c r="P30" s="4">
        <f t="shared" ref="P30:U30" si="38">+P28-P29</f>
        <v>33.292643040000002</v>
      </c>
      <c r="Q30" s="4">
        <f t="shared" si="38"/>
        <v>28.890071999999996</v>
      </c>
      <c r="R30" s="4">
        <f t="shared" si="38"/>
        <v>26.627830675200002</v>
      </c>
      <c r="S30" s="4">
        <f t="shared" si="38"/>
        <v>26.857394416281601</v>
      </c>
      <c r="T30" s="4">
        <f t="shared" si="38"/>
        <v>27.087927864681074</v>
      </c>
      <c r="U30" s="4">
        <f t="shared" si="38"/>
        <v>27.319436868136467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2:47" x14ac:dyDescent="0.2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spans="2:47" x14ac:dyDescent="0.2">
      <c r="B32" s="2" t="s">
        <v>137</v>
      </c>
      <c r="C32" s="4"/>
      <c r="D32" s="4"/>
      <c r="E32" s="4"/>
      <c r="F32" s="4"/>
      <c r="G32" s="4"/>
      <c r="H32" s="4"/>
      <c r="I32" s="4"/>
      <c r="J32" s="4">
        <f t="shared" ref="J32:N32" si="39">+J30/J33</f>
        <v>2.9330691325407243</v>
      </c>
      <c r="K32" s="4">
        <f t="shared" si="39"/>
        <v>1.8482313224717526</v>
      </c>
      <c r="L32" s="4">
        <f t="shared" si="39"/>
        <v>3.6817848231322614</v>
      </c>
      <c r="M32" s="4">
        <f t="shared" si="39"/>
        <v>4.2028474974313754</v>
      </c>
      <c r="N32" s="4">
        <f t="shared" si="39"/>
        <v>3.5672978130045587</v>
      </c>
      <c r="O32" s="4">
        <f>+O30/O33</f>
        <v>4.9977983267283088</v>
      </c>
      <c r="P32" s="4">
        <f t="shared" ref="P32:U32" si="40">+P30/P33</f>
        <v>4.8866348216644653</v>
      </c>
      <c r="Q32" s="4">
        <f t="shared" si="40"/>
        <v>4.240433289299868</v>
      </c>
      <c r="R32" s="4">
        <f t="shared" si="40"/>
        <v>3.9083855387054167</v>
      </c>
      <c r="S32" s="4">
        <f t="shared" si="40"/>
        <v>3.9420804955645972</v>
      </c>
      <c r="T32" s="4">
        <f t="shared" si="40"/>
        <v>3.9759177843359863</v>
      </c>
      <c r="U32" s="4">
        <f t="shared" si="40"/>
        <v>4.0098982633401539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1:47" x14ac:dyDescent="0.2">
      <c r="B33" s="2" t="s">
        <v>3</v>
      </c>
      <c r="C33" s="4"/>
      <c r="D33" s="4"/>
      <c r="E33" s="4"/>
      <c r="F33" s="4"/>
      <c r="G33" s="4"/>
      <c r="H33" s="4"/>
      <c r="I33" s="4"/>
      <c r="J33" s="4">
        <v>6.8129999999999997</v>
      </c>
      <c r="K33" s="4">
        <v>6.8129999999999997</v>
      </c>
      <c r="L33" s="4">
        <v>6.8129999999999997</v>
      </c>
      <c r="M33" s="4">
        <v>6.8129999999999997</v>
      </c>
      <c r="N33" s="4">
        <v>6.8129999999999997</v>
      </c>
      <c r="O33" s="4">
        <v>6.8129999999999997</v>
      </c>
      <c r="P33" s="4">
        <v>6.8129999999999997</v>
      </c>
      <c r="Q33" s="4">
        <v>6.8129999999999997</v>
      </c>
      <c r="R33" s="4">
        <v>6.8129999999999997</v>
      </c>
      <c r="S33" s="4">
        <v>6.8129999999999997</v>
      </c>
      <c r="T33" s="4">
        <v>6.8129999999999997</v>
      </c>
      <c r="U33" s="4">
        <v>6.8129999999999997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spans="1:47" x14ac:dyDescent="0.2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pans="1:47" x14ac:dyDescent="0.2">
      <c r="B35" s="2" t="s">
        <v>77</v>
      </c>
      <c r="C35" s="4"/>
      <c r="D35" s="4"/>
      <c r="E35" s="4"/>
      <c r="F35" s="4"/>
      <c r="G35" s="4"/>
      <c r="H35" s="4"/>
      <c r="I35" s="4"/>
      <c r="J35" s="30" t="s">
        <v>139</v>
      </c>
      <c r="K35" s="23">
        <f t="shared" ref="K35:U40" si="41">+K11/J11-1</f>
        <v>5.1192145862552607E-2</v>
      </c>
      <c r="L35" s="23">
        <f t="shared" si="41"/>
        <v>6.5400266844563015E-2</v>
      </c>
      <c r="M35" s="23">
        <f t="shared" si="41"/>
        <v>-2.7610540783389093E-2</v>
      </c>
      <c r="N35" s="23">
        <f t="shared" si="41"/>
        <v>0.12386827565778447</v>
      </c>
      <c r="O35" s="23">
        <f t="shared" si="41"/>
        <v>0.15123474474302423</v>
      </c>
      <c r="P35" s="23">
        <f t="shared" si="41"/>
        <v>-5.0000000000000044E-3</v>
      </c>
      <c r="Q35" s="23">
        <f t="shared" si="41"/>
        <v>-1.1856595407046533E-2</v>
      </c>
      <c r="R35" s="23">
        <f t="shared" si="41"/>
        <v>-2.7053333333333263E-2</v>
      </c>
      <c r="S35" s="23">
        <f t="shared" si="41"/>
        <v>-5.4790697674417244E-3</v>
      </c>
      <c r="T35" s="23">
        <f t="shared" si="41"/>
        <v>-6.0428571428573497E-3</v>
      </c>
      <c r="U35" s="23">
        <f t="shared" si="41"/>
        <v>-6.6341463414631985E-3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1:47" x14ac:dyDescent="0.2">
      <c r="B36" s="2" t="s">
        <v>78</v>
      </c>
      <c r="C36" s="4"/>
      <c r="D36" s="4"/>
      <c r="E36" s="4"/>
      <c r="F36" s="4"/>
      <c r="G36" s="4"/>
      <c r="H36" s="4"/>
      <c r="I36" s="4"/>
      <c r="J36" s="30" t="s">
        <v>139</v>
      </c>
      <c r="K36" s="23">
        <f t="shared" si="41"/>
        <v>-4.4622936189201434E-3</v>
      </c>
      <c r="L36" s="23">
        <f t="shared" si="41"/>
        <v>4.1425369789332311E-2</v>
      </c>
      <c r="M36" s="23">
        <f t="shared" si="41"/>
        <v>-6.7697618166323803E-2</v>
      </c>
      <c r="N36" s="23">
        <f t="shared" si="41"/>
        <v>6.1879942570390423E-2</v>
      </c>
      <c r="O36" s="23">
        <f t="shared" si="41"/>
        <v>3.3097553659077406E-2</v>
      </c>
      <c r="P36" s="23">
        <f t="shared" si="41"/>
        <v>-5.0000000000000044E-3</v>
      </c>
      <c r="Q36" s="23">
        <f t="shared" si="41"/>
        <v>-0.19032946155682673</v>
      </c>
      <c r="R36" s="23">
        <f t="shared" si="41"/>
        <v>3.1082365231926534E-2</v>
      </c>
      <c r="S36" s="23">
        <f t="shared" si="41"/>
        <v>3.1068842137455865E-2</v>
      </c>
      <c r="T36" s="23">
        <f t="shared" si="41"/>
        <v>3.1055501844184707E-2</v>
      </c>
      <c r="U36" s="23">
        <f t="shared" si="41"/>
        <v>3.1042341538187523E-2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spans="1:47" x14ac:dyDescent="0.2">
      <c r="B37" s="2" t="s">
        <v>79</v>
      </c>
      <c r="C37" s="4"/>
      <c r="D37" s="4"/>
      <c r="E37" s="4"/>
      <c r="F37" s="4"/>
      <c r="G37" s="4"/>
      <c r="H37" s="4"/>
      <c r="I37" s="4"/>
      <c r="J37" s="30" t="s">
        <v>139</v>
      </c>
      <c r="K37" s="27" t="s">
        <v>139</v>
      </c>
      <c r="L37" s="27" t="s">
        <v>139</v>
      </c>
      <c r="M37" s="23">
        <f t="shared" si="41"/>
        <v>-3.8985194847160565E-2</v>
      </c>
      <c r="N37" s="23">
        <f t="shared" si="41"/>
        <v>0.11740271456103657</v>
      </c>
      <c r="O37" s="23">
        <f t="shared" si="41"/>
        <v>7.7808888774720142E-2</v>
      </c>
      <c r="P37" s="23">
        <f t="shared" si="41"/>
        <v>-3.452469152616211E-3</v>
      </c>
      <c r="Q37" s="23">
        <f t="shared" si="41"/>
        <v>-7.8176898126712913E-2</v>
      </c>
      <c r="R37" s="23">
        <f t="shared" si="41"/>
        <v>-8.078501039997299E-3</v>
      </c>
      <c r="S37" s="23">
        <f t="shared" si="41"/>
        <v>6.9207015567760433E-3</v>
      </c>
      <c r="T37" s="23">
        <f t="shared" si="41"/>
        <v>6.8455189124816407E-3</v>
      </c>
      <c r="U37" s="23">
        <f t="shared" si="41"/>
        <v>6.7698133918254744E-3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spans="1:47" x14ac:dyDescent="0.2">
      <c r="B38" s="2" t="s">
        <v>80</v>
      </c>
      <c r="C38" s="4"/>
      <c r="D38" s="4"/>
      <c r="E38" s="4"/>
      <c r="F38" s="4"/>
      <c r="G38" s="4"/>
      <c r="H38" s="4"/>
      <c r="I38" s="4"/>
      <c r="J38" s="30" t="s">
        <v>139</v>
      </c>
      <c r="K38" s="27" t="s">
        <v>139</v>
      </c>
      <c r="L38" s="27" t="s">
        <v>139</v>
      </c>
      <c r="M38" s="23">
        <f t="shared" si="41"/>
        <v>-9.0683749892011556E-2</v>
      </c>
      <c r="N38" s="23">
        <f t="shared" si="41"/>
        <v>-2.2772284463543069E-2</v>
      </c>
      <c r="O38" s="23">
        <f t="shared" si="41"/>
        <v>5.4899526612173233E-2</v>
      </c>
      <c r="P38" s="23">
        <f t="shared" si="41"/>
        <v>-7.6268485303917499E-3</v>
      </c>
      <c r="Q38" s="23">
        <f t="shared" si="41"/>
        <v>-7.8176898126712913E-2</v>
      </c>
      <c r="R38" s="23">
        <f t="shared" si="41"/>
        <v>-8.0785010399970769E-3</v>
      </c>
      <c r="S38" s="23">
        <f t="shared" si="41"/>
        <v>6.9207015567760433E-3</v>
      </c>
      <c r="T38" s="23">
        <f t="shared" si="41"/>
        <v>6.8455189124816407E-3</v>
      </c>
      <c r="U38" s="23">
        <f t="shared" si="41"/>
        <v>6.7698133918252523E-3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</row>
    <row r="39" spans="1:47" x14ac:dyDescent="0.2">
      <c r="B39" s="2" t="s">
        <v>81</v>
      </c>
      <c r="C39" s="4"/>
      <c r="D39" s="4"/>
      <c r="E39" s="4"/>
      <c r="F39" s="4"/>
      <c r="G39" s="4"/>
      <c r="H39" s="4"/>
      <c r="I39" s="4"/>
      <c r="J39" s="30" t="s">
        <v>139</v>
      </c>
      <c r="K39" s="27" t="s">
        <v>139</v>
      </c>
      <c r="L39" s="27" t="s">
        <v>139</v>
      </c>
      <c r="M39" s="23">
        <f t="shared" si="41"/>
        <v>-6.8403533391636628E-3</v>
      </c>
      <c r="N39" s="23">
        <f t="shared" si="41"/>
        <v>0.17994102308563953</v>
      </c>
      <c r="O39" s="23">
        <f t="shared" si="41"/>
        <v>0.18430628431264773</v>
      </c>
      <c r="P39" s="23">
        <f t="shared" si="41"/>
        <v>-5.4102130735939058E-3</v>
      </c>
      <c r="Q39" s="23">
        <f t="shared" si="41"/>
        <v>-7.8176898126712913E-2</v>
      </c>
      <c r="R39" s="23">
        <f t="shared" si="41"/>
        <v>-8.0785010399971879E-3</v>
      </c>
      <c r="S39" s="23">
        <f t="shared" si="41"/>
        <v>6.9207015567760433E-3</v>
      </c>
      <c r="T39" s="23">
        <f t="shared" si="41"/>
        <v>6.8455189124814186E-3</v>
      </c>
      <c r="U39" s="23">
        <f t="shared" si="41"/>
        <v>6.7698133918252523E-3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</row>
    <row r="40" spans="1:47" x14ac:dyDescent="0.2">
      <c r="B40" s="2" t="s">
        <v>54</v>
      </c>
      <c r="C40" s="4"/>
      <c r="D40" s="4"/>
      <c r="E40" s="4"/>
      <c r="F40" s="4"/>
      <c r="G40" s="23">
        <f>+G16/E16-1</f>
        <v>-2.7240817666444039E-3</v>
      </c>
      <c r="H40" s="4"/>
      <c r="I40" s="4"/>
      <c r="J40" s="30" t="s">
        <v>139</v>
      </c>
      <c r="K40" s="23">
        <f t="shared" ref="K40:N40" si="42">+K16/J16-1</f>
        <v>2.680822488042045E-2</v>
      </c>
      <c r="L40" s="23">
        <f t="shared" si="42"/>
        <v>5.5096503020440446E-2</v>
      </c>
      <c r="M40" s="23">
        <f t="shared" si="42"/>
        <v>-4.4491245113267075E-2</v>
      </c>
      <c r="N40" s="23">
        <f t="shared" si="42"/>
        <v>9.8398902885237227E-2</v>
      </c>
      <c r="O40" s="23">
        <f t="shared" si="41"/>
        <v>0.10430909878997108</v>
      </c>
      <c r="P40" s="23">
        <f t="shared" si="41"/>
        <v>-5.0000000000000044E-3</v>
      </c>
      <c r="Q40" s="23">
        <f t="shared" si="41"/>
        <v>-7.8176898126712913E-2</v>
      </c>
      <c r="R40" s="23">
        <f t="shared" si="41"/>
        <v>-8.0785010399971879E-3</v>
      </c>
      <c r="S40" s="23">
        <f t="shared" si="41"/>
        <v>6.9207015567760433E-3</v>
      </c>
      <c r="T40" s="23">
        <f t="shared" si="41"/>
        <v>6.8455189124816407E-3</v>
      </c>
      <c r="U40" s="23">
        <f t="shared" si="41"/>
        <v>6.7698133918252523E-3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</row>
    <row r="41" spans="1:47" x14ac:dyDescent="0.2">
      <c r="B41" s="2" t="s">
        <v>43</v>
      </c>
      <c r="C41" s="23" t="e">
        <f t="shared" ref="C41:H41" si="43">+C20/C18</f>
        <v>#DIV/0!</v>
      </c>
      <c r="D41" s="23" t="e">
        <f t="shared" si="43"/>
        <v>#DIV/0!</v>
      </c>
      <c r="E41" s="23">
        <f t="shared" si="43"/>
        <v>0.42187014015212204</v>
      </c>
      <c r="F41" s="23" t="e">
        <f t="shared" si="43"/>
        <v>#DIV/0!</v>
      </c>
      <c r="G41" s="23">
        <f t="shared" si="43"/>
        <v>0.47224636820151711</v>
      </c>
      <c r="H41" s="23" t="e">
        <f t="shared" si="43"/>
        <v>#DIV/0!</v>
      </c>
      <c r="I41" s="4"/>
      <c r="J41" s="23">
        <f t="shared" ref="J41:O41" si="44">+J20/J18</f>
        <v>0.414656540334434</v>
      </c>
      <c r="K41" s="23">
        <f t="shared" si="44"/>
        <v>0.38506753212077</v>
      </c>
      <c r="L41" s="23">
        <f t="shared" si="44"/>
        <v>0.41281224362782548</v>
      </c>
      <c r="M41" s="23">
        <f t="shared" si="44"/>
        <v>0.43440673356175252</v>
      </c>
      <c r="N41" s="23">
        <f t="shared" si="44"/>
        <v>0.41424724859065903</v>
      </c>
      <c r="O41" s="23">
        <f t="shared" si="44"/>
        <v>0.43779803269625045</v>
      </c>
      <c r="P41" s="23">
        <v>0.47</v>
      </c>
      <c r="Q41" s="23">
        <v>0.47</v>
      </c>
      <c r="R41" s="23">
        <v>0.47</v>
      </c>
      <c r="S41" s="23">
        <v>0.47</v>
      </c>
      <c r="T41" s="23">
        <v>0.47</v>
      </c>
      <c r="U41" s="23">
        <v>0.47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spans="1:47" x14ac:dyDescent="0.2">
      <c r="B42" s="2" t="s">
        <v>55</v>
      </c>
      <c r="C42" s="23" t="e">
        <f t="shared" ref="C42:H42" si="45">+C24/C18</f>
        <v>#DIV/0!</v>
      </c>
      <c r="D42" s="23" t="e">
        <f t="shared" si="45"/>
        <v>#DIV/0!</v>
      </c>
      <c r="E42" s="23">
        <f t="shared" si="45"/>
        <v>7.0522185254652023E-2</v>
      </c>
      <c r="F42" s="23" t="e">
        <f t="shared" si="45"/>
        <v>#DIV/0!</v>
      </c>
      <c r="G42" s="23">
        <f t="shared" si="45"/>
        <v>6.8608628765469873E-2</v>
      </c>
      <c r="H42" s="23" t="e">
        <f t="shared" si="45"/>
        <v>#DIV/0!</v>
      </c>
      <c r="I42" s="4"/>
      <c r="J42" s="23">
        <f t="shared" ref="J42:O42" si="46">+J24/J18</f>
        <v>5.855715360653109E-2</v>
      </c>
      <c r="K42" s="23">
        <f t="shared" si="46"/>
        <v>3.0429411399700367E-2</v>
      </c>
      <c r="L42" s="23">
        <f t="shared" si="46"/>
        <v>6.5569393759371E-2</v>
      </c>
      <c r="M42" s="23">
        <f t="shared" si="46"/>
        <v>7.041325391595453E-2</v>
      </c>
      <c r="N42" s="23">
        <f t="shared" si="46"/>
        <v>5.8428206113265248E-2</v>
      </c>
      <c r="O42" s="23">
        <f t="shared" si="46"/>
        <v>7.3833017223506228E-2</v>
      </c>
      <c r="P42" s="23">
        <v>7.0000000000000007E-2</v>
      </c>
      <c r="Q42" s="23">
        <v>6.5000000000000002E-2</v>
      </c>
      <c r="R42" s="23">
        <v>0.06</v>
      </c>
      <c r="S42" s="23">
        <v>0.06</v>
      </c>
      <c r="T42" s="23">
        <v>0.06</v>
      </c>
      <c r="U42" s="23">
        <v>0.06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spans="1:47" x14ac:dyDescent="0.2">
      <c r="B43" s="2" t="s">
        <v>56</v>
      </c>
      <c r="C43" s="23" t="e">
        <f t="shared" ref="C43:F43" si="47">+C29/C28</f>
        <v>#DIV/0!</v>
      </c>
      <c r="D43" s="23" t="e">
        <f t="shared" si="47"/>
        <v>#DIV/0!</v>
      </c>
      <c r="E43" s="23">
        <f t="shared" si="47"/>
        <v>0.28993676106681365</v>
      </c>
      <c r="F43" s="23" t="e">
        <f t="shared" si="47"/>
        <v>#DIV/0!</v>
      </c>
      <c r="G43" s="23">
        <f>+G29/G28</f>
        <v>0.31037551165687877</v>
      </c>
      <c r="H43" s="23" t="e">
        <f>+H29/H28</f>
        <v>#DIV/0!</v>
      </c>
      <c r="I43" s="4"/>
      <c r="J43" s="23">
        <f t="shared" ref="J43:O43" si="48">+J29/J28</f>
        <v>0.31917140812919542</v>
      </c>
      <c r="K43" s="23">
        <f t="shared" si="48"/>
        <v>0.22720019639130898</v>
      </c>
      <c r="L43" s="23">
        <f t="shared" si="48"/>
        <v>0.31628870475359705</v>
      </c>
      <c r="M43" s="23">
        <f t="shared" si="48"/>
        <v>0.2496134594722087</v>
      </c>
      <c r="N43" s="23">
        <f t="shared" si="48"/>
        <v>0.28332153809860766</v>
      </c>
      <c r="O43" s="23">
        <f t="shared" si="48"/>
        <v>0.28386648999936925</v>
      </c>
      <c r="P43" s="23">
        <v>0.28000000000000003</v>
      </c>
      <c r="Q43" s="23">
        <v>0.28000000000000003</v>
      </c>
      <c r="R43" s="23">
        <v>0.28000000000000003</v>
      </c>
      <c r="S43" s="23">
        <v>0.28000000000000003</v>
      </c>
      <c r="T43" s="23">
        <v>0.28000000000000003</v>
      </c>
      <c r="U43" s="23">
        <v>0.28000000000000003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x14ac:dyDescent="0.2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x14ac:dyDescent="0.2">
      <c r="A45" s="26" t="s">
        <v>103</v>
      </c>
      <c r="B45" s="3" t="s">
        <v>102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x14ac:dyDescent="0.2">
      <c r="B46" s="2" t="s">
        <v>101</v>
      </c>
      <c r="C46" s="4"/>
      <c r="D46" s="4"/>
      <c r="E46" s="4"/>
      <c r="F46" s="4"/>
      <c r="G46" s="4"/>
      <c r="H46" s="4"/>
      <c r="I46" s="4"/>
      <c r="J46" s="4">
        <v>9.9350000000000005</v>
      </c>
      <c r="K46" s="4">
        <v>12.234</v>
      </c>
      <c r="L46" s="4">
        <v>11.334</v>
      </c>
      <c r="M46" s="4">
        <v>11.496</v>
      </c>
      <c r="N46" s="4">
        <v>9.6319999999999997</v>
      </c>
      <c r="O46" s="4">
        <v>9.8610000000000007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x14ac:dyDescent="0.2">
      <c r="B47" s="2" t="s">
        <v>82</v>
      </c>
      <c r="C47" s="4"/>
      <c r="D47" s="4"/>
      <c r="E47" s="4"/>
      <c r="F47" s="4"/>
      <c r="G47" s="4"/>
      <c r="H47" s="4"/>
      <c r="I47" s="4"/>
      <c r="J47" s="4">
        <v>122.96299999999999</v>
      </c>
      <c r="K47" s="4">
        <v>126.42100000000001</v>
      </c>
      <c r="L47" s="4">
        <v>113.938</v>
      </c>
      <c r="M47" s="4">
        <v>109.946</v>
      </c>
      <c r="N47" s="4">
        <v>112.10299999999999</v>
      </c>
      <c r="O47" s="4">
        <v>112.738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x14ac:dyDescent="0.2">
      <c r="B48" s="2" t="s">
        <v>83</v>
      </c>
      <c r="C48" s="4"/>
      <c r="D48" s="4"/>
      <c r="E48" s="4"/>
      <c r="F48" s="4"/>
      <c r="G48" s="4"/>
      <c r="H48" s="4"/>
      <c r="I48" s="4"/>
      <c r="J48" s="4">
        <v>0.125</v>
      </c>
      <c r="K48" s="4">
        <v>0.16500000000000001</v>
      </c>
      <c r="L48" s="4">
        <v>0.17599999999999999</v>
      </c>
      <c r="M48" s="4">
        <v>0.186</v>
      </c>
      <c r="N48" s="4">
        <v>0.186</v>
      </c>
      <c r="O48" s="4">
        <v>3.5999999999999997E-2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spans="2:47" x14ac:dyDescent="0.2">
      <c r="B49" s="2" t="s">
        <v>138</v>
      </c>
      <c r="C49" s="4"/>
      <c r="D49" s="4"/>
      <c r="E49" s="4"/>
      <c r="F49" s="4"/>
      <c r="G49" s="4"/>
      <c r="H49" s="4"/>
      <c r="I49" s="4"/>
      <c r="J49" s="4">
        <v>2.0630000000000002</v>
      </c>
      <c r="K49" s="4">
        <v>2.7890000000000001</v>
      </c>
      <c r="L49" s="4">
        <v>0</v>
      </c>
      <c r="M49" s="4">
        <v>0</v>
      </c>
      <c r="N49" s="4">
        <v>0</v>
      </c>
      <c r="O49" s="4">
        <v>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spans="2:47" x14ac:dyDescent="0.2">
      <c r="B50" s="2" t="s">
        <v>84</v>
      </c>
      <c r="C50" s="4"/>
      <c r="D50" s="4"/>
      <c r="E50" s="4"/>
      <c r="F50" s="4"/>
      <c r="G50" s="4"/>
      <c r="H50" s="4"/>
      <c r="I50" s="4"/>
      <c r="J50" s="4">
        <f t="shared" ref="J50:N50" si="49">+SUM(J46:J49)</f>
        <v>135.08599999999998</v>
      </c>
      <c r="K50" s="4">
        <f t="shared" si="49"/>
        <v>141.60899999999998</v>
      </c>
      <c r="L50" s="4">
        <f>+SUM(L46:L49)</f>
        <v>125.44800000000001</v>
      </c>
      <c r="M50" s="4">
        <f t="shared" si="49"/>
        <v>121.628</v>
      </c>
      <c r="N50" s="4">
        <f t="shared" si="49"/>
        <v>121.92100000000001</v>
      </c>
      <c r="O50" s="4">
        <f>+SUM(O46:O49)</f>
        <v>122.63500000000001</v>
      </c>
      <c r="P50" s="4">
        <f t="shared" ref="P50" si="50">+SUM(P46:P48)</f>
        <v>0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spans="2:47" x14ac:dyDescent="0.2">
      <c r="B51" s="2" t="s">
        <v>85</v>
      </c>
      <c r="C51" s="4"/>
      <c r="D51" s="4"/>
      <c r="E51" s="4"/>
      <c r="F51" s="4"/>
      <c r="G51" s="4"/>
      <c r="H51" s="4"/>
      <c r="I51" s="4"/>
      <c r="J51" s="4">
        <v>89.064999999999998</v>
      </c>
      <c r="K51" s="4">
        <v>88.728999999999999</v>
      </c>
      <c r="L51" s="4">
        <v>89.108000000000004</v>
      </c>
      <c r="M51" s="4">
        <v>120.026</v>
      </c>
      <c r="N51" s="4">
        <v>167.733</v>
      </c>
      <c r="O51" s="4">
        <v>147.75399999999999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 spans="2:47" x14ac:dyDescent="0.2">
      <c r="B52" s="2" t="s">
        <v>86</v>
      </c>
      <c r="C52" s="4"/>
      <c r="D52" s="4"/>
      <c r="E52" s="4"/>
      <c r="F52" s="4"/>
      <c r="G52" s="4"/>
      <c r="H52" s="4"/>
      <c r="I52" s="4"/>
      <c r="J52" s="4">
        <v>82.2</v>
      </c>
      <c r="K52" s="4">
        <v>75.039000000000001</v>
      </c>
      <c r="L52" s="4">
        <f>69.349+0.001</f>
        <v>69.350000000000009</v>
      </c>
      <c r="M52" s="4">
        <v>66.677000000000007</v>
      </c>
      <c r="N52" s="4">
        <v>80.674999999999997</v>
      </c>
      <c r="O52" s="4">
        <v>81.716999999999999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 spans="2:47" x14ac:dyDescent="0.2">
      <c r="B53" s="2" t="s">
        <v>87</v>
      </c>
      <c r="C53" s="4"/>
      <c r="D53" s="4"/>
      <c r="E53" s="4"/>
      <c r="F53" s="4"/>
      <c r="G53" s="4"/>
      <c r="H53" s="4"/>
      <c r="I53" s="4"/>
      <c r="J53" s="4">
        <f>9.297+0.659+1.275</f>
        <v>11.231000000000002</v>
      </c>
      <c r="K53" s="4">
        <f>5.878+0.719+5.319</f>
        <v>11.916</v>
      </c>
      <c r="L53" s="4">
        <v>6.1109999999999998</v>
      </c>
      <c r="M53" s="4">
        <v>8.6430000000000007</v>
      </c>
      <c r="N53" s="4">
        <v>9.3089999999999993</v>
      </c>
      <c r="O53" s="4">
        <v>13.132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</row>
    <row r="54" spans="2:47" x14ac:dyDescent="0.2">
      <c r="B54" s="2" t="s">
        <v>88</v>
      </c>
      <c r="C54" s="4"/>
      <c r="D54" s="4"/>
      <c r="E54" s="4"/>
      <c r="F54" s="4"/>
      <c r="G54" s="4"/>
      <c r="H54" s="4"/>
      <c r="I54" s="4"/>
      <c r="J54" s="4">
        <v>11.045</v>
      </c>
      <c r="K54" s="4">
        <v>14.666</v>
      </c>
      <c r="L54" s="4">
        <v>17.018000000000001</v>
      </c>
      <c r="M54" s="4">
        <v>7.2080000000000002</v>
      </c>
      <c r="N54" s="4">
        <v>1.103</v>
      </c>
      <c r="O54" s="4">
        <v>67.082999999999998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2:47" x14ac:dyDescent="0.2">
      <c r="B55" s="2" t="s">
        <v>89</v>
      </c>
      <c r="C55" s="4"/>
      <c r="D55" s="4"/>
      <c r="E55" s="4"/>
      <c r="F55" s="4"/>
      <c r="G55" s="4"/>
      <c r="H55" s="4"/>
      <c r="I55" s="4"/>
      <c r="J55" s="4">
        <f t="shared" ref="J55:N55" si="51">+SUM(J51:J54)</f>
        <v>193.54099999999997</v>
      </c>
      <c r="K55" s="4">
        <f t="shared" si="51"/>
        <v>190.35</v>
      </c>
      <c r="L55" s="4">
        <f t="shared" si="51"/>
        <v>181.58700000000002</v>
      </c>
      <c r="M55" s="4">
        <f t="shared" si="51"/>
        <v>202.554</v>
      </c>
      <c r="N55" s="4">
        <f t="shared" si="51"/>
        <v>258.82000000000005</v>
      </c>
      <c r="O55" s="4">
        <f>+SUM(O51:O54)</f>
        <v>309.68600000000004</v>
      </c>
      <c r="P55" s="4">
        <f t="shared" ref="P55" si="52">+SUM(P51:P54)</f>
        <v>0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 spans="2:47" x14ac:dyDescent="0.2">
      <c r="B56" s="2" t="s">
        <v>90</v>
      </c>
      <c r="C56" s="4"/>
      <c r="D56" s="4"/>
      <c r="E56" s="4"/>
      <c r="F56" s="4"/>
      <c r="G56" s="4"/>
      <c r="H56" s="4"/>
      <c r="I56" s="4"/>
      <c r="J56" s="4">
        <v>0</v>
      </c>
      <c r="K56" s="4">
        <v>0</v>
      </c>
      <c r="L56" s="4">
        <f>0.755+0.088</f>
        <v>0.84299999999999997</v>
      </c>
      <c r="M56" s="4">
        <f>1.327+0.124</f>
        <v>1.4510000000000001</v>
      </c>
      <c r="N56" s="4">
        <v>2.032</v>
      </c>
      <c r="O56" s="4">
        <v>1.0209999999999999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spans="2:47" x14ac:dyDescent="0.2">
      <c r="B57" s="2" t="s">
        <v>91</v>
      </c>
      <c r="C57" s="4"/>
      <c r="D57" s="4"/>
      <c r="E57" s="4"/>
      <c r="F57" s="4"/>
      <c r="G57" s="4"/>
      <c r="H57" s="4"/>
      <c r="I57" s="4"/>
      <c r="J57" s="4">
        <f t="shared" ref="J57:L57" si="53">+J50+J55+J56</f>
        <v>328.62699999999995</v>
      </c>
      <c r="K57" s="4">
        <f t="shared" si="53"/>
        <v>331.95899999999995</v>
      </c>
      <c r="L57" s="4">
        <f t="shared" si="53"/>
        <v>307.87800000000004</v>
      </c>
      <c r="M57" s="4">
        <f>+M50+M55+M56</f>
        <v>325.63300000000004</v>
      </c>
      <c r="N57" s="4">
        <f>+N50+N55+N56</f>
        <v>382.77300000000002</v>
      </c>
      <c r="O57" s="4">
        <f>+O50+O55+O56</f>
        <v>433.34200000000004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</row>
    <row r="58" spans="2:47" x14ac:dyDescent="0.2">
      <c r="B58" s="2" t="s">
        <v>92</v>
      </c>
      <c r="C58" s="4"/>
      <c r="D58" s="4"/>
      <c r="E58" s="4"/>
      <c r="F58" s="4"/>
      <c r="G58" s="4"/>
      <c r="H58" s="4"/>
      <c r="I58" s="4"/>
      <c r="J58" s="4">
        <v>169.45599999999999</v>
      </c>
      <c r="K58" s="4">
        <v>171.197</v>
      </c>
      <c r="L58" s="4">
        <v>175.86099999999999</v>
      </c>
      <c r="M58" s="4">
        <v>193.04900000000001</v>
      </c>
      <c r="N58" s="4">
        <v>205.255</v>
      </c>
      <c r="O58" s="4">
        <v>232.178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 spans="2:47" x14ac:dyDescent="0.2">
      <c r="B59" s="2" t="s">
        <v>93</v>
      </c>
      <c r="C59" s="4"/>
      <c r="D59" s="4"/>
      <c r="E59" s="4"/>
      <c r="F59" s="4"/>
      <c r="G59" s="4"/>
      <c r="H59" s="4"/>
      <c r="I59" s="4"/>
      <c r="J59" s="4">
        <v>1.069</v>
      </c>
      <c r="K59" s="4">
        <v>0.75800000000000001</v>
      </c>
      <c r="L59" s="4">
        <v>0.86799999999999999</v>
      </c>
      <c r="M59" s="4">
        <v>0.97499999999999998</v>
      </c>
      <c r="N59" s="4">
        <v>1.105</v>
      </c>
      <c r="O59" s="4">
        <v>1.28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</row>
    <row r="60" spans="2:47" x14ac:dyDescent="0.2">
      <c r="B60" s="2" t="s">
        <v>94</v>
      </c>
      <c r="C60" s="4"/>
      <c r="D60" s="4"/>
      <c r="E60" s="4"/>
      <c r="F60" s="4"/>
      <c r="G60" s="4"/>
      <c r="H60" s="4"/>
      <c r="I60" s="4"/>
      <c r="J60" s="4">
        <v>1.9830000000000001</v>
      </c>
      <c r="K60" s="4">
        <v>2.6549999999999998</v>
      </c>
      <c r="L60" s="4">
        <v>4.3769999999999998</v>
      </c>
      <c r="M60" s="4">
        <v>4.0650000000000004</v>
      </c>
      <c r="N60" s="4">
        <v>4.0170000000000003</v>
      </c>
      <c r="O60" s="4">
        <v>9.1069999999999993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 spans="2:47" x14ac:dyDescent="0.2">
      <c r="B61" s="2" t="s">
        <v>95</v>
      </c>
      <c r="C61" s="4"/>
      <c r="D61" s="4"/>
      <c r="E61" s="4"/>
      <c r="F61" s="4"/>
      <c r="G61" s="4"/>
      <c r="H61" s="4"/>
      <c r="I61" s="4"/>
      <c r="J61" s="4">
        <v>2.6280000000000001</v>
      </c>
      <c r="K61" s="4">
        <v>2.9169999999999998</v>
      </c>
      <c r="L61" s="4">
        <v>39.374000000000002</v>
      </c>
      <c r="M61" s="4">
        <v>39.802</v>
      </c>
      <c r="N61" s="4">
        <v>43.655999999999999</v>
      </c>
      <c r="O61" s="4">
        <v>52.615000000000002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</row>
    <row r="62" spans="2:47" x14ac:dyDescent="0.2">
      <c r="B62" s="2" t="s">
        <v>6</v>
      </c>
      <c r="C62" s="4"/>
      <c r="D62" s="4"/>
      <c r="E62" s="4"/>
      <c r="F62" s="4"/>
      <c r="G62" s="4"/>
      <c r="H62" s="4"/>
      <c r="I62" s="4"/>
      <c r="J62" s="4">
        <f>23.704+18.509+2.702</f>
        <v>44.914999999999999</v>
      </c>
      <c r="K62" s="4">
        <f>16.83+38.868+2.464</f>
        <v>58.161999999999999</v>
      </c>
      <c r="L62" s="4">
        <v>28.79</v>
      </c>
      <c r="M62" s="4">
        <v>14.048999999999999</v>
      </c>
      <c r="N62" s="4">
        <v>42.52</v>
      </c>
      <c r="O62" s="4">
        <v>20.841999999999999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spans="2:47" x14ac:dyDescent="0.2">
      <c r="B63" s="2" t="s">
        <v>96</v>
      </c>
      <c r="C63" s="4"/>
      <c r="D63" s="4"/>
      <c r="E63" s="4"/>
      <c r="F63" s="4"/>
      <c r="G63" s="4"/>
      <c r="H63" s="4"/>
      <c r="I63" s="4"/>
      <c r="J63" s="4">
        <v>92.646000000000001</v>
      </c>
      <c r="K63" s="4">
        <v>84.103999999999999</v>
      </c>
      <c r="L63" s="4">
        <v>50.866</v>
      </c>
      <c r="M63" s="4">
        <v>64.894000000000005</v>
      </c>
      <c r="N63" s="4">
        <v>78.052000000000007</v>
      </c>
      <c r="O63" s="4">
        <v>106.184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 spans="2:47" x14ac:dyDescent="0.2">
      <c r="B64" s="2" t="s">
        <v>97</v>
      </c>
      <c r="C64" s="4"/>
      <c r="D64" s="4"/>
      <c r="E64" s="4"/>
      <c r="F64" s="4"/>
      <c r="G64" s="4"/>
      <c r="H64" s="4"/>
      <c r="I64" s="4"/>
      <c r="J64" s="4">
        <f>0.312+11.749</f>
        <v>12.061</v>
      </c>
      <c r="K64" s="4">
        <f>9.08+0.767</f>
        <v>9.8469999999999995</v>
      </c>
      <c r="L64" s="4">
        <v>7.742</v>
      </c>
      <c r="M64" s="4">
        <v>8.5690000000000008</v>
      </c>
      <c r="N64" s="4">
        <v>7.694</v>
      </c>
      <c r="O64" s="4">
        <v>10.337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 spans="1:47" x14ac:dyDescent="0.2">
      <c r="B65" s="2" t="s">
        <v>98</v>
      </c>
      <c r="C65" s="4"/>
      <c r="D65" s="4"/>
      <c r="E65" s="4"/>
      <c r="F65" s="4"/>
      <c r="G65" s="4"/>
      <c r="H65" s="4"/>
      <c r="I65" s="4"/>
      <c r="J65" s="4">
        <v>3.8690000000000002</v>
      </c>
      <c r="K65" s="4">
        <v>2.319</v>
      </c>
      <c r="L65" s="4">
        <v>0</v>
      </c>
      <c r="M65" s="4">
        <v>0.23</v>
      </c>
      <c r="N65" s="4">
        <v>0.47399999999999998</v>
      </c>
      <c r="O65" s="4">
        <v>0.79900000000000004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</row>
    <row r="66" spans="1:47" x14ac:dyDescent="0.2">
      <c r="B66" s="2" t="s">
        <v>99</v>
      </c>
      <c r="C66" s="4"/>
      <c r="D66" s="4"/>
      <c r="E66" s="4"/>
      <c r="F66" s="4"/>
      <c r="G66" s="4"/>
      <c r="H66" s="4">
        <f t="shared" ref="H66:M66" si="54">+SUM(H59:H65)</f>
        <v>0</v>
      </c>
      <c r="I66" s="4"/>
      <c r="J66" s="4">
        <f t="shared" si="54"/>
        <v>159.17099999999999</v>
      </c>
      <c r="K66" s="4">
        <f t="shared" si="54"/>
        <v>160.762</v>
      </c>
      <c r="L66" s="4">
        <f t="shared" si="54"/>
        <v>132.017</v>
      </c>
      <c r="M66" s="4">
        <f t="shared" si="54"/>
        <v>132.58399999999997</v>
      </c>
      <c r="N66" s="4">
        <f>+SUM(N59:N65)</f>
        <v>177.518</v>
      </c>
      <c r="O66" s="4">
        <f t="shared" ref="O66" si="55">+SUM(O59:O65)</f>
        <v>201.16399999999999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 spans="1:47" x14ac:dyDescent="0.2">
      <c r="B67" s="2" t="s">
        <v>100</v>
      </c>
      <c r="C67" s="4"/>
      <c r="D67" s="4"/>
      <c r="E67" s="4"/>
      <c r="F67" s="4"/>
      <c r="G67" s="4"/>
      <c r="H67" s="4"/>
      <c r="I67" s="4"/>
      <c r="J67" s="4">
        <f t="shared" ref="J67:N67" si="56">+J66+J58</f>
        <v>328.62699999999995</v>
      </c>
      <c r="K67" s="4">
        <f t="shared" si="56"/>
        <v>331.959</v>
      </c>
      <c r="L67" s="4">
        <f t="shared" si="56"/>
        <v>307.87799999999999</v>
      </c>
      <c r="M67" s="4">
        <f t="shared" si="56"/>
        <v>325.63299999999998</v>
      </c>
      <c r="N67" s="4">
        <f t="shared" si="56"/>
        <v>382.77300000000002</v>
      </c>
      <c r="O67" s="4">
        <f>+O66+O58</f>
        <v>433.34199999999998</v>
      </c>
      <c r="P67" s="4">
        <f t="shared" ref="P67" si="57">+P66+P58</f>
        <v>0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</row>
    <row r="68" spans="1:47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</row>
    <row r="69" spans="1:47" x14ac:dyDescent="0.2">
      <c r="A69" s="26" t="s">
        <v>103</v>
      </c>
      <c r="B69" s="3" t="s">
        <v>105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</row>
    <row r="70" spans="1:47" x14ac:dyDescent="0.2">
      <c r="B70" s="2" t="s">
        <v>51</v>
      </c>
      <c r="C70" s="4"/>
      <c r="D70" s="4"/>
      <c r="E70" s="4"/>
      <c r="F70" s="4"/>
      <c r="G70" s="4"/>
      <c r="H70" s="4"/>
      <c r="I70" s="4"/>
      <c r="J70" s="4">
        <f t="shared" ref="J70:N70" si="58">+J30</f>
        <v>19.982999999999954</v>
      </c>
      <c r="K70" s="4">
        <f t="shared" si="58"/>
        <v>12.59200000000005</v>
      </c>
      <c r="L70" s="4">
        <f t="shared" si="58"/>
        <v>25.084000000000096</v>
      </c>
      <c r="M70" s="4">
        <f t="shared" si="58"/>
        <v>28.633999999999958</v>
      </c>
      <c r="N70" s="4">
        <f t="shared" si="58"/>
        <v>24.304000000000059</v>
      </c>
      <c r="O70" s="4">
        <f>+O30</f>
        <v>34.049999999999969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 spans="1:47" x14ac:dyDescent="0.2">
      <c r="B71" s="2" t="s">
        <v>106</v>
      </c>
      <c r="C71" s="4"/>
      <c r="D71" s="4"/>
      <c r="E71" s="4"/>
      <c r="F71" s="4"/>
      <c r="G71" s="4"/>
      <c r="H71" s="4"/>
      <c r="I71" s="4"/>
      <c r="J71" s="4">
        <f>+J29</f>
        <v>9.3680000000000003</v>
      </c>
      <c r="K71" s="4">
        <f>+K29</f>
        <v>3.702</v>
      </c>
      <c r="L71" s="4">
        <v>11.218999999999999</v>
      </c>
      <c r="M71" s="4">
        <v>9.1219999999999999</v>
      </c>
      <c r="N71" s="4">
        <v>9.19</v>
      </c>
      <c r="O71" s="4">
        <v>13.022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spans="1:47" x14ac:dyDescent="0.2">
      <c r="B72" s="2" t="s">
        <v>44</v>
      </c>
      <c r="C72" s="4"/>
      <c r="D72" s="4"/>
      <c r="E72" s="4"/>
      <c r="F72" s="4"/>
      <c r="G72" s="4"/>
      <c r="H72" s="4"/>
      <c r="I72" s="4"/>
      <c r="J72" s="4">
        <v>16.538</v>
      </c>
      <c r="K72" s="4">
        <v>18.751999999999999</v>
      </c>
      <c r="L72" s="4">
        <v>18.495000000000001</v>
      </c>
      <c r="M72" s="4">
        <v>18.446000000000002</v>
      </c>
      <c r="N72" s="4">
        <v>20.321999999999999</v>
      </c>
      <c r="O72" s="4">
        <v>20.478999999999999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 spans="1:47" x14ac:dyDescent="0.2">
      <c r="B73" s="2" t="s">
        <v>107</v>
      </c>
      <c r="C73" s="4"/>
      <c r="D73" s="4"/>
      <c r="E73" s="4"/>
      <c r="F73" s="4"/>
      <c r="G73" s="4"/>
      <c r="H73" s="4"/>
      <c r="I73" s="4"/>
      <c r="J73" s="4">
        <v>-0.26</v>
      </c>
      <c r="K73" s="4">
        <v>-2.4E-2</v>
      </c>
      <c r="L73" s="4">
        <v>-8.4000000000000005E-2</v>
      </c>
      <c r="M73" s="4">
        <v>-2.1000000000000001E-2</v>
      </c>
      <c r="N73" s="4">
        <v>-0.04</v>
      </c>
      <c r="O73" s="4">
        <v>-4.2000000000000003E-2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</row>
    <row r="74" spans="1:47" x14ac:dyDescent="0.2">
      <c r="B74" s="2" t="s">
        <v>47</v>
      </c>
      <c r="C74" s="4"/>
      <c r="D74" s="4"/>
      <c r="E74" s="4"/>
      <c r="F74" s="4"/>
      <c r="G74" s="4"/>
      <c r="H74" s="4"/>
      <c r="I74" s="4"/>
      <c r="J74" s="4">
        <v>-5.5E-2</v>
      </c>
      <c r="K74" s="4">
        <v>-0.18</v>
      </c>
      <c r="L74" s="4">
        <v>-5.0999999999999997E-2</v>
      </c>
      <c r="M74" s="4">
        <v>-2.3E-2</v>
      </c>
      <c r="N74" s="4">
        <v>-4.3999999999999997E-2</v>
      </c>
      <c r="O74" s="4">
        <v>-0.72899999999999998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 spans="1:47" x14ac:dyDescent="0.2">
      <c r="B75" s="2" t="s">
        <v>108</v>
      </c>
      <c r="C75" s="4"/>
      <c r="D75" s="4"/>
      <c r="E75" s="4"/>
      <c r="F75" s="4"/>
      <c r="G75" s="4"/>
      <c r="H75" s="4"/>
      <c r="I75" s="4"/>
      <c r="J75" s="4">
        <v>0.79200000000000004</v>
      </c>
      <c r="K75" s="4">
        <v>0.63500000000000001</v>
      </c>
      <c r="L75" s="4">
        <v>0.56299999999999994</v>
      </c>
      <c r="M75" s="4">
        <v>0.438</v>
      </c>
      <c r="N75" s="4">
        <v>0.65600000000000003</v>
      </c>
      <c r="O75" s="4">
        <v>1.1259999999999999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</row>
    <row r="76" spans="1:47" x14ac:dyDescent="0.2">
      <c r="B76" s="2" t="s">
        <v>109</v>
      </c>
      <c r="C76" s="4"/>
      <c r="D76" s="4"/>
      <c r="E76" s="4"/>
      <c r="F76" s="4"/>
      <c r="G76" s="4"/>
      <c r="H76" s="4"/>
      <c r="I76" s="4"/>
      <c r="J76" s="4">
        <v>-0.50600000000000001</v>
      </c>
      <c r="K76" s="4">
        <v>0.11899999999999999</v>
      </c>
      <c r="L76" s="4">
        <v>0</v>
      </c>
      <c r="M76" s="4">
        <v>0</v>
      </c>
      <c r="N76" s="4">
        <v>-0.58599999999999997</v>
      </c>
      <c r="O76" s="4">
        <v>-1.115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 spans="1:47" x14ac:dyDescent="0.2">
      <c r="B77" s="2" t="s">
        <v>110</v>
      </c>
      <c r="C77" s="4"/>
      <c r="D77" s="4"/>
      <c r="E77" s="4"/>
      <c r="F77" s="4"/>
      <c r="G77" s="4"/>
      <c r="H77" s="4"/>
      <c r="I77" s="4"/>
      <c r="J77" s="4">
        <v>4.0000000000000001E-3</v>
      </c>
      <c r="K77" s="4">
        <v>-0.52400000000000002</v>
      </c>
      <c r="L77" s="4">
        <v>-0.52</v>
      </c>
      <c r="M77" s="4">
        <v>-0.29099999999999998</v>
      </c>
      <c r="N77" s="4">
        <v>0</v>
      </c>
      <c r="O77" s="4">
        <v>0.624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 spans="1:47" x14ac:dyDescent="0.2">
      <c r="B78" s="2" t="s">
        <v>111</v>
      </c>
      <c r="C78" s="4"/>
      <c r="D78" s="4"/>
      <c r="E78" s="4"/>
      <c r="F78" s="4"/>
      <c r="G78" s="4"/>
      <c r="H78" s="4"/>
      <c r="I78" s="4"/>
      <c r="J78" s="4">
        <v>-11.308</v>
      </c>
      <c r="K78" s="4">
        <v>-11.878</v>
      </c>
      <c r="L78" s="4">
        <v>-10.15</v>
      </c>
      <c r="M78" s="4">
        <v>-11.417</v>
      </c>
      <c r="N78" s="4">
        <v>-9.4649999999999999</v>
      </c>
      <c r="O78" s="4">
        <v>-9.1189999999999998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spans="1:47" x14ac:dyDescent="0.2">
      <c r="B79" s="2" t="s">
        <v>112</v>
      </c>
      <c r="C79" s="4"/>
      <c r="D79" s="4"/>
      <c r="E79" s="4"/>
      <c r="F79" s="4"/>
      <c r="G79" s="4"/>
      <c r="H79" s="4"/>
      <c r="I79" s="4"/>
      <c r="J79" s="4">
        <v>0</v>
      </c>
      <c r="K79" s="4">
        <v>2.5609999999999999</v>
      </c>
      <c r="L79" s="4">
        <v>5.0819999999999999</v>
      </c>
      <c r="M79" s="4">
        <v>7.8E-2</v>
      </c>
      <c r="N79" s="4">
        <v>2.5680000000000001</v>
      </c>
      <c r="O79" s="4">
        <v>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 spans="1:47" x14ac:dyDescent="0.2">
      <c r="B80" s="2" t="s">
        <v>113</v>
      </c>
      <c r="C80" s="4"/>
      <c r="D80" s="4"/>
      <c r="E80" s="4"/>
      <c r="F80" s="4"/>
      <c r="G80" s="4"/>
      <c r="H80" s="4"/>
      <c r="I80" s="4"/>
      <c r="J80" s="4">
        <v>0.20499999999999999</v>
      </c>
      <c r="K80" s="4">
        <v>-2.1000000000000001E-2</v>
      </c>
      <c r="L80" s="4">
        <v>0.59299999999999997</v>
      </c>
      <c r="M80" s="4">
        <v>0.253</v>
      </c>
      <c r="N80" s="4">
        <v>8.0000000000000002E-3</v>
      </c>
      <c r="O80" s="4">
        <v>0.81399999999999995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 spans="2:47" x14ac:dyDescent="0.2">
      <c r="B81" s="2" t="s">
        <v>120</v>
      </c>
      <c r="C81" s="4"/>
      <c r="D81" s="4"/>
      <c r="E81" s="4"/>
      <c r="F81" s="4"/>
      <c r="G81" s="4"/>
      <c r="H81" s="4"/>
      <c r="I81" s="4"/>
      <c r="J81" s="4">
        <v>-0.78</v>
      </c>
      <c r="K81" s="4">
        <v>0.45600000000000002</v>
      </c>
      <c r="L81" s="4">
        <v>0.93700000000000006</v>
      </c>
      <c r="M81" s="4">
        <v>-0.69599999999999995</v>
      </c>
      <c r="N81" s="4">
        <v>0.11700000000000001</v>
      </c>
      <c r="O81" s="4">
        <v>-0.29199999999999998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</row>
    <row r="82" spans="2:47" x14ac:dyDescent="0.2">
      <c r="B82" s="2" t="s">
        <v>115</v>
      </c>
      <c r="C82" s="4"/>
      <c r="D82" s="4"/>
      <c r="E82" s="4"/>
      <c r="F82" s="4"/>
      <c r="G82" s="4"/>
      <c r="H82" s="4"/>
      <c r="I82" s="4"/>
      <c r="J82" s="4">
        <v>-8.3840000000000003</v>
      </c>
      <c r="K82" s="4">
        <v>2.06</v>
      </c>
      <c r="L82" s="4">
        <v>2.601</v>
      </c>
      <c r="M82" s="4">
        <v>-0.46700000000000003</v>
      </c>
      <c r="N82" s="4">
        <v>-0.08</v>
      </c>
      <c r="O82" s="4">
        <v>1.7430000000000001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 spans="2:47" x14ac:dyDescent="0.2">
      <c r="B83" s="2" t="s">
        <v>114</v>
      </c>
      <c r="C83" s="4"/>
      <c r="D83" s="4"/>
      <c r="E83" s="4"/>
      <c r="F83" s="4"/>
      <c r="G83" s="4"/>
      <c r="H83" s="4"/>
      <c r="I83" s="4"/>
      <c r="J83" s="4">
        <v>-2.3490000000000002</v>
      </c>
      <c r="K83" s="4">
        <v>3.42</v>
      </c>
      <c r="L83" s="4">
        <v>0</v>
      </c>
      <c r="M83" s="4">
        <v>0</v>
      </c>
      <c r="N83" s="4">
        <v>-1.9730000000000001</v>
      </c>
      <c r="O83" s="4">
        <v>-0.41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</row>
    <row r="84" spans="2:47" x14ac:dyDescent="0.2">
      <c r="B84" s="2" t="s">
        <v>116</v>
      </c>
      <c r="C84" s="4"/>
      <c r="D84" s="4"/>
      <c r="E84" s="4"/>
      <c r="F84" s="4"/>
      <c r="G84" s="4"/>
      <c r="H84" s="4"/>
      <c r="I84" s="4"/>
      <c r="J84" s="4">
        <v>5.8220000000000001</v>
      </c>
      <c r="K84" s="4">
        <v>-7.3390000000000004</v>
      </c>
      <c r="L84" s="4">
        <v>0</v>
      </c>
      <c r="M84" s="4">
        <v>0</v>
      </c>
      <c r="N84" s="4">
        <v>1.337</v>
      </c>
      <c r="O84" s="4">
        <v>10.923999999999999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 spans="2:47" x14ac:dyDescent="0.2">
      <c r="B85" s="2" t="s">
        <v>117</v>
      </c>
      <c r="C85" s="4"/>
      <c r="D85" s="4"/>
      <c r="E85" s="4"/>
      <c r="F85" s="4"/>
      <c r="G85" s="4"/>
      <c r="H85" s="4"/>
      <c r="I85" s="4"/>
      <c r="J85" s="4">
        <v>1.3839999999999999</v>
      </c>
      <c r="K85" s="4">
        <v>7.4969999999999999</v>
      </c>
      <c r="L85" s="4">
        <v>5.4020000000000001</v>
      </c>
      <c r="M85" s="4">
        <v>-28.145</v>
      </c>
      <c r="N85" s="4">
        <v>-57.122</v>
      </c>
      <c r="O85" s="4">
        <v>18.576000000000001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spans="2:47" x14ac:dyDescent="0.2">
      <c r="B86" s="2" t="s">
        <v>118</v>
      </c>
      <c r="C86" s="4"/>
      <c r="D86" s="4"/>
      <c r="E86" s="4"/>
      <c r="F86" s="4"/>
      <c r="G86" s="4"/>
      <c r="H86" s="4"/>
      <c r="I86" s="4"/>
      <c r="J86" s="4">
        <v>16.765999999999998</v>
      </c>
      <c r="K86" s="4">
        <v>-5.98</v>
      </c>
      <c r="L86" s="4">
        <v>-4.3289999999999997</v>
      </c>
      <c r="M86" s="4">
        <v>14.029</v>
      </c>
      <c r="N86" s="4">
        <v>8.6620000000000008</v>
      </c>
      <c r="O86" s="4">
        <v>28.132000000000001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spans="2:47" x14ac:dyDescent="0.2">
      <c r="B87" s="2" t="s">
        <v>119</v>
      </c>
      <c r="C87" s="4"/>
      <c r="D87" s="4"/>
      <c r="E87" s="4"/>
      <c r="F87" s="4"/>
      <c r="G87" s="4"/>
      <c r="H87" s="4"/>
      <c r="I87" s="4"/>
      <c r="J87" s="4">
        <f t="shared" ref="J87:N87" si="59">+J85+J86</f>
        <v>18.149999999999999</v>
      </c>
      <c r="K87" s="4">
        <f t="shared" si="59"/>
        <v>1.5169999999999995</v>
      </c>
      <c r="L87" s="4">
        <f t="shared" si="59"/>
        <v>1.0730000000000004</v>
      </c>
      <c r="M87" s="4">
        <f t="shared" si="59"/>
        <v>-14.116</v>
      </c>
      <c r="N87" s="4">
        <f t="shared" si="59"/>
        <v>-48.46</v>
      </c>
      <c r="O87" s="4">
        <f>+O85+O86</f>
        <v>46.707999999999998</v>
      </c>
      <c r="P87" s="4">
        <f t="shared" ref="P87" si="60">+P85+P86</f>
        <v>0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 spans="2:47" x14ac:dyDescent="0.2">
      <c r="B88" s="1" t="s">
        <v>121</v>
      </c>
      <c r="C88" s="28"/>
      <c r="D88" s="28"/>
      <c r="E88" s="28"/>
      <c r="F88" s="28"/>
      <c r="G88" s="28"/>
      <c r="H88" s="28"/>
      <c r="I88" s="28"/>
      <c r="J88" s="28">
        <f t="shared" ref="J88:N88" si="61">+SUM(J70:J84)+J87</f>
        <v>47.219999999999949</v>
      </c>
      <c r="K88" s="28">
        <f t="shared" si="61"/>
        <v>25.848000000000045</v>
      </c>
      <c r="L88" s="28">
        <f t="shared" si="61"/>
        <v>54.842000000000091</v>
      </c>
      <c r="M88" s="28">
        <f t="shared" si="61"/>
        <v>29.939999999999962</v>
      </c>
      <c r="N88" s="28">
        <f t="shared" si="61"/>
        <v>-2.1459999999999368</v>
      </c>
      <c r="O88" s="28">
        <f>+SUM(O70:O84)+O87</f>
        <v>117.78299999999996</v>
      </c>
      <c r="P88" s="28">
        <f t="shared" ref="P88" si="62">+SUM(P70:P84)+P87</f>
        <v>0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spans="2:47" x14ac:dyDescent="0.2">
      <c r="B89" s="2" t="s">
        <v>123</v>
      </c>
      <c r="C89" s="4"/>
      <c r="D89" s="4"/>
      <c r="E89" s="4"/>
      <c r="F89" s="4"/>
      <c r="G89" s="4"/>
      <c r="H89" s="4"/>
      <c r="I89" s="4"/>
      <c r="J89" s="4">
        <v>1.6E-2</v>
      </c>
      <c r="K89" s="4">
        <v>3.1E-2</v>
      </c>
      <c r="L89" s="4">
        <v>0.01</v>
      </c>
      <c r="M89" s="4">
        <f>0.005+0.808</f>
        <v>0.81300000000000006</v>
      </c>
      <c r="N89" s="4">
        <v>0</v>
      </c>
      <c r="O89" s="4">
        <v>5.0000000000000001E-3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spans="2:47" x14ac:dyDescent="0.2">
      <c r="B90" s="2" t="s">
        <v>126</v>
      </c>
      <c r="C90" s="4"/>
      <c r="D90" s="4"/>
      <c r="E90" s="4"/>
      <c r="F90" s="4"/>
      <c r="G90" s="4"/>
      <c r="H90" s="4"/>
      <c r="I90" s="4"/>
      <c r="J90" s="4">
        <v>0</v>
      </c>
      <c r="K90" s="4">
        <v>0</v>
      </c>
      <c r="L90" s="4">
        <v>0</v>
      </c>
      <c r="M90" s="4">
        <v>0.106</v>
      </c>
      <c r="N90" s="4">
        <v>0</v>
      </c>
      <c r="O90" s="4">
        <v>0.187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spans="2:47" x14ac:dyDescent="0.2">
      <c r="B91" s="2" t="s">
        <v>125</v>
      </c>
      <c r="C91" s="4"/>
      <c r="D91" s="4"/>
      <c r="E91" s="4"/>
      <c r="F91" s="4"/>
      <c r="G91" s="4"/>
      <c r="H91" s="4"/>
      <c r="I91" s="4"/>
      <c r="J91" s="4">
        <v>-35.448</v>
      </c>
      <c r="K91" s="4">
        <v>-22.283999999999999</v>
      </c>
      <c r="L91" s="4">
        <v>-13.896000000000001</v>
      </c>
      <c r="M91" s="4">
        <v>-12.999000000000001</v>
      </c>
      <c r="N91" s="4">
        <v>-19.559000000000001</v>
      </c>
      <c r="O91" s="4">
        <v>-17.766999999999999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spans="2:47" x14ac:dyDescent="0.2">
      <c r="B92" s="2" t="s">
        <v>124</v>
      </c>
      <c r="C92" s="4"/>
      <c r="D92" s="4"/>
      <c r="E92" s="4"/>
      <c r="F92" s="4"/>
      <c r="G92" s="4"/>
      <c r="H92" s="4"/>
      <c r="I92" s="4"/>
      <c r="J92" s="4">
        <v>-1.877</v>
      </c>
      <c r="K92" s="4">
        <f>-1.992-0.04</f>
        <v>-2.032</v>
      </c>
      <c r="L92" s="4">
        <f>-1.238-0.01</f>
        <v>-1.248</v>
      </c>
      <c r="M92" s="4">
        <f>-1.974-0.028</f>
        <v>-2.0019999999999998</v>
      </c>
      <c r="N92" s="4">
        <v>-1.5720000000000001</v>
      </c>
      <c r="O92" s="4">
        <v>-1.79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</row>
    <row r="93" spans="2:47" x14ac:dyDescent="0.2">
      <c r="B93" s="1" t="s">
        <v>122</v>
      </c>
      <c r="C93" s="28"/>
      <c r="D93" s="28"/>
      <c r="E93" s="28"/>
      <c r="F93" s="28"/>
      <c r="G93" s="28"/>
      <c r="H93" s="28"/>
      <c r="I93" s="28"/>
      <c r="J93" s="28">
        <f t="shared" ref="J93:N93" si="63">+SUM(J89:J92)</f>
        <v>-37.309000000000005</v>
      </c>
      <c r="K93" s="28">
        <f t="shared" si="63"/>
        <v>-24.285</v>
      </c>
      <c r="L93" s="28">
        <f t="shared" si="63"/>
        <v>-15.134</v>
      </c>
      <c r="M93" s="28">
        <f t="shared" si="63"/>
        <v>-14.082000000000001</v>
      </c>
      <c r="N93" s="28">
        <f t="shared" si="63"/>
        <v>-21.131</v>
      </c>
      <c r="O93" s="28">
        <f>+SUM(O89:O92)</f>
        <v>-19.364999999999998</v>
      </c>
      <c r="P93" s="28">
        <f t="shared" ref="P93" si="64">+SUM(P89:P92)</f>
        <v>0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</row>
    <row r="94" spans="2:47" x14ac:dyDescent="0.2">
      <c r="B94" s="2" t="s">
        <v>127</v>
      </c>
      <c r="C94" s="4"/>
      <c r="D94" s="4"/>
      <c r="E94" s="4"/>
      <c r="F94" s="4"/>
      <c r="G94" s="4"/>
      <c r="H94" s="4"/>
      <c r="I94" s="4"/>
      <c r="J94" s="4">
        <v>-3.367</v>
      </c>
      <c r="K94" s="4">
        <v>-1.7889999999999999</v>
      </c>
      <c r="L94" s="4">
        <v>-0.996</v>
      </c>
      <c r="M94" s="4">
        <v>-3.3879999999999999</v>
      </c>
      <c r="N94" s="4">
        <v>-2.2130000000000001</v>
      </c>
      <c r="O94" s="4">
        <v>-1.595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spans="2:47" x14ac:dyDescent="0.2">
      <c r="B95" s="2" t="s">
        <v>128</v>
      </c>
      <c r="C95" s="4"/>
      <c r="D95" s="4"/>
      <c r="E95" s="4"/>
      <c r="F95" s="4"/>
      <c r="G95" s="4"/>
      <c r="H95" s="4"/>
      <c r="I95" s="4"/>
      <c r="J95" s="4">
        <v>3.3069999999999999</v>
      </c>
      <c r="K95" s="4">
        <v>1.224</v>
      </c>
      <c r="L95" s="4">
        <v>1.6319999999999999</v>
      </c>
      <c r="M95" s="4">
        <v>3.3879999999999999</v>
      </c>
      <c r="N95" s="4">
        <v>1.7749999999999999</v>
      </c>
      <c r="O95" s="4">
        <v>1.6559999999999999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</row>
    <row r="96" spans="2:47" x14ac:dyDescent="0.2">
      <c r="B96" s="2" t="s">
        <v>129</v>
      </c>
      <c r="C96" s="4"/>
      <c r="D96" s="4"/>
      <c r="E96" s="4"/>
      <c r="F96" s="4"/>
      <c r="G96" s="4"/>
      <c r="H96" s="4"/>
      <c r="I96" s="4"/>
      <c r="J96" s="4">
        <v>-10.875999999999999</v>
      </c>
      <c r="K96" s="4">
        <v>-10.885</v>
      </c>
      <c r="L96" s="4">
        <v>-10.867000000000001</v>
      </c>
      <c r="M96" s="4">
        <v>-10.9</v>
      </c>
      <c r="N96" s="4">
        <v>-10.891</v>
      </c>
      <c r="O96" s="4">
        <v>-10.884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</row>
    <row r="97" spans="2:47" x14ac:dyDescent="0.2">
      <c r="B97" s="2" t="s">
        <v>130</v>
      </c>
      <c r="C97" s="4"/>
      <c r="D97" s="4"/>
      <c r="E97" s="4"/>
      <c r="F97" s="4"/>
      <c r="G97" s="4"/>
      <c r="H97" s="4"/>
      <c r="I97" s="4"/>
      <c r="J97" s="4">
        <v>5.15</v>
      </c>
      <c r="K97" s="4">
        <v>0</v>
      </c>
      <c r="L97" s="4">
        <v>0</v>
      </c>
      <c r="M97" s="4">
        <v>0</v>
      </c>
      <c r="N97" s="4">
        <v>20</v>
      </c>
      <c r="O97" s="4">
        <v>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</row>
    <row r="98" spans="2:47" x14ac:dyDescent="0.2">
      <c r="B98" s="2" t="s">
        <v>131</v>
      </c>
      <c r="C98" s="4"/>
      <c r="D98" s="4"/>
      <c r="E98" s="4"/>
      <c r="F98" s="4"/>
      <c r="G98" s="4"/>
      <c r="H98" s="4"/>
      <c r="I98" s="4"/>
      <c r="J98" s="4">
        <v>-7.5019999999999998</v>
      </c>
      <c r="K98" s="4">
        <v>-7.258</v>
      </c>
      <c r="L98" s="4">
        <v>-6.8730000000000002</v>
      </c>
      <c r="M98" s="4">
        <v>-6.4119999999999999</v>
      </c>
      <c r="N98" s="4">
        <v>-4.5810000000000004</v>
      </c>
      <c r="O98" s="4">
        <v>-4.9950000000000001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</row>
    <row r="99" spans="2:47" x14ac:dyDescent="0.2">
      <c r="B99" s="2" t="s">
        <v>132</v>
      </c>
      <c r="C99" s="4"/>
      <c r="D99" s="4"/>
      <c r="E99" s="4"/>
      <c r="F99" s="4"/>
      <c r="G99" s="4"/>
      <c r="H99" s="4"/>
      <c r="I99" s="4"/>
      <c r="J99" s="4">
        <v>0</v>
      </c>
      <c r="K99" s="4">
        <v>20.742999999999999</v>
      </c>
      <c r="L99" s="4">
        <v>-20.035</v>
      </c>
      <c r="M99" s="4">
        <v>-8.33</v>
      </c>
      <c r="N99" s="4">
        <v>13.052</v>
      </c>
      <c r="O99" s="4">
        <v>-16.681999999999999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</row>
    <row r="100" spans="2:47" x14ac:dyDescent="0.2">
      <c r="B100" s="1" t="s">
        <v>122</v>
      </c>
      <c r="C100" s="28"/>
      <c r="D100" s="28"/>
      <c r="E100" s="28"/>
      <c r="F100" s="28"/>
      <c r="G100" s="28"/>
      <c r="H100" s="28"/>
      <c r="I100" s="28"/>
      <c r="J100" s="28">
        <f t="shared" ref="J100:N100" si="65">+SUM(J94:J99)</f>
        <v>-13.288</v>
      </c>
      <c r="K100" s="28">
        <f t="shared" si="65"/>
        <v>2.0350000000000001</v>
      </c>
      <c r="L100" s="28">
        <f t="shared" si="65"/>
        <v>-37.139000000000003</v>
      </c>
      <c r="M100" s="28">
        <f t="shared" si="65"/>
        <v>-25.642000000000003</v>
      </c>
      <c r="N100" s="28">
        <f t="shared" si="65"/>
        <v>17.141999999999999</v>
      </c>
      <c r="O100" s="28">
        <f>+SUM(O94:O99)</f>
        <v>-32.5</v>
      </c>
      <c r="P100" s="28">
        <f t="shared" ref="P100" si="66">+SUM(P94:P99)</f>
        <v>0</v>
      </c>
      <c r="Q100" s="28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spans="2:47" x14ac:dyDescent="0.2">
      <c r="B101" s="2" t="s">
        <v>133</v>
      </c>
      <c r="C101" s="4"/>
      <c r="D101" s="4"/>
      <c r="E101" s="4"/>
      <c r="F101" s="4"/>
      <c r="G101" s="4"/>
      <c r="H101" s="4"/>
      <c r="I101" s="4"/>
      <c r="J101" s="4">
        <v>-0.156</v>
      </c>
      <c r="K101" s="4">
        <v>2.3E-2</v>
      </c>
      <c r="L101" s="4">
        <v>-0.217</v>
      </c>
      <c r="M101" s="4">
        <v>-2.5999999999999999E-2</v>
      </c>
      <c r="N101" s="4">
        <v>-3.0000000000000001E-3</v>
      </c>
      <c r="O101" s="4">
        <v>6.2E-2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</row>
    <row r="102" spans="2:47" x14ac:dyDescent="0.2">
      <c r="B102" s="1" t="s">
        <v>134</v>
      </c>
      <c r="C102" s="28"/>
      <c r="D102" s="28"/>
      <c r="E102" s="28"/>
      <c r="F102" s="28"/>
      <c r="G102" s="28"/>
      <c r="H102" s="28"/>
      <c r="I102" s="28"/>
      <c r="J102" s="28">
        <f t="shared" ref="J102:N102" si="67">+J88+J93+J100+J101</f>
        <v>-3.5330000000000559</v>
      </c>
      <c r="K102" s="33">
        <f t="shared" si="67"/>
        <v>3.6210000000000453</v>
      </c>
      <c r="L102" s="28">
        <f t="shared" si="67"/>
        <v>2.3520000000000878</v>
      </c>
      <c r="M102" s="33">
        <f t="shared" si="67"/>
        <v>-9.8100000000000414</v>
      </c>
      <c r="N102" s="28">
        <f t="shared" si="67"/>
        <v>-6.1379999999999377</v>
      </c>
      <c r="O102" s="28">
        <f>+O88+O93+O100+O101</f>
        <v>65.979999999999961</v>
      </c>
      <c r="P102" s="28">
        <f t="shared" ref="P102" si="68">+P88+P93+P100+P101</f>
        <v>0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</row>
    <row r="103" spans="2:47" x14ac:dyDescent="0.2">
      <c r="B103" s="2" t="s">
        <v>135</v>
      </c>
      <c r="C103" s="4"/>
      <c r="D103" s="4"/>
      <c r="E103" s="4"/>
      <c r="F103" s="4"/>
      <c r="G103" s="4"/>
      <c r="H103" s="4"/>
      <c r="I103" s="4"/>
      <c r="J103" s="4">
        <f>+J104-J102</f>
        <v>14.578000000000012</v>
      </c>
      <c r="K103" s="4">
        <f>+K104-K102</f>
        <v>11.044999999999956</v>
      </c>
      <c r="L103" s="4">
        <f>+L104-L102</f>
        <v>14.665999999999956</v>
      </c>
      <c r="M103" s="4">
        <f>+M104-M102</f>
        <v>17.018000000000043</v>
      </c>
      <c r="N103" s="4">
        <f>+N104-N102</f>
        <v>7.2409999999999375</v>
      </c>
      <c r="O103" s="4">
        <v>1.103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</row>
    <row r="104" spans="2:47" x14ac:dyDescent="0.2">
      <c r="B104" s="2" t="s">
        <v>136</v>
      </c>
      <c r="C104" s="4"/>
      <c r="D104" s="4"/>
      <c r="E104" s="4"/>
      <c r="F104" s="4"/>
      <c r="G104" s="4"/>
      <c r="H104" s="4"/>
      <c r="I104" s="4"/>
      <c r="J104" s="4">
        <f>+K103</f>
        <v>11.044999999999956</v>
      </c>
      <c r="K104" s="4">
        <v>14.666</v>
      </c>
      <c r="L104" s="4">
        <f>+M103</f>
        <v>17.018000000000043</v>
      </c>
      <c r="M104" s="4">
        <v>7.2080000000000002</v>
      </c>
      <c r="N104" s="4">
        <f>+O103</f>
        <v>1.103</v>
      </c>
      <c r="O104" s="4">
        <f>+O102+O103</f>
        <v>67.082999999999956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spans="2:47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</row>
    <row r="106" spans="2:47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</row>
    <row r="107" spans="2:47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</row>
    <row r="108" spans="2:47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</row>
    <row r="109" spans="2:47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</row>
    <row r="110" spans="2:47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spans="2:47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spans="2:47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spans="3:47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</row>
    <row r="114" spans="3:47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spans="3:47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</row>
    <row r="116" spans="3:47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spans="3:47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spans="3:47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spans="3:47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</row>
    <row r="120" spans="3:47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spans="3:47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</row>
    <row r="122" spans="3:47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spans="3:47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</row>
    <row r="124" spans="3:47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spans="3:47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</row>
    <row r="126" spans="3:47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spans="3:47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</row>
    <row r="128" spans="3:47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spans="3:47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</row>
    <row r="130" spans="3:47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spans="3:47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</row>
    <row r="132" spans="3:47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spans="3:47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</row>
    <row r="134" spans="3:47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spans="3:47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</row>
    <row r="136" spans="3:47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spans="3:47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 spans="3:47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spans="3:47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spans="3:47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</row>
    <row r="141" spans="3:47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</row>
    <row r="142" spans="3:47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</row>
    <row r="143" spans="3:47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</row>
    <row r="144" spans="3:47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</row>
    <row r="145" spans="3:47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</row>
    <row r="146" spans="3:47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</row>
    <row r="147" spans="3:47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</row>
    <row r="148" spans="3:47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</row>
    <row r="149" spans="3:47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</row>
    <row r="150" spans="3:47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</row>
    <row r="151" spans="3:47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</row>
    <row r="152" spans="3:47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</row>
    <row r="153" spans="3:47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</row>
    <row r="154" spans="3:47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</row>
    <row r="155" spans="3:47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</row>
    <row r="156" spans="3:47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</row>
    <row r="157" spans="3:47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</row>
    <row r="158" spans="3:47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</row>
    <row r="159" spans="3:47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</row>
    <row r="160" spans="3:47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</row>
    <row r="161" spans="3:47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</row>
    <row r="162" spans="3:47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</row>
    <row r="163" spans="3:47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</row>
    <row r="164" spans="3:47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</row>
    <row r="165" spans="3:47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</row>
    <row r="166" spans="3:47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</row>
    <row r="167" spans="3:47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</row>
    <row r="168" spans="3:47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</row>
    <row r="169" spans="3:47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</row>
    <row r="170" spans="3:47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</row>
    <row r="171" spans="3:47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</row>
    <row r="172" spans="3:47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</row>
    <row r="173" spans="3:47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</row>
    <row r="174" spans="3:47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</row>
    <row r="175" spans="3:47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</row>
    <row r="176" spans="3:47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</row>
    <row r="177" spans="3:47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</row>
    <row r="178" spans="3:47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</row>
    <row r="179" spans="3:47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</row>
    <row r="180" spans="3:47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</row>
    <row r="181" spans="3:47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</row>
    <row r="182" spans="3:47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</row>
    <row r="183" spans="3:47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</row>
    <row r="184" spans="3:47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</row>
    <row r="185" spans="3:47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</row>
    <row r="186" spans="3:47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</row>
    <row r="187" spans="3:47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</row>
    <row r="188" spans="3:47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</row>
    <row r="189" spans="3:47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</row>
    <row r="190" spans="3:47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</row>
    <row r="191" spans="3:47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</row>
    <row r="192" spans="3:47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</row>
    <row r="193" spans="3:47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</row>
    <row r="194" spans="3:47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</row>
    <row r="195" spans="3:47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</row>
    <row r="196" spans="3:47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</row>
    <row r="197" spans="3:47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</row>
    <row r="198" spans="3:47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</row>
    <row r="199" spans="3:47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</row>
    <row r="200" spans="3:47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</row>
    <row r="201" spans="3:47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</row>
    <row r="202" spans="3:47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</row>
    <row r="203" spans="3:47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</row>
    <row r="204" spans="3:47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</row>
    <row r="205" spans="3:47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</row>
    <row r="206" spans="3:47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</row>
    <row r="207" spans="3:47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</row>
    <row r="208" spans="3:47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</row>
    <row r="209" spans="3:47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</row>
    <row r="210" spans="3:47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</row>
    <row r="211" spans="3:47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</row>
    <row r="212" spans="3:47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</row>
    <row r="213" spans="3:47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</row>
    <row r="214" spans="3:47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</row>
    <row r="215" spans="3:47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</row>
    <row r="216" spans="3:47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</row>
    <row r="217" spans="3:47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</row>
    <row r="218" spans="3:47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</row>
    <row r="219" spans="3:47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</row>
    <row r="220" spans="3:47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</row>
    <row r="221" spans="3:47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</row>
    <row r="222" spans="3:47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</row>
    <row r="223" spans="3:47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</row>
    <row r="224" spans="3:47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</row>
    <row r="225" spans="3:47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</row>
    <row r="226" spans="3:47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</row>
    <row r="227" spans="3:47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</row>
    <row r="228" spans="3:47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</row>
    <row r="229" spans="3:47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</row>
    <row r="230" spans="3:47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</row>
    <row r="231" spans="3:47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</row>
    <row r="232" spans="3:47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</row>
    <row r="233" spans="3:47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</row>
    <row r="234" spans="3:47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</row>
    <row r="235" spans="3:47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</row>
    <row r="236" spans="3:47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</row>
    <row r="237" spans="3:47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</row>
    <row r="238" spans="3:47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</row>
    <row r="239" spans="3:47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</row>
    <row r="240" spans="3:47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</row>
    <row r="241" spans="3:47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</row>
    <row r="242" spans="3:47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</row>
    <row r="243" spans="3:47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</row>
    <row r="244" spans="3:47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</row>
    <row r="245" spans="3:47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</row>
    <row r="246" spans="3:47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</row>
    <row r="247" spans="3:47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</row>
    <row r="248" spans="3:47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</row>
    <row r="249" spans="3:47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</row>
    <row r="250" spans="3:47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</row>
    <row r="251" spans="3:47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</row>
    <row r="252" spans="3:47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</row>
    <row r="253" spans="3:47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</row>
    <row r="254" spans="3:47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</row>
    <row r="255" spans="3:47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</row>
    <row r="256" spans="3:47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</row>
    <row r="257" spans="3:47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</row>
    <row r="258" spans="3:47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</row>
    <row r="259" spans="3:47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</row>
    <row r="260" spans="3:47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</row>
    <row r="261" spans="3:47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</row>
    <row r="262" spans="3:47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</row>
    <row r="263" spans="3:47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</row>
    <row r="264" spans="3:47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</row>
    <row r="265" spans="3:47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</row>
    <row r="266" spans="3:47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</row>
    <row r="267" spans="3:47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</row>
    <row r="268" spans="3:47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</row>
    <row r="269" spans="3:47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</row>
    <row r="270" spans="3:47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</row>
    <row r="271" spans="3:47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</row>
    <row r="272" spans="3:47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</row>
    <row r="273" spans="3:47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</row>
    <row r="274" spans="3:47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</row>
    <row r="275" spans="3:47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</row>
    <row r="276" spans="3:47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</row>
    <row r="277" spans="3:47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</row>
    <row r="278" spans="3:47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</row>
    <row r="279" spans="3:47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</row>
    <row r="280" spans="3:47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</row>
    <row r="281" spans="3:47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</row>
    <row r="282" spans="3:47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</row>
    <row r="283" spans="3:47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</row>
    <row r="284" spans="3:47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</row>
    <row r="285" spans="3:47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</row>
    <row r="286" spans="3:47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</row>
    <row r="287" spans="3:47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</row>
    <row r="288" spans="3:47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</row>
    <row r="289" spans="3:47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</row>
    <row r="290" spans="3:47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</row>
    <row r="291" spans="3:47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</row>
    <row r="292" spans="3:47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</row>
    <row r="293" spans="3:47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</row>
    <row r="294" spans="3:47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</row>
    <row r="295" spans="3:47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</row>
    <row r="296" spans="3:47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</row>
    <row r="297" spans="3:47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</row>
    <row r="298" spans="3:47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</row>
    <row r="299" spans="3:47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</row>
    <row r="300" spans="3:47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</row>
    <row r="301" spans="3:47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</row>
    <row r="302" spans="3:47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</row>
    <row r="303" spans="3:47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</row>
    <row r="304" spans="3:47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</row>
    <row r="305" spans="3:47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</row>
    <row r="306" spans="3:47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</row>
    <row r="307" spans="3:47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</row>
    <row r="308" spans="3:47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</row>
    <row r="309" spans="3:47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</row>
    <row r="310" spans="3:47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</row>
    <row r="311" spans="3:47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</row>
    <row r="312" spans="3:47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</row>
    <row r="313" spans="3:47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</row>
    <row r="314" spans="3:47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</row>
    <row r="315" spans="3:47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</row>
    <row r="316" spans="3:47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</row>
    <row r="317" spans="3:47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</row>
    <row r="318" spans="3:47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</row>
    <row r="319" spans="3:47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</row>
    <row r="320" spans="3:47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</row>
  </sheetData>
  <hyperlinks>
    <hyperlink ref="A1" location="Main!A1" display="Main" xr:uid="{6FC7EDB5-842D-40CE-A1A5-BA75894166F0}"/>
  </hyperlink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49E1-4CF8-4DFA-87E0-005DECB260E1}">
  <dimension ref="A1:AU320"/>
  <sheetViews>
    <sheetView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RowHeight="12.75" x14ac:dyDescent="0.2"/>
  <cols>
    <col min="1" max="1" width="5.42578125" style="2" bestFit="1" customWidth="1"/>
    <col min="2" max="2" width="31" style="2" bestFit="1" customWidth="1"/>
    <col min="3" max="16384" width="9.140625" style="2"/>
  </cols>
  <sheetData>
    <row r="1" spans="1:47" x14ac:dyDescent="0.2">
      <c r="A1" s="6" t="s">
        <v>13</v>
      </c>
    </row>
    <row r="2" spans="1:47" x14ac:dyDescent="0.2"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 t="s">
        <v>25</v>
      </c>
      <c r="P2" s="5" t="s">
        <v>26</v>
      </c>
      <c r="Q2" s="5" t="s">
        <v>27</v>
      </c>
      <c r="R2" s="5" t="s">
        <v>316</v>
      </c>
      <c r="S2" s="5" t="s">
        <v>317</v>
      </c>
      <c r="T2" s="5" t="s">
        <v>318</v>
      </c>
      <c r="U2" s="5" t="s">
        <v>319</v>
      </c>
    </row>
    <row r="3" spans="1:47" x14ac:dyDescent="0.2">
      <c r="B3" s="2" t="s">
        <v>315</v>
      </c>
      <c r="C3" s="24"/>
      <c r="D3" s="24"/>
      <c r="E3" s="24"/>
      <c r="F3" s="24"/>
      <c r="G3" s="24"/>
      <c r="H3" s="24"/>
      <c r="I3" s="17"/>
      <c r="J3" s="17">
        <f t="shared" ref="J3:O3" si="0">+K3*(1-4%)</f>
        <v>6597.7088577896438</v>
      </c>
      <c r="K3" s="17">
        <f t="shared" si="0"/>
        <v>6872.613393530879</v>
      </c>
      <c r="L3" s="17">
        <f t="shared" si="0"/>
        <v>7158.9722849279988</v>
      </c>
      <c r="M3" s="17">
        <f t="shared" si="0"/>
        <v>7457.2627967999988</v>
      </c>
      <c r="N3" s="17">
        <f t="shared" si="0"/>
        <v>7767.9820799999989</v>
      </c>
      <c r="O3" s="17">
        <f t="shared" si="0"/>
        <v>8091.6479999999992</v>
      </c>
      <c r="P3" s="17">
        <f>+Q3*(1-4%)</f>
        <v>8428.7999999999993</v>
      </c>
      <c r="Q3" s="17">
        <v>8780</v>
      </c>
      <c r="R3" s="17">
        <f>+Q3*(1+4.2%)</f>
        <v>9148.76</v>
      </c>
      <c r="S3" s="17">
        <f t="shared" ref="S3:U3" si="1">+R3*(1+4.2%)</f>
        <v>9533.00792</v>
      </c>
      <c r="T3" s="17">
        <f t="shared" si="1"/>
        <v>9933.3942526400006</v>
      </c>
      <c r="U3" s="17">
        <f t="shared" si="1"/>
        <v>10350.596811250882</v>
      </c>
    </row>
    <row r="4" spans="1:47" x14ac:dyDescent="0.2">
      <c r="B4" s="2" t="s">
        <v>320</v>
      </c>
      <c r="C4" s="24"/>
      <c r="D4" s="24"/>
      <c r="E4" s="24"/>
      <c r="F4" s="24"/>
      <c r="G4" s="24"/>
      <c r="H4" s="24"/>
      <c r="I4" s="17"/>
      <c r="J4" s="25">
        <f t="shared" ref="J4:N4" si="2">+J11/J3</f>
        <v>4.322712719632605E-2</v>
      </c>
      <c r="K4" s="25">
        <f t="shared" si="2"/>
        <v>4.362241593310031E-2</v>
      </c>
      <c r="L4" s="25">
        <f t="shared" si="2"/>
        <v>4.4616320232508402E-2</v>
      </c>
      <c r="M4" s="25">
        <f t="shared" si="2"/>
        <v>4.1649061922999019E-2</v>
      </c>
      <c r="N4" s="25">
        <f t="shared" si="2"/>
        <v>4.4935737029918592E-2</v>
      </c>
      <c r="O4" s="25">
        <f>+O11/O3</f>
        <v>4.9662318479498868E-2</v>
      </c>
      <c r="P4" s="25">
        <f>+P11/P3</f>
        <v>4.743744661161732E-2</v>
      </c>
      <c r="Q4" s="25">
        <v>4.8000000000000001E-2</v>
      </c>
      <c r="R4" s="25">
        <v>0.05</v>
      </c>
      <c r="S4" s="25">
        <v>5.5E-2</v>
      </c>
      <c r="T4" s="25">
        <v>0.06</v>
      </c>
      <c r="U4" s="25">
        <v>0.06</v>
      </c>
    </row>
    <row r="5" spans="1:47" x14ac:dyDescent="0.2">
      <c r="B5" s="2" t="s">
        <v>321</v>
      </c>
      <c r="C5" s="24"/>
      <c r="D5" s="24"/>
      <c r="E5" s="24"/>
      <c r="F5" s="24"/>
      <c r="G5" s="24"/>
      <c r="H5" s="24"/>
      <c r="I5" s="17"/>
      <c r="J5" s="17">
        <f t="shared" ref="J5:N5" si="3">+K5*(1-4.5%)</f>
        <v>65210.365787440925</v>
      </c>
      <c r="K5" s="17">
        <f t="shared" si="3"/>
        <v>68283.105536587362</v>
      </c>
      <c r="L5" s="17">
        <f t="shared" si="3"/>
        <v>71500.634069724983</v>
      </c>
      <c r="M5" s="17">
        <f t="shared" si="3"/>
        <v>74869.773894999991</v>
      </c>
      <c r="N5" s="17">
        <f t="shared" si="3"/>
        <v>78397.668999999994</v>
      </c>
      <c r="O5" s="17">
        <f>+P5*(1-4.5%)</f>
        <v>82091.8</v>
      </c>
      <c r="P5" s="17">
        <v>85960</v>
      </c>
      <c r="Q5" s="17">
        <v>104500</v>
      </c>
      <c r="R5" s="17">
        <f>+Q5*(1+6%)</f>
        <v>110770</v>
      </c>
      <c r="S5" s="17">
        <f t="shared" ref="S5:U5" si="4">+R5*(1+6%)</f>
        <v>117416.20000000001</v>
      </c>
      <c r="T5" s="17">
        <f t="shared" si="4"/>
        <v>124461.17200000002</v>
      </c>
      <c r="U5" s="17">
        <f t="shared" si="4"/>
        <v>131928.84232000003</v>
      </c>
    </row>
    <row r="6" spans="1:47" x14ac:dyDescent="0.2">
      <c r="B6" s="2" t="s">
        <v>322</v>
      </c>
      <c r="C6" s="24"/>
      <c r="D6" s="24"/>
      <c r="E6" s="24"/>
      <c r="F6" s="24"/>
      <c r="G6" s="24"/>
      <c r="H6" s="24"/>
      <c r="I6" s="17"/>
      <c r="J6" s="25">
        <f t="shared" ref="J6:N6" si="5">+J16/J5</f>
        <v>7.8098626476050936E-3</v>
      </c>
      <c r="K6" s="25">
        <f t="shared" si="5"/>
        <v>7.658365797668658E-3</v>
      </c>
      <c r="L6" s="25">
        <f t="shared" si="5"/>
        <v>7.716700798232827E-3</v>
      </c>
      <c r="M6" s="25">
        <f t="shared" si="5"/>
        <v>7.041573288833025E-3</v>
      </c>
      <c r="N6" s="25">
        <f t="shared" si="5"/>
        <v>7.3864058381633776E-3</v>
      </c>
      <c r="O6" s="25">
        <f>+O16/O5</f>
        <v>7.7898157915894158E-3</v>
      </c>
      <c r="P6" s="25">
        <f>+P16/P5</f>
        <v>7.4020777105630528E-3</v>
      </c>
      <c r="Q6" s="25">
        <v>8.0000000000000002E-3</v>
      </c>
      <c r="R6" s="25">
        <v>8.9999999999999993E-3</v>
      </c>
      <c r="S6" s="25">
        <v>0.01</v>
      </c>
      <c r="T6" s="25">
        <v>0.01</v>
      </c>
      <c r="U6" s="25">
        <v>0.01</v>
      </c>
    </row>
    <row r="7" spans="1:47" x14ac:dyDescent="0.2">
      <c r="B7" s="2" t="s">
        <v>324</v>
      </c>
      <c r="C7" s="24"/>
      <c r="D7" s="24"/>
      <c r="E7" s="24"/>
      <c r="F7" s="24"/>
      <c r="G7" s="24"/>
      <c r="H7" s="24"/>
      <c r="I7" s="17"/>
      <c r="J7" s="17">
        <f t="shared" ref="J7:N7" si="6">+J5-J3</f>
        <v>58612.656929651283</v>
      </c>
      <c r="K7" s="17">
        <f t="shared" si="6"/>
        <v>61410.492143056486</v>
      </c>
      <c r="L7" s="17">
        <f t="shared" si="6"/>
        <v>64341.661784796983</v>
      </c>
      <c r="M7" s="17">
        <f t="shared" si="6"/>
        <v>67412.51109819999</v>
      </c>
      <c r="N7" s="17">
        <f t="shared" si="6"/>
        <v>70629.686919999993</v>
      </c>
      <c r="O7" s="17">
        <f>+O5-O3</f>
        <v>74000.152000000002</v>
      </c>
      <c r="P7" s="17">
        <f t="shared" ref="P7:U7" si="7">+P5-P3</f>
        <v>77531.199999999997</v>
      </c>
      <c r="Q7" s="17">
        <f t="shared" si="7"/>
        <v>95720</v>
      </c>
      <c r="R7" s="17">
        <f t="shared" si="7"/>
        <v>101621.24</v>
      </c>
      <c r="S7" s="17">
        <f t="shared" si="7"/>
        <v>107883.19208000001</v>
      </c>
      <c r="T7" s="17">
        <f t="shared" si="7"/>
        <v>114527.77774736001</v>
      </c>
      <c r="U7" s="17">
        <f t="shared" si="7"/>
        <v>121578.24550874914</v>
      </c>
    </row>
    <row r="8" spans="1:47" x14ac:dyDescent="0.2">
      <c r="B8" s="2" t="s">
        <v>323</v>
      </c>
      <c r="C8" s="24"/>
      <c r="D8" s="24"/>
      <c r="E8" s="24"/>
      <c r="F8" s="24"/>
      <c r="G8" s="24"/>
      <c r="H8" s="24"/>
      <c r="I8" s="17"/>
      <c r="J8" s="25">
        <f t="shared" ref="J8:N8" si="8">+J12/J7</f>
        <v>3.8234062698944311E-3</v>
      </c>
      <c r="K8" s="25">
        <f t="shared" si="8"/>
        <v>3.6329296870034168E-3</v>
      </c>
      <c r="L8" s="25">
        <f t="shared" si="8"/>
        <v>3.6110661980896974E-3</v>
      </c>
      <c r="M8" s="25">
        <f t="shared" si="8"/>
        <v>3.2132462724086814E-3</v>
      </c>
      <c r="N8" s="25">
        <f t="shared" si="8"/>
        <v>3.2566617527348372E-3</v>
      </c>
      <c r="O8" s="25">
        <f>+O12/O7</f>
        <v>3.2112096202180774E-3</v>
      </c>
      <c r="P8" s="25">
        <f t="shared" ref="P8" si="9">+P12/P7</f>
        <v>3.0496348566770538E-3</v>
      </c>
      <c r="Q8" s="25">
        <v>3.5000000000000001E-3</v>
      </c>
      <c r="R8" s="25">
        <v>4.0000000000000001E-3</v>
      </c>
      <c r="S8" s="25">
        <v>4.4999999999999997E-3</v>
      </c>
      <c r="T8" s="25">
        <v>5.0000000000000001E-3</v>
      </c>
      <c r="U8" s="25">
        <v>5.0000000000000001E-3</v>
      </c>
    </row>
    <row r="9" spans="1:47" x14ac:dyDescent="0.2">
      <c r="C9" s="24"/>
      <c r="D9" s="24"/>
      <c r="E9" s="24"/>
      <c r="F9" s="24"/>
      <c r="G9" s="24"/>
      <c r="H9" s="24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pans="1:47" x14ac:dyDescent="0.2">
      <c r="A10" s="26" t="s">
        <v>103</v>
      </c>
      <c r="B10" s="3" t="s">
        <v>104</v>
      </c>
      <c r="C10" s="5"/>
      <c r="D10" s="5"/>
      <c r="E10" s="5"/>
      <c r="F10" s="5"/>
      <c r="G10" s="5"/>
      <c r="H10" s="5"/>
      <c r="J10" s="5"/>
      <c r="K10" s="5"/>
      <c r="L10" s="5"/>
      <c r="M10" s="5"/>
      <c r="N10" s="5"/>
      <c r="O10" s="5"/>
      <c r="P10" s="5"/>
      <c r="Q10" s="5"/>
    </row>
    <row r="11" spans="1:47" x14ac:dyDescent="0.2">
      <c r="B11" s="2" t="s">
        <v>72</v>
      </c>
      <c r="C11" s="5"/>
      <c r="D11" s="5"/>
      <c r="E11" s="4"/>
      <c r="F11" s="4"/>
      <c r="G11" s="4"/>
      <c r="H11" s="4"/>
      <c r="I11" s="4"/>
      <c r="J11" s="4">
        <v>285.2</v>
      </c>
      <c r="K11" s="4">
        <v>299.8</v>
      </c>
      <c r="L11" s="4">
        <v>319.40699999999998</v>
      </c>
      <c r="M11" s="4">
        <v>310.58800000000002</v>
      </c>
      <c r="N11" s="4">
        <v>349.06</v>
      </c>
      <c r="O11" s="4">
        <v>401.85</v>
      </c>
      <c r="P11" s="4">
        <f>+O11*(1-0.5%)</f>
        <v>399.84075000000001</v>
      </c>
      <c r="Q11" s="24">
        <f>+Q3*Q4</f>
        <v>421.44</v>
      </c>
      <c r="R11" s="24">
        <f t="shared" ref="R11:U11" si="10">+R3*R4</f>
        <v>457.43800000000005</v>
      </c>
      <c r="S11" s="24">
        <f t="shared" si="10"/>
        <v>524.3154356</v>
      </c>
      <c r="T11" s="24">
        <f t="shared" si="10"/>
        <v>596.00365515839997</v>
      </c>
      <c r="U11" s="24">
        <f t="shared" si="10"/>
        <v>621.03580867505286</v>
      </c>
    </row>
    <row r="12" spans="1:47" x14ac:dyDescent="0.2">
      <c r="B12" s="2" t="s">
        <v>73</v>
      </c>
      <c r="C12" s="5"/>
      <c r="D12" s="5"/>
      <c r="E12" s="4"/>
      <c r="F12" s="4"/>
      <c r="G12" s="4"/>
      <c r="H12" s="4"/>
      <c r="I12" s="4"/>
      <c r="J12" s="4">
        <v>224.1</v>
      </c>
      <c r="K12" s="4">
        <v>223.1</v>
      </c>
      <c r="L12" s="4">
        <v>232.34200000000001</v>
      </c>
      <c r="M12" s="4">
        <v>216.613</v>
      </c>
      <c r="N12" s="4">
        <v>230.017</v>
      </c>
      <c r="O12" s="4">
        <v>237.63</v>
      </c>
      <c r="P12" s="4">
        <f>+O12*(1-0.5%)</f>
        <v>236.44184999999999</v>
      </c>
      <c r="Q12" s="24">
        <f>+Q7*Q8</f>
        <v>335.02</v>
      </c>
      <c r="R12" s="24">
        <f t="shared" ref="R12:U12" si="11">+R7*R8</f>
        <v>406.48496000000006</v>
      </c>
      <c r="S12" s="24">
        <f t="shared" si="11"/>
        <v>485.47436435999998</v>
      </c>
      <c r="T12" s="24">
        <f t="shared" si="11"/>
        <v>572.63888873680014</v>
      </c>
      <c r="U12" s="24">
        <f t="shared" si="11"/>
        <v>607.89122754374569</v>
      </c>
    </row>
    <row r="13" spans="1:47" x14ac:dyDescent="0.2">
      <c r="B13" s="2" t="s">
        <v>74</v>
      </c>
      <c r="C13" s="5"/>
      <c r="D13" s="5"/>
      <c r="E13" s="4"/>
      <c r="F13" s="4"/>
      <c r="G13" s="4"/>
      <c r="H13" s="4"/>
      <c r="I13" s="4"/>
      <c r="J13" s="27" t="s">
        <v>139</v>
      </c>
      <c r="K13" s="27" t="s">
        <v>139</v>
      </c>
      <c r="L13" s="4">
        <v>253.76300000000001</v>
      </c>
      <c r="M13" s="4">
        <v>243.87</v>
      </c>
      <c r="N13" s="4">
        <v>272.50099999999998</v>
      </c>
      <c r="O13" s="4">
        <v>293.70400000000001</v>
      </c>
      <c r="P13" s="4">
        <f>46%*P16</f>
        <v>292.68999600000001</v>
      </c>
      <c r="Q13" s="4">
        <f>46%*Q16</f>
        <v>347.97160000000002</v>
      </c>
      <c r="R13" s="4">
        <f t="shared" ref="R13:U13" si="12">46%*R16</f>
        <v>397.40456160000008</v>
      </c>
      <c r="S13" s="4">
        <f t="shared" si="12"/>
        <v>464.50330798160002</v>
      </c>
      <c r="T13" s="4">
        <f t="shared" si="12"/>
        <v>537.57557019179205</v>
      </c>
      <c r="U13" s="4">
        <f t="shared" si="12"/>
        <v>565.30643666064736</v>
      </c>
    </row>
    <row r="14" spans="1:47" x14ac:dyDescent="0.2">
      <c r="B14" s="2" t="s">
        <v>75</v>
      </c>
      <c r="C14" s="5"/>
      <c r="D14" s="5"/>
      <c r="E14" s="4"/>
      <c r="F14" s="4"/>
      <c r="G14" s="4"/>
      <c r="H14" s="4"/>
      <c r="I14" s="4"/>
      <c r="J14" s="27" t="s">
        <v>139</v>
      </c>
      <c r="K14" s="27" t="s">
        <v>139</v>
      </c>
      <c r="L14" s="4">
        <v>150.47900000000001</v>
      </c>
      <c r="M14" s="4">
        <v>136.833</v>
      </c>
      <c r="N14" s="4">
        <v>133.71700000000001</v>
      </c>
      <c r="O14" s="4">
        <v>141.05799999999999</v>
      </c>
      <c r="P14" s="4">
        <f>22%*P16</f>
        <v>139.98217199999999</v>
      </c>
      <c r="Q14" s="4">
        <f>22%*Q16</f>
        <v>166.4212</v>
      </c>
      <c r="R14" s="4">
        <f t="shared" ref="R14:U14" si="13">22%*R16</f>
        <v>190.06305120000002</v>
      </c>
      <c r="S14" s="4">
        <f t="shared" si="13"/>
        <v>222.1537559912</v>
      </c>
      <c r="T14" s="4">
        <f t="shared" si="13"/>
        <v>257.101359656944</v>
      </c>
      <c r="U14" s="4">
        <f t="shared" si="13"/>
        <v>270.36394796813568</v>
      </c>
    </row>
    <row r="15" spans="1:47" x14ac:dyDescent="0.2">
      <c r="B15" s="2" t="s">
        <v>76</v>
      </c>
      <c r="C15" s="5"/>
      <c r="D15" s="5"/>
      <c r="E15" s="4"/>
      <c r="F15" s="4"/>
      <c r="G15" s="4"/>
      <c r="H15" s="4"/>
      <c r="I15" s="4"/>
      <c r="J15" s="27" t="s">
        <v>139</v>
      </c>
      <c r="K15" s="27" t="s">
        <v>139</v>
      </c>
      <c r="L15" s="4">
        <v>147.50700000000001</v>
      </c>
      <c r="M15" s="4">
        <v>146.49799999999999</v>
      </c>
      <c r="N15" s="4">
        <v>172.85900000000001</v>
      </c>
      <c r="O15" s="4">
        <v>204.71799999999999</v>
      </c>
      <c r="P15" s="4">
        <f>32%*P16</f>
        <v>203.610432</v>
      </c>
      <c r="Q15" s="4">
        <f>32%*Q16</f>
        <v>242.06720000000001</v>
      </c>
      <c r="R15" s="4">
        <f t="shared" ref="R15:U15" si="14">32%*R16</f>
        <v>276.45534720000006</v>
      </c>
      <c r="S15" s="4">
        <f t="shared" si="14"/>
        <v>323.13273598720002</v>
      </c>
      <c r="T15" s="4">
        <f t="shared" si="14"/>
        <v>373.96561404646405</v>
      </c>
      <c r="U15" s="4">
        <f t="shared" si="14"/>
        <v>393.25665159001557</v>
      </c>
    </row>
    <row r="16" spans="1:47" s="1" customFormat="1" x14ac:dyDescent="0.2">
      <c r="B16" s="1" t="s">
        <v>41</v>
      </c>
      <c r="C16" s="28"/>
      <c r="D16" s="28"/>
      <c r="E16" s="28">
        <v>316.80399999999997</v>
      </c>
      <c r="F16" s="28"/>
      <c r="G16" s="28">
        <v>315.94099999999997</v>
      </c>
      <c r="H16" s="28"/>
      <c r="I16" s="28"/>
      <c r="J16" s="28">
        <v>509.28399999999999</v>
      </c>
      <c r="K16" s="28">
        <v>522.93700000000001</v>
      </c>
      <c r="L16" s="28">
        <v>551.74900000000002</v>
      </c>
      <c r="M16" s="28">
        <v>527.20100000000002</v>
      </c>
      <c r="N16" s="28">
        <v>579.077</v>
      </c>
      <c r="O16" s="28">
        <v>639.48</v>
      </c>
      <c r="P16" s="28">
        <f>+SUM(P11:P12)</f>
        <v>636.2826</v>
      </c>
      <c r="Q16" s="28">
        <f>+SUM(Q11:Q12)</f>
        <v>756.46</v>
      </c>
      <c r="R16" s="28">
        <f t="shared" ref="R16:U16" si="15">+SUM(R11:R12)</f>
        <v>863.9229600000001</v>
      </c>
      <c r="S16" s="28">
        <f t="shared" si="15"/>
        <v>1009.78979996</v>
      </c>
      <c r="T16" s="28">
        <f t="shared" si="15"/>
        <v>1168.6425438952001</v>
      </c>
      <c r="U16" s="28">
        <f t="shared" si="15"/>
        <v>1228.9270362187985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</row>
    <row r="17" spans="2:47" x14ac:dyDescent="0.2">
      <c r="B17" s="2" t="s">
        <v>52</v>
      </c>
      <c r="C17" s="4"/>
      <c r="D17" s="4"/>
      <c r="E17" s="4">
        <f>-3.481+4.974</f>
        <v>1.4930000000000003</v>
      </c>
      <c r="F17" s="4"/>
      <c r="G17" s="4">
        <f>0.627+3.246</f>
        <v>3.8730000000000002</v>
      </c>
      <c r="H17" s="4"/>
      <c r="I17" s="4"/>
      <c r="J17" s="4">
        <f>-5.613+9.315</f>
        <v>3.7019999999999991</v>
      </c>
      <c r="K17" s="4">
        <f>1.432+0.056+7.396</f>
        <v>8.8840000000000003</v>
      </c>
      <c r="L17" s="4">
        <f>4.384+0.128+9.323</f>
        <v>13.835000000000001</v>
      </c>
      <c r="M17" s="4">
        <f>11.669+8.953</f>
        <v>20.622</v>
      </c>
      <c r="N17" s="4">
        <f>-0.744+12.546</f>
        <v>11.802</v>
      </c>
      <c r="O17" s="4">
        <f>-4.836+16.501</f>
        <v>11.665000000000001</v>
      </c>
      <c r="P17" s="4">
        <v>11.7</v>
      </c>
      <c r="Q17" s="4">
        <v>11.7</v>
      </c>
      <c r="R17" s="4">
        <v>11.7</v>
      </c>
      <c r="S17" s="4">
        <v>11.7</v>
      </c>
      <c r="T17" s="4">
        <v>11.7</v>
      </c>
      <c r="U17" s="4">
        <v>11.7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2:47" x14ac:dyDescent="0.2">
      <c r="B18" s="2" t="s">
        <v>53</v>
      </c>
      <c r="C18" s="4">
        <f t="shared" ref="C18:F18" si="16">+C16+C17</f>
        <v>0</v>
      </c>
      <c r="D18" s="4">
        <f t="shared" si="16"/>
        <v>0</v>
      </c>
      <c r="E18" s="4">
        <f t="shared" si="16"/>
        <v>318.29699999999997</v>
      </c>
      <c r="F18" s="4">
        <f t="shared" si="16"/>
        <v>0</v>
      </c>
      <c r="G18" s="4">
        <f>+G16+G17</f>
        <v>319.81399999999996</v>
      </c>
      <c r="H18" s="4">
        <f t="shared" ref="H18" si="17">+H16+H17</f>
        <v>0</v>
      </c>
      <c r="I18" s="4"/>
      <c r="J18" s="4">
        <f t="shared" ref="J18:U18" si="18">+J16+J17</f>
        <v>512.98599999999999</v>
      </c>
      <c r="K18" s="4">
        <f t="shared" si="18"/>
        <v>531.82100000000003</v>
      </c>
      <c r="L18" s="4">
        <f t="shared" si="18"/>
        <v>565.58400000000006</v>
      </c>
      <c r="M18" s="4">
        <f t="shared" si="18"/>
        <v>547.82299999999998</v>
      </c>
      <c r="N18" s="4">
        <f t="shared" si="18"/>
        <v>590.87900000000002</v>
      </c>
      <c r="O18" s="4">
        <f t="shared" si="18"/>
        <v>651.14499999999998</v>
      </c>
      <c r="P18" s="4">
        <f t="shared" si="18"/>
        <v>647.98260000000005</v>
      </c>
      <c r="Q18" s="4">
        <f t="shared" si="18"/>
        <v>768.16000000000008</v>
      </c>
      <c r="R18" s="4">
        <f t="shared" si="18"/>
        <v>875.62296000000015</v>
      </c>
      <c r="S18" s="4">
        <f t="shared" si="18"/>
        <v>1021.48979996</v>
      </c>
      <c r="T18" s="4">
        <f t="shared" si="18"/>
        <v>1180.3425438952002</v>
      </c>
      <c r="U18" s="4">
        <f t="shared" si="18"/>
        <v>1240.6270362187986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2:47" x14ac:dyDescent="0.2">
      <c r="B19" s="2" t="s">
        <v>42</v>
      </c>
      <c r="C19" s="4"/>
      <c r="D19" s="4"/>
      <c r="E19" s="4">
        <v>184.017</v>
      </c>
      <c r="F19" s="4"/>
      <c r="G19" s="4">
        <v>168.78299999999999</v>
      </c>
      <c r="H19" s="4"/>
      <c r="I19" s="4"/>
      <c r="J19" s="4">
        <v>300.27300000000002</v>
      </c>
      <c r="K19" s="4">
        <v>327.03399999999999</v>
      </c>
      <c r="L19" s="4">
        <v>332.10399999999998</v>
      </c>
      <c r="M19" s="4">
        <v>309.84500000000003</v>
      </c>
      <c r="N19" s="4">
        <v>346.10899999999998</v>
      </c>
      <c r="O19" s="4">
        <v>366.07499999999999</v>
      </c>
      <c r="P19" s="4">
        <f>+P18-P20</f>
        <v>348.92977800000006</v>
      </c>
      <c r="Q19" s="4">
        <f>+Q18-Q20</f>
        <v>412.62380000000007</v>
      </c>
      <c r="R19" s="4">
        <f t="shared" ref="R19:U19" si="19">+R18-R20</f>
        <v>469.5791688000001</v>
      </c>
      <c r="S19" s="4">
        <f t="shared" si="19"/>
        <v>546.88859397880015</v>
      </c>
      <c r="T19" s="4">
        <f t="shared" si="19"/>
        <v>631.08054826445618</v>
      </c>
      <c r="U19" s="4">
        <f t="shared" si="19"/>
        <v>663.03132919596328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2:47" x14ac:dyDescent="0.2">
      <c r="B20" s="2" t="s">
        <v>71</v>
      </c>
      <c r="C20" s="4">
        <f t="shared" ref="C20:F20" si="20">+C18-C19</f>
        <v>0</v>
      </c>
      <c r="D20" s="4">
        <f t="shared" si="20"/>
        <v>0</v>
      </c>
      <c r="E20" s="4">
        <f t="shared" si="20"/>
        <v>134.27999999999997</v>
      </c>
      <c r="F20" s="4">
        <f t="shared" si="20"/>
        <v>0</v>
      </c>
      <c r="G20" s="4">
        <f>+G18-G19</f>
        <v>151.03099999999998</v>
      </c>
      <c r="H20" s="4">
        <f t="shared" ref="H20" si="21">+H18-H19</f>
        <v>0</v>
      </c>
      <c r="I20" s="4"/>
      <c r="J20" s="4">
        <f t="shared" ref="J20:O20" si="22">+J18-J19</f>
        <v>212.71299999999997</v>
      </c>
      <c r="K20" s="4">
        <f t="shared" si="22"/>
        <v>204.78700000000003</v>
      </c>
      <c r="L20" s="4">
        <f t="shared" si="22"/>
        <v>233.48000000000008</v>
      </c>
      <c r="M20" s="4">
        <f t="shared" si="22"/>
        <v>237.97799999999995</v>
      </c>
      <c r="N20" s="4">
        <f t="shared" si="22"/>
        <v>244.77000000000004</v>
      </c>
      <c r="O20" s="4">
        <f t="shared" si="22"/>
        <v>285.07</v>
      </c>
      <c r="P20" s="4">
        <f>+P16*P41</f>
        <v>299.05282199999999</v>
      </c>
      <c r="Q20" s="4">
        <f>+Q16*Q41</f>
        <v>355.53620000000001</v>
      </c>
      <c r="R20" s="4">
        <f t="shared" ref="R20:U20" si="23">+R16*R41</f>
        <v>406.04379120000004</v>
      </c>
      <c r="S20" s="4">
        <f t="shared" si="23"/>
        <v>474.60120598119994</v>
      </c>
      <c r="T20" s="4">
        <f t="shared" si="23"/>
        <v>549.26199563074397</v>
      </c>
      <c r="U20" s="4">
        <f t="shared" si="23"/>
        <v>577.59570702283531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2:47" x14ac:dyDescent="0.2">
      <c r="B21" s="2" t="s">
        <v>70</v>
      </c>
      <c r="C21" s="4"/>
      <c r="D21" s="4"/>
      <c r="E21" s="4">
        <v>40.384999999999998</v>
      </c>
      <c r="F21" s="4"/>
      <c r="G21" s="4">
        <v>46.203000000000003</v>
      </c>
      <c r="H21" s="4"/>
      <c r="I21" s="4"/>
      <c r="J21" s="4">
        <v>74.275000000000006</v>
      </c>
      <c r="K21" s="4">
        <v>75.721999999999994</v>
      </c>
      <c r="L21" s="4">
        <v>78.956999999999994</v>
      </c>
      <c r="M21" s="4">
        <v>79</v>
      </c>
      <c r="N21" s="4">
        <v>76.611999999999995</v>
      </c>
      <c r="O21" s="4">
        <v>84.084000000000003</v>
      </c>
      <c r="P21" s="4">
        <f>+(P20-P24)*35%</f>
        <v>89.079563999999991</v>
      </c>
      <c r="Q21" s="4">
        <f t="shared" ref="Q21:U21" si="24">+(Q20-Q24)*35%</f>
        <v>104.58059499999999</v>
      </c>
      <c r="R21" s="4">
        <f t="shared" si="24"/>
        <v>117.92548404</v>
      </c>
      <c r="S21" s="4">
        <f t="shared" si="24"/>
        <v>136.06917554460995</v>
      </c>
      <c r="T21" s="4">
        <f t="shared" si="24"/>
        <v>155.42945833806158</v>
      </c>
      <c r="U21" s="4">
        <f t="shared" si="24"/>
        <v>163.44729581710018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2:47" x14ac:dyDescent="0.2">
      <c r="B22" s="2" t="s">
        <v>44</v>
      </c>
      <c r="C22" s="4"/>
      <c r="D22" s="4"/>
      <c r="E22" s="4">
        <v>10.353</v>
      </c>
      <c r="F22" s="4"/>
      <c r="G22" s="4">
        <v>10.414999999999999</v>
      </c>
      <c r="H22" s="4"/>
      <c r="I22" s="4"/>
      <c r="J22" s="4">
        <v>16.538</v>
      </c>
      <c r="K22" s="4">
        <v>18.751999999999999</v>
      </c>
      <c r="L22" s="4">
        <v>18.495000000000001</v>
      </c>
      <c r="M22" s="4">
        <v>18.446000000000002</v>
      </c>
      <c r="N22" s="4">
        <v>20.321999999999999</v>
      </c>
      <c r="O22" s="4">
        <v>20.478999999999999</v>
      </c>
      <c r="P22" s="4">
        <f>+(P20-P24)*9%</f>
        <v>22.906173599999999</v>
      </c>
      <c r="Q22" s="4">
        <f t="shared" ref="Q22:U22" si="25">+(Q20-Q24)*9%</f>
        <v>26.892152999999997</v>
      </c>
      <c r="R22" s="4">
        <f t="shared" si="25"/>
        <v>30.323695896000004</v>
      </c>
      <c r="S22" s="4">
        <f t="shared" si="25"/>
        <v>34.98921656861399</v>
      </c>
      <c r="T22" s="4">
        <f t="shared" si="25"/>
        <v>39.967575001215835</v>
      </c>
      <c r="U22" s="4">
        <f t="shared" si="25"/>
        <v>42.029304638682909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2:47" x14ac:dyDescent="0.2">
      <c r="B23" s="2" t="s">
        <v>45</v>
      </c>
      <c r="C23" s="4"/>
      <c r="D23" s="4"/>
      <c r="E23" s="4">
        <v>61.094999999999999</v>
      </c>
      <c r="F23" s="4"/>
      <c r="G23" s="4">
        <v>72.471000000000004</v>
      </c>
      <c r="H23" s="4"/>
      <c r="I23" s="4"/>
      <c r="J23" s="4">
        <v>91.861000000000004</v>
      </c>
      <c r="K23" s="4">
        <v>94.13</v>
      </c>
      <c r="L23" s="4">
        <v>98.942999999999998</v>
      </c>
      <c r="M23" s="4">
        <v>101.958</v>
      </c>
      <c r="N23" s="4">
        <v>113.312</v>
      </c>
      <c r="O23" s="4">
        <v>132.43100000000001</v>
      </c>
      <c r="P23" s="4">
        <f>+(P20-P24)*56%</f>
        <v>142.5273024</v>
      </c>
      <c r="Q23" s="4">
        <f t="shared" ref="Q23:U23" si="26">+(Q20-Q24)*56%</f>
        <v>167.32895200000002</v>
      </c>
      <c r="R23" s="4">
        <f t="shared" si="26"/>
        <v>188.68077446400005</v>
      </c>
      <c r="S23" s="4">
        <f t="shared" si="26"/>
        <v>217.71068087137598</v>
      </c>
      <c r="T23" s="4">
        <f t="shared" si="26"/>
        <v>248.68713334089855</v>
      </c>
      <c r="U23" s="4">
        <f t="shared" si="26"/>
        <v>261.51567330736037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</row>
    <row r="24" spans="2:47" x14ac:dyDescent="0.2">
      <c r="B24" s="2" t="s">
        <v>46</v>
      </c>
      <c r="C24" s="4">
        <f t="shared" ref="C24:F24" si="27">+C20-SUM(C21:C23)</f>
        <v>0</v>
      </c>
      <c r="D24" s="4">
        <f t="shared" si="27"/>
        <v>0</v>
      </c>
      <c r="E24" s="4">
        <f t="shared" si="27"/>
        <v>22.446999999999974</v>
      </c>
      <c r="F24" s="4">
        <f t="shared" si="27"/>
        <v>0</v>
      </c>
      <c r="G24" s="4">
        <f>+G20-SUM(G21:G23)</f>
        <v>21.941999999999979</v>
      </c>
      <c r="H24" s="4">
        <f t="shared" ref="H24" si="28">+H20-SUM(H21:H23)</f>
        <v>0</v>
      </c>
      <c r="I24" s="4"/>
      <c r="J24" s="4">
        <f t="shared" ref="J24:O24" si="29">+J20-SUM(J21:J23)</f>
        <v>30.038999999999959</v>
      </c>
      <c r="K24" s="4">
        <f t="shared" si="29"/>
        <v>16.18300000000005</v>
      </c>
      <c r="L24" s="4">
        <f t="shared" si="29"/>
        <v>37.085000000000093</v>
      </c>
      <c r="M24" s="4">
        <f t="shared" si="29"/>
        <v>38.573999999999955</v>
      </c>
      <c r="N24" s="4">
        <f t="shared" si="29"/>
        <v>34.524000000000058</v>
      </c>
      <c r="O24" s="4">
        <f t="shared" si="29"/>
        <v>48.075999999999965</v>
      </c>
      <c r="P24" s="4">
        <f>+P16*P42</f>
        <v>44.539782000000002</v>
      </c>
      <c r="Q24" s="4">
        <f>+Q16*Q42</f>
        <v>56.734500000000004</v>
      </c>
      <c r="R24" s="4">
        <f t="shared" ref="R24:U24" si="30">+R16*R42</f>
        <v>69.113836800000016</v>
      </c>
      <c r="S24" s="4">
        <f t="shared" si="30"/>
        <v>85.832132996600009</v>
      </c>
      <c r="T24" s="4">
        <f t="shared" si="30"/>
        <v>105.177828950568</v>
      </c>
      <c r="U24" s="4">
        <f t="shared" si="30"/>
        <v>110.60343325969187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spans="2:47" x14ac:dyDescent="0.2">
      <c r="B25" s="2" t="s">
        <v>47</v>
      </c>
      <c r="C25" s="4"/>
      <c r="D25" s="4"/>
      <c r="E25" s="4">
        <v>7.0000000000000001E-3</v>
      </c>
      <c r="F25" s="4"/>
      <c r="G25" s="4">
        <v>1.054</v>
      </c>
      <c r="H25" s="4"/>
      <c r="I25" s="4"/>
      <c r="J25" s="4">
        <v>5.5E-2</v>
      </c>
      <c r="K25" s="4">
        <v>0.18</v>
      </c>
      <c r="L25" s="4">
        <v>5.0999999999999997E-2</v>
      </c>
      <c r="M25" s="4">
        <v>2.3E-2</v>
      </c>
      <c r="N25" s="4">
        <v>4.3999999999999997E-2</v>
      </c>
      <c r="O25" s="4">
        <v>0.72799999999999998</v>
      </c>
      <c r="P25" s="4">
        <v>2.2000000000000002</v>
      </c>
      <c r="Q25" s="4">
        <v>2.5</v>
      </c>
      <c r="R25" s="4">
        <f>+Q25*(1+3%)</f>
        <v>2.5750000000000002</v>
      </c>
      <c r="S25" s="4">
        <f t="shared" ref="S25:U25" si="31">+R25*(1+3%)</f>
        <v>2.6522500000000004</v>
      </c>
      <c r="T25" s="4">
        <f t="shared" si="31"/>
        <v>2.7318175000000005</v>
      </c>
      <c r="U25" s="4">
        <f t="shared" si="31"/>
        <v>2.8137720250000005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 spans="2:47" x14ac:dyDescent="0.2">
      <c r="B26" s="2" t="s">
        <v>48</v>
      </c>
      <c r="C26" s="4"/>
      <c r="D26" s="4"/>
      <c r="E26" s="4">
        <v>0.63200000000000001</v>
      </c>
      <c r="F26" s="4"/>
      <c r="G26" s="4">
        <v>0.52</v>
      </c>
      <c r="H26" s="4"/>
      <c r="I26" s="4"/>
      <c r="J26" s="4">
        <v>0.79200000000000004</v>
      </c>
      <c r="K26" s="4">
        <v>0.63500000000000001</v>
      </c>
      <c r="L26" s="4">
        <v>0.56299999999999994</v>
      </c>
      <c r="M26" s="4">
        <v>0.438</v>
      </c>
      <c r="N26" s="4">
        <v>0.65600000000000003</v>
      </c>
      <c r="O26" s="4">
        <v>1.125</v>
      </c>
      <c r="P26" s="4">
        <v>0.5</v>
      </c>
      <c r="Q26" s="4">
        <v>0.5</v>
      </c>
      <c r="R26" s="4">
        <v>0.5</v>
      </c>
      <c r="S26" s="4">
        <v>0.5</v>
      </c>
      <c r="T26" s="4">
        <v>0.5</v>
      </c>
      <c r="U26" s="4">
        <v>0.5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spans="2:47" x14ac:dyDescent="0.2">
      <c r="B27" s="2" t="s">
        <v>52</v>
      </c>
      <c r="C27" s="4"/>
      <c r="D27" s="4"/>
      <c r="E27" s="4"/>
      <c r="F27" s="4"/>
      <c r="G27" s="4"/>
      <c r="H27" s="4"/>
      <c r="I27" s="4"/>
      <c r="J27" s="4">
        <v>4.9000000000000002E-2</v>
      </c>
      <c r="K27" s="4">
        <v>0.56599999999999995</v>
      </c>
      <c r="L27" s="4">
        <v>0.115</v>
      </c>
      <c r="M27" s="4">
        <v>0</v>
      </c>
      <c r="N27" s="4">
        <v>0</v>
      </c>
      <c r="O27" s="4">
        <v>-0.13200000000000001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pans="2:47" x14ac:dyDescent="0.2">
      <c r="B28" s="2" t="s">
        <v>49</v>
      </c>
      <c r="C28" s="4">
        <f>+C24+C25-C26+C27</f>
        <v>0</v>
      </c>
      <c r="D28" s="4">
        <f t="shared" ref="D28:H28" si="32">+D24+D25-D26+D27</f>
        <v>0</v>
      </c>
      <c r="E28" s="4">
        <f t="shared" si="32"/>
        <v>21.821999999999974</v>
      </c>
      <c r="F28" s="4">
        <f t="shared" si="32"/>
        <v>0</v>
      </c>
      <c r="G28" s="4">
        <f t="shared" si="32"/>
        <v>22.475999999999978</v>
      </c>
      <c r="H28" s="4">
        <f t="shared" si="32"/>
        <v>0</v>
      </c>
      <c r="I28" s="4"/>
      <c r="J28" s="4">
        <f t="shared" ref="J28:U28" si="33">+J24+J25-J26+J27</f>
        <v>29.350999999999956</v>
      </c>
      <c r="K28" s="4">
        <f t="shared" si="33"/>
        <v>16.29400000000005</v>
      </c>
      <c r="L28" s="4">
        <f t="shared" si="33"/>
        <v>36.688000000000095</v>
      </c>
      <c r="M28" s="4">
        <f t="shared" si="33"/>
        <v>38.158999999999956</v>
      </c>
      <c r="N28" s="4">
        <f t="shared" si="33"/>
        <v>33.912000000000056</v>
      </c>
      <c r="O28" s="4">
        <f t="shared" si="33"/>
        <v>47.546999999999969</v>
      </c>
      <c r="P28" s="4">
        <f t="shared" si="33"/>
        <v>46.239782000000005</v>
      </c>
      <c r="Q28" s="4">
        <f t="shared" si="33"/>
        <v>58.734500000000004</v>
      </c>
      <c r="R28" s="4">
        <f t="shared" si="33"/>
        <v>71.188836800000018</v>
      </c>
      <c r="S28" s="4">
        <f t="shared" si="33"/>
        <v>87.984382996600004</v>
      </c>
      <c r="T28" s="4">
        <f t="shared" si="33"/>
        <v>107.409646450568</v>
      </c>
      <c r="U28" s="4">
        <f t="shared" si="33"/>
        <v>112.91720528469187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2:47" x14ac:dyDescent="0.2">
      <c r="B29" s="2" t="s">
        <v>50</v>
      </c>
      <c r="C29" s="4"/>
      <c r="D29" s="4"/>
      <c r="E29" s="4">
        <f>6.054+0.273</f>
        <v>6.327</v>
      </c>
      <c r="F29" s="4"/>
      <c r="G29" s="4">
        <f>6.671+0.305</f>
        <v>6.976</v>
      </c>
      <c r="H29" s="4"/>
      <c r="I29" s="4"/>
      <c r="J29" s="4">
        <f>-0.482+9.85</f>
        <v>9.3680000000000003</v>
      </c>
      <c r="K29" s="4">
        <f>-0.045+3.747</f>
        <v>3.702</v>
      </c>
      <c r="L29" s="4">
        <f>11.219+0.385</f>
        <v>11.603999999999999</v>
      </c>
      <c r="M29" s="4">
        <f>9.122+0.403</f>
        <v>9.5250000000000004</v>
      </c>
      <c r="N29" s="4">
        <f>9.19+0.418</f>
        <v>9.6079999999999988</v>
      </c>
      <c r="O29" s="4">
        <f>13.022+0.475</f>
        <v>13.497</v>
      </c>
      <c r="P29" s="4">
        <f>+P28*P43</f>
        <v>12.947138960000002</v>
      </c>
      <c r="Q29" s="4">
        <f>+Q28*Q43</f>
        <v>16.445660000000004</v>
      </c>
      <c r="R29" s="4">
        <f t="shared" ref="R29:U29" si="34">+R28*R43</f>
        <v>19.932874304000006</v>
      </c>
      <c r="S29" s="4">
        <f t="shared" si="34"/>
        <v>24.635627239048002</v>
      </c>
      <c r="T29" s="4">
        <f t="shared" si="34"/>
        <v>30.074701006159046</v>
      </c>
      <c r="U29" s="4">
        <f t="shared" si="34"/>
        <v>31.616817479713728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2:47" x14ac:dyDescent="0.2">
      <c r="B30" s="2" t="s">
        <v>51</v>
      </c>
      <c r="C30" s="4">
        <f t="shared" ref="C30:F30" si="35">+C28-C29</f>
        <v>0</v>
      </c>
      <c r="D30" s="4">
        <f t="shared" si="35"/>
        <v>0</v>
      </c>
      <c r="E30" s="4">
        <f t="shared" si="35"/>
        <v>15.494999999999974</v>
      </c>
      <c r="F30" s="4">
        <f t="shared" si="35"/>
        <v>0</v>
      </c>
      <c r="G30" s="4">
        <f>+G28-G29</f>
        <v>15.499999999999979</v>
      </c>
      <c r="H30" s="4">
        <f t="shared" ref="H30" si="36">+H28-H29</f>
        <v>0</v>
      </c>
      <c r="I30" s="4"/>
      <c r="J30" s="4">
        <f t="shared" ref="J30:N30" si="37">+J28-J29</f>
        <v>19.982999999999954</v>
      </c>
      <c r="K30" s="4">
        <f t="shared" si="37"/>
        <v>12.59200000000005</v>
      </c>
      <c r="L30" s="4">
        <f t="shared" si="37"/>
        <v>25.084000000000096</v>
      </c>
      <c r="M30" s="4">
        <f t="shared" si="37"/>
        <v>28.633999999999958</v>
      </c>
      <c r="N30" s="4">
        <f t="shared" si="37"/>
        <v>24.304000000000059</v>
      </c>
      <c r="O30" s="4">
        <f>+O28-O29</f>
        <v>34.049999999999969</v>
      </c>
      <c r="P30" s="4">
        <f t="shared" ref="P30:U30" si="38">+P28-P29</f>
        <v>33.292643040000002</v>
      </c>
      <c r="Q30" s="4">
        <f t="shared" si="38"/>
        <v>42.28884</v>
      </c>
      <c r="R30" s="4">
        <f t="shared" si="38"/>
        <v>51.255962496000009</v>
      </c>
      <c r="S30" s="4">
        <f t="shared" si="38"/>
        <v>63.348755757551999</v>
      </c>
      <c r="T30" s="4">
        <f t="shared" si="38"/>
        <v>77.334945444408959</v>
      </c>
      <c r="U30" s="4">
        <f t="shared" si="38"/>
        <v>81.300387804978143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2:47" x14ac:dyDescent="0.2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spans="2:47" x14ac:dyDescent="0.2">
      <c r="B32" s="2" t="s">
        <v>137</v>
      </c>
      <c r="C32" s="4"/>
      <c r="D32" s="4"/>
      <c r="E32" s="4"/>
      <c r="F32" s="4"/>
      <c r="G32" s="4"/>
      <c r="H32" s="4"/>
      <c r="I32" s="4"/>
      <c r="J32" s="4">
        <f t="shared" ref="J32:N32" si="39">+J30/J33</f>
        <v>2.9330691325407243</v>
      </c>
      <c r="K32" s="4">
        <f t="shared" si="39"/>
        <v>1.8482313224717526</v>
      </c>
      <c r="L32" s="4">
        <f t="shared" si="39"/>
        <v>3.6817848231322614</v>
      </c>
      <c r="M32" s="4">
        <f t="shared" si="39"/>
        <v>4.2028474974313754</v>
      </c>
      <c r="N32" s="4">
        <f t="shared" si="39"/>
        <v>3.5672978130045587</v>
      </c>
      <c r="O32" s="4">
        <f>+O30/O33</f>
        <v>4.9977983267283088</v>
      </c>
      <c r="P32" s="4">
        <f t="shared" ref="P32:U32" si="40">+P30/P33</f>
        <v>4.8866348216644653</v>
      </c>
      <c r="Q32" s="4">
        <f t="shared" si="40"/>
        <v>6.207080581241744</v>
      </c>
      <c r="R32" s="4">
        <f t="shared" si="40"/>
        <v>7.52325884280053</v>
      </c>
      <c r="S32" s="4">
        <f t="shared" si="40"/>
        <v>9.2982174897331582</v>
      </c>
      <c r="T32" s="4">
        <f t="shared" si="40"/>
        <v>11.351085490152498</v>
      </c>
      <c r="U32" s="4">
        <f t="shared" si="40"/>
        <v>11.933126053864399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1:47" x14ac:dyDescent="0.2">
      <c r="B33" s="2" t="s">
        <v>3</v>
      </c>
      <c r="C33" s="4"/>
      <c r="D33" s="4"/>
      <c r="E33" s="4"/>
      <c r="F33" s="4"/>
      <c r="G33" s="4"/>
      <c r="H33" s="4"/>
      <c r="I33" s="4"/>
      <c r="J33" s="4">
        <v>6.8129999999999997</v>
      </c>
      <c r="K33" s="4">
        <v>6.8129999999999997</v>
      </c>
      <c r="L33" s="4">
        <v>6.8129999999999997</v>
      </c>
      <c r="M33" s="4">
        <v>6.8129999999999997</v>
      </c>
      <c r="N33" s="4">
        <v>6.8129999999999997</v>
      </c>
      <c r="O33" s="4">
        <v>6.8129999999999997</v>
      </c>
      <c r="P33" s="4">
        <v>6.8129999999999997</v>
      </c>
      <c r="Q33" s="4">
        <v>6.8129999999999997</v>
      </c>
      <c r="R33" s="4">
        <v>6.8129999999999997</v>
      </c>
      <c r="S33" s="4">
        <v>6.8129999999999997</v>
      </c>
      <c r="T33" s="4">
        <v>6.8129999999999997</v>
      </c>
      <c r="U33" s="4">
        <v>6.8129999999999997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spans="1:47" x14ac:dyDescent="0.2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pans="1:47" x14ac:dyDescent="0.2">
      <c r="B35" s="2" t="s">
        <v>77</v>
      </c>
      <c r="C35" s="4"/>
      <c r="D35" s="4"/>
      <c r="E35" s="4"/>
      <c r="F35" s="4"/>
      <c r="G35" s="4"/>
      <c r="H35" s="4"/>
      <c r="I35" s="4"/>
      <c r="J35" s="30" t="s">
        <v>139</v>
      </c>
      <c r="K35" s="23">
        <f t="shared" ref="K35:U40" si="41">+K11/J11-1</f>
        <v>5.1192145862552607E-2</v>
      </c>
      <c r="L35" s="23">
        <f t="shared" si="41"/>
        <v>6.5400266844563015E-2</v>
      </c>
      <c r="M35" s="23">
        <f t="shared" si="41"/>
        <v>-2.7610540783389093E-2</v>
      </c>
      <c r="N35" s="23">
        <f t="shared" si="41"/>
        <v>0.12386827565778447</v>
      </c>
      <c r="O35" s="23">
        <f t="shared" si="41"/>
        <v>0.15123474474302423</v>
      </c>
      <c r="P35" s="23">
        <f t="shared" si="41"/>
        <v>-5.0000000000000044E-3</v>
      </c>
      <c r="Q35" s="23">
        <f t="shared" si="41"/>
        <v>5.4019631565817017E-2</v>
      </c>
      <c r="R35" s="23">
        <f t="shared" si="41"/>
        <v>8.5416666666666696E-2</v>
      </c>
      <c r="S35" s="23">
        <f t="shared" si="41"/>
        <v>0.14619999999999989</v>
      </c>
      <c r="T35" s="23">
        <f t="shared" si="41"/>
        <v>0.13672727272727259</v>
      </c>
      <c r="U35" s="23">
        <f t="shared" si="41"/>
        <v>4.2000000000000259E-2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1:47" x14ac:dyDescent="0.2">
      <c r="B36" s="2" t="s">
        <v>78</v>
      </c>
      <c r="C36" s="4"/>
      <c r="D36" s="4"/>
      <c r="E36" s="4"/>
      <c r="F36" s="4"/>
      <c r="G36" s="4"/>
      <c r="H36" s="4"/>
      <c r="I36" s="4"/>
      <c r="J36" s="30" t="s">
        <v>139</v>
      </c>
      <c r="K36" s="23">
        <f t="shared" si="41"/>
        <v>-4.4622936189201434E-3</v>
      </c>
      <c r="L36" s="23">
        <f t="shared" si="41"/>
        <v>4.1425369789332311E-2</v>
      </c>
      <c r="M36" s="23">
        <f t="shared" si="41"/>
        <v>-6.7697618166323803E-2</v>
      </c>
      <c r="N36" s="23">
        <f t="shared" si="41"/>
        <v>6.1879942570390423E-2</v>
      </c>
      <c r="O36" s="23">
        <f t="shared" si="41"/>
        <v>3.3097553659077406E-2</v>
      </c>
      <c r="P36" s="23">
        <f t="shared" si="41"/>
        <v>-5.0000000000000044E-3</v>
      </c>
      <c r="Q36" s="23">
        <f t="shared" si="41"/>
        <v>0.41692344227555322</v>
      </c>
      <c r="R36" s="23">
        <f t="shared" si="41"/>
        <v>0.21331550355202689</v>
      </c>
      <c r="S36" s="23">
        <f t="shared" si="41"/>
        <v>0.19432306759886009</v>
      </c>
      <c r="T36" s="23">
        <f t="shared" si="41"/>
        <v>0.17954506102852408</v>
      </c>
      <c r="U36" s="23">
        <f t="shared" si="41"/>
        <v>6.1561202880771271E-2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spans="1:47" x14ac:dyDescent="0.2">
      <c r="B37" s="2" t="s">
        <v>79</v>
      </c>
      <c r="C37" s="4"/>
      <c r="D37" s="4"/>
      <c r="E37" s="4"/>
      <c r="F37" s="4"/>
      <c r="G37" s="4"/>
      <c r="H37" s="4"/>
      <c r="I37" s="4"/>
      <c r="J37" s="30" t="s">
        <v>139</v>
      </c>
      <c r="K37" s="27" t="s">
        <v>139</v>
      </c>
      <c r="L37" s="27" t="s">
        <v>139</v>
      </c>
      <c r="M37" s="23">
        <f t="shared" si="41"/>
        <v>-3.8985194847160565E-2</v>
      </c>
      <c r="N37" s="23">
        <f t="shared" si="41"/>
        <v>0.11740271456103657</v>
      </c>
      <c r="O37" s="23">
        <f t="shared" si="41"/>
        <v>7.7808888774720142E-2</v>
      </c>
      <c r="P37" s="23">
        <f t="shared" si="41"/>
        <v>-3.452469152616211E-3</v>
      </c>
      <c r="Q37" s="23">
        <f t="shared" si="41"/>
        <v>0.18887425178686335</v>
      </c>
      <c r="R37" s="23">
        <f t="shared" si="41"/>
        <v>0.14206033365941373</v>
      </c>
      <c r="S37" s="23">
        <f t="shared" si="41"/>
        <v>0.1688424161802573</v>
      </c>
      <c r="T37" s="23">
        <f t="shared" si="41"/>
        <v>0.15731268422546218</v>
      </c>
      <c r="U37" s="23">
        <f t="shared" si="41"/>
        <v>5.1585057071997786E-2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spans="1:47" x14ac:dyDescent="0.2">
      <c r="B38" s="2" t="s">
        <v>80</v>
      </c>
      <c r="C38" s="4"/>
      <c r="D38" s="4"/>
      <c r="E38" s="4"/>
      <c r="F38" s="4"/>
      <c r="G38" s="4"/>
      <c r="H38" s="4"/>
      <c r="I38" s="4"/>
      <c r="J38" s="30" t="s">
        <v>139</v>
      </c>
      <c r="K38" s="27" t="s">
        <v>139</v>
      </c>
      <c r="L38" s="27" t="s">
        <v>139</v>
      </c>
      <c r="M38" s="23">
        <f t="shared" si="41"/>
        <v>-9.0683749892011556E-2</v>
      </c>
      <c r="N38" s="23">
        <f t="shared" si="41"/>
        <v>-2.2772284463543069E-2</v>
      </c>
      <c r="O38" s="23">
        <f t="shared" si="41"/>
        <v>5.4899526612173233E-2</v>
      </c>
      <c r="P38" s="23">
        <f t="shared" si="41"/>
        <v>-7.6268485303917499E-3</v>
      </c>
      <c r="Q38" s="23">
        <f t="shared" si="41"/>
        <v>0.18887425178686335</v>
      </c>
      <c r="R38" s="23">
        <f t="shared" si="41"/>
        <v>0.14206033365941373</v>
      </c>
      <c r="S38" s="23">
        <f t="shared" si="41"/>
        <v>0.16884241618025753</v>
      </c>
      <c r="T38" s="23">
        <f t="shared" si="41"/>
        <v>0.15731268422546196</v>
      </c>
      <c r="U38" s="23">
        <f t="shared" si="41"/>
        <v>5.1585057071997786E-2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</row>
    <row r="39" spans="1:47" x14ac:dyDescent="0.2">
      <c r="B39" s="2" t="s">
        <v>81</v>
      </c>
      <c r="C39" s="4"/>
      <c r="D39" s="4"/>
      <c r="E39" s="4"/>
      <c r="F39" s="4"/>
      <c r="G39" s="4"/>
      <c r="H39" s="4"/>
      <c r="I39" s="4"/>
      <c r="J39" s="30" t="s">
        <v>139</v>
      </c>
      <c r="K39" s="27" t="s">
        <v>139</v>
      </c>
      <c r="L39" s="27" t="s">
        <v>139</v>
      </c>
      <c r="M39" s="23">
        <f t="shared" si="41"/>
        <v>-6.8403533391636628E-3</v>
      </c>
      <c r="N39" s="23">
        <f t="shared" si="41"/>
        <v>0.17994102308563953</v>
      </c>
      <c r="O39" s="23">
        <f t="shared" si="41"/>
        <v>0.18430628431264773</v>
      </c>
      <c r="P39" s="23">
        <f t="shared" si="41"/>
        <v>-5.4102130735939058E-3</v>
      </c>
      <c r="Q39" s="23">
        <f t="shared" si="41"/>
        <v>0.18887425178686335</v>
      </c>
      <c r="R39" s="23">
        <f t="shared" si="41"/>
        <v>0.14206033365941373</v>
      </c>
      <c r="S39" s="23">
        <f t="shared" si="41"/>
        <v>0.1688424161802573</v>
      </c>
      <c r="T39" s="23">
        <f t="shared" si="41"/>
        <v>0.15731268422546218</v>
      </c>
      <c r="U39" s="23">
        <f t="shared" si="41"/>
        <v>5.1585057071997786E-2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</row>
    <row r="40" spans="1:47" x14ac:dyDescent="0.2">
      <c r="B40" s="2" t="s">
        <v>54</v>
      </c>
      <c r="C40" s="4"/>
      <c r="D40" s="4"/>
      <c r="E40" s="4"/>
      <c r="F40" s="4"/>
      <c r="G40" s="23">
        <f>+G16/E16-1</f>
        <v>-2.7240817666444039E-3</v>
      </c>
      <c r="H40" s="4"/>
      <c r="I40" s="4"/>
      <c r="J40" s="30" t="s">
        <v>139</v>
      </c>
      <c r="K40" s="23">
        <f t="shared" ref="K40:N40" si="42">+K16/J16-1</f>
        <v>2.680822488042045E-2</v>
      </c>
      <c r="L40" s="23">
        <f t="shared" si="42"/>
        <v>5.5096503020440446E-2</v>
      </c>
      <c r="M40" s="23">
        <f t="shared" si="42"/>
        <v>-4.4491245113267075E-2</v>
      </c>
      <c r="N40" s="23">
        <f t="shared" si="42"/>
        <v>9.8398902885237227E-2</v>
      </c>
      <c r="O40" s="23">
        <f t="shared" si="41"/>
        <v>0.10430909878997108</v>
      </c>
      <c r="P40" s="23">
        <f t="shared" si="41"/>
        <v>-5.0000000000000044E-3</v>
      </c>
      <c r="Q40" s="23">
        <f t="shared" si="41"/>
        <v>0.18887425178686335</v>
      </c>
      <c r="R40" s="23">
        <f t="shared" si="41"/>
        <v>0.14206033365941373</v>
      </c>
      <c r="S40" s="23">
        <f t="shared" si="41"/>
        <v>0.1688424161802573</v>
      </c>
      <c r="T40" s="23">
        <f t="shared" si="41"/>
        <v>0.15731268422546218</v>
      </c>
      <c r="U40" s="23">
        <f t="shared" si="41"/>
        <v>5.1585057071997564E-2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</row>
    <row r="41" spans="1:47" x14ac:dyDescent="0.2">
      <c r="B41" s="2" t="s">
        <v>43</v>
      </c>
      <c r="C41" s="23" t="e">
        <f t="shared" ref="C41:H41" si="43">+C20/C18</f>
        <v>#DIV/0!</v>
      </c>
      <c r="D41" s="23" t="e">
        <f t="shared" si="43"/>
        <v>#DIV/0!</v>
      </c>
      <c r="E41" s="23">
        <f t="shared" si="43"/>
        <v>0.42187014015212204</v>
      </c>
      <c r="F41" s="23" t="e">
        <f t="shared" si="43"/>
        <v>#DIV/0!</v>
      </c>
      <c r="G41" s="23">
        <f t="shared" si="43"/>
        <v>0.47224636820151711</v>
      </c>
      <c r="H41" s="23" t="e">
        <f t="shared" si="43"/>
        <v>#DIV/0!</v>
      </c>
      <c r="I41" s="4"/>
      <c r="J41" s="23">
        <f t="shared" ref="J41:O41" si="44">+J20/J18</f>
        <v>0.414656540334434</v>
      </c>
      <c r="K41" s="23">
        <f t="shared" si="44"/>
        <v>0.38506753212077</v>
      </c>
      <c r="L41" s="23">
        <f t="shared" si="44"/>
        <v>0.41281224362782548</v>
      </c>
      <c r="M41" s="23">
        <f t="shared" si="44"/>
        <v>0.43440673356175252</v>
      </c>
      <c r="N41" s="23">
        <f t="shared" si="44"/>
        <v>0.41424724859065903</v>
      </c>
      <c r="O41" s="23">
        <f t="shared" si="44"/>
        <v>0.43779803269625045</v>
      </c>
      <c r="P41" s="23">
        <v>0.47</v>
      </c>
      <c r="Q41" s="23">
        <v>0.47</v>
      </c>
      <c r="R41" s="23">
        <v>0.47</v>
      </c>
      <c r="S41" s="23">
        <v>0.47</v>
      </c>
      <c r="T41" s="23">
        <v>0.47</v>
      </c>
      <c r="U41" s="23">
        <v>0.47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spans="1:47" x14ac:dyDescent="0.2">
      <c r="B42" s="2" t="s">
        <v>55</v>
      </c>
      <c r="C42" s="23" t="e">
        <f t="shared" ref="C42:H42" si="45">+C24/C18</f>
        <v>#DIV/0!</v>
      </c>
      <c r="D42" s="23" t="e">
        <f t="shared" si="45"/>
        <v>#DIV/0!</v>
      </c>
      <c r="E42" s="23">
        <f t="shared" si="45"/>
        <v>7.0522185254652023E-2</v>
      </c>
      <c r="F42" s="23" t="e">
        <f t="shared" si="45"/>
        <v>#DIV/0!</v>
      </c>
      <c r="G42" s="23">
        <f t="shared" si="45"/>
        <v>6.8608628765469873E-2</v>
      </c>
      <c r="H42" s="23" t="e">
        <f t="shared" si="45"/>
        <v>#DIV/0!</v>
      </c>
      <c r="I42" s="4"/>
      <c r="J42" s="23">
        <f t="shared" ref="J42:O42" si="46">+J24/J18</f>
        <v>5.855715360653109E-2</v>
      </c>
      <c r="K42" s="23">
        <f t="shared" si="46"/>
        <v>3.0429411399700367E-2</v>
      </c>
      <c r="L42" s="23">
        <f t="shared" si="46"/>
        <v>6.5569393759371E-2</v>
      </c>
      <c r="M42" s="23">
        <f t="shared" si="46"/>
        <v>7.041325391595453E-2</v>
      </c>
      <c r="N42" s="23">
        <f t="shared" si="46"/>
        <v>5.8428206113265248E-2</v>
      </c>
      <c r="O42" s="23">
        <f t="shared" si="46"/>
        <v>7.3833017223506228E-2</v>
      </c>
      <c r="P42" s="23">
        <v>7.0000000000000007E-2</v>
      </c>
      <c r="Q42" s="23">
        <v>7.4999999999999997E-2</v>
      </c>
      <c r="R42" s="23">
        <v>0.08</v>
      </c>
      <c r="S42" s="23">
        <v>8.5000000000000006E-2</v>
      </c>
      <c r="T42" s="23">
        <v>0.09</v>
      </c>
      <c r="U42" s="23">
        <v>0.09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spans="1:47" x14ac:dyDescent="0.2">
      <c r="B43" s="2" t="s">
        <v>56</v>
      </c>
      <c r="C43" s="23" t="e">
        <f t="shared" ref="C43:F43" si="47">+C29/C28</f>
        <v>#DIV/0!</v>
      </c>
      <c r="D43" s="23" t="e">
        <f t="shared" si="47"/>
        <v>#DIV/0!</v>
      </c>
      <c r="E43" s="23">
        <f t="shared" si="47"/>
        <v>0.28993676106681365</v>
      </c>
      <c r="F43" s="23" t="e">
        <f t="shared" si="47"/>
        <v>#DIV/0!</v>
      </c>
      <c r="G43" s="23">
        <f>+G29/G28</f>
        <v>0.31037551165687877</v>
      </c>
      <c r="H43" s="23" t="e">
        <f>+H29/H28</f>
        <v>#DIV/0!</v>
      </c>
      <c r="I43" s="4"/>
      <c r="J43" s="23">
        <f t="shared" ref="J43:O43" si="48">+J29/J28</f>
        <v>0.31917140812919542</v>
      </c>
      <c r="K43" s="23">
        <f t="shared" si="48"/>
        <v>0.22720019639130898</v>
      </c>
      <c r="L43" s="23">
        <f t="shared" si="48"/>
        <v>0.31628870475359705</v>
      </c>
      <c r="M43" s="23">
        <f t="shared" si="48"/>
        <v>0.2496134594722087</v>
      </c>
      <c r="N43" s="23">
        <f t="shared" si="48"/>
        <v>0.28332153809860766</v>
      </c>
      <c r="O43" s="23">
        <f t="shared" si="48"/>
        <v>0.28386648999936925</v>
      </c>
      <c r="P43" s="23">
        <v>0.28000000000000003</v>
      </c>
      <c r="Q43" s="23">
        <v>0.28000000000000003</v>
      </c>
      <c r="R43" s="23">
        <v>0.28000000000000003</v>
      </c>
      <c r="S43" s="23">
        <v>0.28000000000000003</v>
      </c>
      <c r="T43" s="23">
        <v>0.28000000000000003</v>
      </c>
      <c r="U43" s="23">
        <v>0.28000000000000003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x14ac:dyDescent="0.2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x14ac:dyDescent="0.2">
      <c r="A45" s="26" t="s">
        <v>103</v>
      </c>
      <c r="B45" s="3" t="s">
        <v>102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x14ac:dyDescent="0.2">
      <c r="B46" s="2" t="s">
        <v>101</v>
      </c>
      <c r="C46" s="4"/>
      <c r="D46" s="4"/>
      <c r="E46" s="4"/>
      <c r="F46" s="4"/>
      <c r="G46" s="4"/>
      <c r="H46" s="4"/>
      <c r="I46" s="4"/>
      <c r="J46" s="4">
        <v>9.9350000000000005</v>
      </c>
      <c r="K46" s="4">
        <v>12.234</v>
      </c>
      <c r="L46" s="4">
        <v>11.334</v>
      </c>
      <c r="M46" s="4">
        <v>11.496</v>
      </c>
      <c r="N46" s="4">
        <v>9.6319999999999997</v>
      </c>
      <c r="O46" s="4">
        <v>9.8610000000000007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x14ac:dyDescent="0.2">
      <c r="B47" s="2" t="s">
        <v>82</v>
      </c>
      <c r="C47" s="4"/>
      <c r="D47" s="4"/>
      <c r="E47" s="4"/>
      <c r="F47" s="4"/>
      <c r="G47" s="4"/>
      <c r="H47" s="4"/>
      <c r="I47" s="4"/>
      <c r="J47" s="4">
        <v>122.96299999999999</v>
      </c>
      <c r="K47" s="4">
        <v>126.42100000000001</v>
      </c>
      <c r="L47" s="4">
        <v>113.938</v>
      </c>
      <c r="M47" s="4">
        <v>109.946</v>
      </c>
      <c r="N47" s="4">
        <v>112.10299999999999</v>
      </c>
      <c r="O47" s="4">
        <v>112.738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x14ac:dyDescent="0.2">
      <c r="B48" s="2" t="s">
        <v>83</v>
      </c>
      <c r="C48" s="4"/>
      <c r="D48" s="4"/>
      <c r="E48" s="4"/>
      <c r="F48" s="4"/>
      <c r="G48" s="4"/>
      <c r="H48" s="4"/>
      <c r="I48" s="4"/>
      <c r="J48" s="4">
        <v>0.125</v>
      </c>
      <c r="K48" s="4">
        <v>0.16500000000000001</v>
      </c>
      <c r="L48" s="4">
        <v>0.17599999999999999</v>
      </c>
      <c r="M48" s="4">
        <v>0.186</v>
      </c>
      <c r="N48" s="4">
        <v>0.186</v>
      </c>
      <c r="O48" s="4">
        <v>3.5999999999999997E-2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spans="2:47" x14ac:dyDescent="0.2">
      <c r="B49" s="2" t="s">
        <v>138</v>
      </c>
      <c r="C49" s="4"/>
      <c r="D49" s="4"/>
      <c r="E49" s="4"/>
      <c r="F49" s="4"/>
      <c r="G49" s="4"/>
      <c r="H49" s="4"/>
      <c r="I49" s="4"/>
      <c r="J49" s="4">
        <v>2.0630000000000002</v>
      </c>
      <c r="K49" s="4">
        <v>2.7890000000000001</v>
      </c>
      <c r="L49" s="4">
        <v>0</v>
      </c>
      <c r="M49" s="4">
        <v>0</v>
      </c>
      <c r="N49" s="4">
        <v>0</v>
      </c>
      <c r="O49" s="4">
        <v>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spans="2:47" x14ac:dyDescent="0.2">
      <c r="B50" s="2" t="s">
        <v>84</v>
      </c>
      <c r="C50" s="4"/>
      <c r="D50" s="4"/>
      <c r="E50" s="4"/>
      <c r="F50" s="4"/>
      <c r="G50" s="4"/>
      <c r="H50" s="4"/>
      <c r="I50" s="4"/>
      <c r="J50" s="4">
        <f t="shared" ref="J50:N50" si="49">+SUM(J46:J49)</f>
        <v>135.08599999999998</v>
      </c>
      <c r="K50" s="4">
        <f t="shared" si="49"/>
        <v>141.60899999999998</v>
      </c>
      <c r="L50" s="4">
        <f>+SUM(L46:L49)</f>
        <v>125.44800000000001</v>
      </c>
      <c r="M50" s="4">
        <f t="shared" si="49"/>
        <v>121.628</v>
      </c>
      <c r="N50" s="4">
        <f t="shared" si="49"/>
        <v>121.92100000000001</v>
      </c>
      <c r="O50" s="4">
        <f>+SUM(O46:O49)</f>
        <v>122.63500000000001</v>
      </c>
      <c r="P50" s="4">
        <f t="shared" ref="P50" si="50">+SUM(P46:P48)</f>
        <v>0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spans="2:47" x14ac:dyDescent="0.2">
      <c r="B51" s="2" t="s">
        <v>85</v>
      </c>
      <c r="C51" s="4"/>
      <c r="D51" s="4"/>
      <c r="E51" s="4"/>
      <c r="F51" s="4"/>
      <c r="G51" s="4"/>
      <c r="H51" s="4"/>
      <c r="I51" s="4"/>
      <c r="J51" s="4">
        <v>89.064999999999998</v>
      </c>
      <c r="K51" s="4">
        <v>88.728999999999999</v>
      </c>
      <c r="L51" s="4">
        <v>89.108000000000004</v>
      </c>
      <c r="M51" s="4">
        <v>120.026</v>
      </c>
      <c r="N51" s="4">
        <v>167.733</v>
      </c>
      <c r="O51" s="4">
        <v>147.75399999999999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 spans="2:47" x14ac:dyDescent="0.2">
      <c r="B52" s="2" t="s">
        <v>86</v>
      </c>
      <c r="C52" s="4"/>
      <c r="D52" s="4"/>
      <c r="E52" s="4"/>
      <c r="F52" s="4"/>
      <c r="G52" s="4"/>
      <c r="H52" s="4"/>
      <c r="I52" s="4"/>
      <c r="J52" s="4">
        <v>82.2</v>
      </c>
      <c r="K52" s="4">
        <v>75.039000000000001</v>
      </c>
      <c r="L52" s="4">
        <f>69.349+0.001</f>
        <v>69.350000000000009</v>
      </c>
      <c r="M52" s="4">
        <v>66.677000000000007</v>
      </c>
      <c r="N52" s="4">
        <v>80.674999999999997</v>
      </c>
      <c r="O52" s="4">
        <v>81.716999999999999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 spans="2:47" x14ac:dyDescent="0.2">
      <c r="B53" s="2" t="s">
        <v>87</v>
      </c>
      <c r="C53" s="4"/>
      <c r="D53" s="4"/>
      <c r="E53" s="4"/>
      <c r="F53" s="4"/>
      <c r="G53" s="4"/>
      <c r="H53" s="4"/>
      <c r="I53" s="4"/>
      <c r="J53" s="4">
        <f>9.297+0.659+1.275</f>
        <v>11.231000000000002</v>
      </c>
      <c r="K53" s="4">
        <f>5.878+0.719+5.319</f>
        <v>11.916</v>
      </c>
      <c r="L53" s="4">
        <v>6.1109999999999998</v>
      </c>
      <c r="M53" s="4">
        <v>8.6430000000000007</v>
      </c>
      <c r="N53" s="4">
        <v>9.3089999999999993</v>
      </c>
      <c r="O53" s="4">
        <v>13.132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</row>
    <row r="54" spans="2:47" x14ac:dyDescent="0.2">
      <c r="B54" s="2" t="s">
        <v>88</v>
      </c>
      <c r="C54" s="4"/>
      <c r="D54" s="4"/>
      <c r="E54" s="4"/>
      <c r="F54" s="4"/>
      <c r="G54" s="4"/>
      <c r="H54" s="4"/>
      <c r="I54" s="4"/>
      <c r="J54" s="4">
        <v>11.045</v>
      </c>
      <c r="K54" s="4">
        <v>14.666</v>
      </c>
      <c r="L54" s="4">
        <v>17.018000000000001</v>
      </c>
      <c r="M54" s="4">
        <v>7.2080000000000002</v>
      </c>
      <c r="N54" s="4">
        <v>1.103</v>
      </c>
      <c r="O54" s="4">
        <v>67.082999999999998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2:47" x14ac:dyDescent="0.2">
      <c r="B55" s="2" t="s">
        <v>89</v>
      </c>
      <c r="C55" s="4"/>
      <c r="D55" s="4"/>
      <c r="E55" s="4"/>
      <c r="F55" s="4"/>
      <c r="G55" s="4"/>
      <c r="H55" s="4"/>
      <c r="I55" s="4"/>
      <c r="J55" s="4">
        <f t="shared" ref="J55:N55" si="51">+SUM(J51:J54)</f>
        <v>193.54099999999997</v>
      </c>
      <c r="K55" s="4">
        <f t="shared" si="51"/>
        <v>190.35</v>
      </c>
      <c r="L55" s="4">
        <f t="shared" si="51"/>
        <v>181.58700000000002</v>
      </c>
      <c r="M55" s="4">
        <f t="shared" si="51"/>
        <v>202.554</v>
      </c>
      <c r="N55" s="4">
        <f t="shared" si="51"/>
        <v>258.82000000000005</v>
      </c>
      <c r="O55" s="4">
        <f>+SUM(O51:O54)</f>
        <v>309.68600000000004</v>
      </c>
      <c r="P55" s="4">
        <f t="shared" ref="P55" si="52">+SUM(P51:P54)</f>
        <v>0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 spans="2:47" x14ac:dyDescent="0.2">
      <c r="B56" s="2" t="s">
        <v>90</v>
      </c>
      <c r="C56" s="4"/>
      <c r="D56" s="4"/>
      <c r="E56" s="4"/>
      <c r="F56" s="4"/>
      <c r="G56" s="4"/>
      <c r="H56" s="4"/>
      <c r="I56" s="4"/>
      <c r="J56" s="4">
        <v>0</v>
      </c>
      <c r="K56" s="4">
        <v>0</v>
      </c>
      <c r="L56" s="4">
        <f>0.755+0.088</f>
        <v>0.84299999999999997</v>
      </c>
      <c r="M56" s="4">
        <f>1.327+0.124</f>
        <v>1.4510000000000001</v>
      </c>
      <c r="N56" s="4">
        <v>2.032</v>
      </c>
      <c r="O56" s="4">
        <v>1.0209999999999999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spans="2:47" x14ac:dyDescent="0.2">
      <c r="B57" s="2" t="s">
        <v>91</v>
      </c>
      <c r="C57" s="4"/>
      <c r="D57" s="4"/>
      <c r="E57" s="4"/>
      <c r="F57" s="4"/>
      <c r="G57" s="4"/>
      <c r="H57" s="4"/>
      <c r="I57" s="4"/>
      <c r="J57" s="4">
        <f t="shared" ref="J57:L57" si="53">+J50+J55+J56</f>
        <v>328.62699999999995</v>
      </c>
      <c r="K57" s="4">
        <f t="shared" si="53"/>
        <v>331.95899999999995</v>
      </c>
      <c r="L57" s="4">
        <f t="shared" si="53"/>
        <v>307.87800000000004</v>
      </c>
      <c r="M57" s="4">
        <f>+M50+M55+M56</f>
        <v>325.63300000000004</v>
      </c>
      <c r="N57" s="4">
        <f>+N50+N55+N56</f>
        <v>382.77300000000002</v>
      </c>
      <c r="O57" s="4">
        <f>+O50+O55+O56</f>
        <v>433.34200000000004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</row>
    <row r="58" spans="2:47" x14ac:dyDescent="0.2">
      <c r="B58" s="2" t="s">
        <v>92</v>
      </c>
      <c r="C58" s="4"/>
      <c r="D58" s="4"/>
      <c r="E58" s="4"/>
      <c r="F58" s="4"/>
      <c r="G58" s="4"/>
      <c r="H58" s="4"/>
      <c r="I58" s="4"/>
      <c r="J58" s="4">
        <v>169.45599999999999</v>
      </c>
      <c r="K58" s="4">
        <v>171.197</v>
      </c>
      <c r="L58" s="4">
        <v>175.86099999999999</v>
      </c>
      <c r="M58" s="4">
        <v>193.04900000000001</v>
      </c>
      <c r="N58" s="4">
        <v>205.255</v>
      </c>
      <c r="O58" s="4">
        <v>232.178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 spans="2:47" x14ac:dyDescent="0.2">
      <c r="B59" s="2" t="s">
        <v>93</v>
      </c>
      <c r="C59" s="4"/>
      <c r="D59" s="4"/>
      <c r="E59" s="4"/>
      <c r="F59" s="4"/>
      <c r="G59" s="4"/>
      <c r="H59" s="4"/>
      <c r="I59" s="4"/>
      <c r="J59" s="4">
        <v>1.069</v>
      </c>
      <c r="K59" s="4">
        <v>0.75800000000000001</v>
      </c>
      <c r="L59" s="4">
        <v>0.86799999999999999</v>
      </c>
      <c r="M59" s="4">
        <v>0.97499999999999998</v>
      </c>
      <c r="N59" s="4">
        <v>1.105</v>
      </c>
      <c r="O59" s="4">
        <v>1.28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</row>
    <row r="60" spans="2:47" x14ac:dyDescent="0.2">
      <c r="B60" s="2" t="s">
        <v>94</v>
      </c>
      <c r="C60" s="4"/>
      <c r="D60" s="4"/>
      <c r="E60" s="4"/>
      <c r="F60" s="4"/>
      <c r="G60" s="4"/>
      <c r="H60" s="4"/>
      <c r="I60" s="4"/>
      <c r="J60" s="4">
        <v>1.9830000000000001</v>
      </c>
      <c r="K60" s="4">
        <v>2.6549999999999998</v>
      </c>
      <c r="L60" s="4">
        <v>4.3769999999999998</v>
      </c>
      <c r="M60" s="4">
        <v>4.0650000000000004</v>
      </c>
      <c r="N60" s="4">
        <v>4.0170000000000003</v>
      </c>
      <c r="O60" s="4">
        <v>9.1069999999999993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 spans="2:47" x14ac:dyDescent="0.2">
      <c r="B61" s="2" t="s">
        <v>95</v>
      </c>
      <c r="C61" s="4"/>
      <c r="D61" s="4"/>
      <c r="E61" s="4"/>
      <c r="F61" s="4"/>
      <c r="G61" s="4"/>
      <c r="H61" s="4"/>
      <c r="I61" s="4"/>
      <c r="J61" s="4">
        <v>2.6280000000000001</v>
      </c>
      <c r="K61" s="4">
        <v>2.9169999999999998</v>
      </c>
      <c r="L61" s="4">
        <v>39.374000000000002</v>
      </c>
      <c r="M61" s="4">
        <v>39.802</v>
      </c>
      <c r="N61" s="4">
        <v>43.655999999999999</v>
      </c>
      <c r="O61" s="4">
        <v>52.615000000000002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</row>
    <row r="62" spans="2:47" x14ac:dyDescent="0.2">
      <c r="B62" s="2" t="s">
        <v>6</v>
      </c>
      <c r="C62" s="4"/>
      <c r="D62" s="4"/>
      <c r="E62" s="4"/>
      <c r="F62" s="4"/>
      <c r="G62" s="4"/>
      <c r="H62" s="4"/>
      <c r="I62" s="4"/>
      <c r="J62" s="4">
        <f>23.704+18.509+2.702</f>
        <v>44.914999999999999</v>
      </c>
      <c r="K62" s="4">
        <f>16.83+38.868+2.464</f>
        <v>58.161999999999999</v>
      </c>
      <c r="L62" s="4">
        <v>28.79</v>
      </c>
      <c r="M62" s="4">
        <v>14.048999999999999</v>
      </c>
      <c r="N62" s="4">
        <v>42.52</v>
      </c>
      <c r="O62" s="4">
        <v>20.841999999999999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spans="2:47" x14ac:dyDescent="0.2">
      <c r="B63" s="2" t="s">
        <v>96</v>
      </c>
      <c r="C63" s="4"/>
      <c r="D63" s="4"/>
      <c r="E63" s="4"/>
      <c r="F63" s="4"/>
      <c r="G63" s="4"/>
      <c r="H63" s="4"/>
      <c r="I63" s="4"/>
      <c r="J63" s="4">
        <v>92.646000000000001</v>
      </c>
      <c r="K63" s="4">
        <v>84.103999999999999</v>
      </c>
      <c r="L63" s="4">
        <v>50.866</v>
      </c>
      <c r="M63" s="4">
        <v>64.894000000000005</v>
      </c>
      <c r="N63" s="4">
        <v>78.052000000000007</v>
      </c>
      <c r="O63" s="4">
        <v>106.184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 spans="2:47" x14ac:dyDescent="0.2">
      <c r="B64" s="2" t="s">
        <v>97</v>
      </c>
      <c r="C64" s="4"/>
      <c r="D64" s="4"/>
      <c r="E64" s="4"/>
      <c r="F64" s="4"/>
      <c r="G64" s="4"/>
      <c r="H64" s="4"/>
      <c r="I64" s="4"/>
      <c r="J64" s="4">
        <f>0.312+11.749</f>
        <v>12.061</v>
      </c>
      <c r="K64" s="4">
        <f>9.08+0.767</f>
        <v>9.8469999999999995</v>
      </c>
      <c r="L64" s="4">
        <v>7.742</v>
      </c>
      <c r="M64" s="4">
        <v>8.5690000000000008</v>
      </c>
      <c r="N64" s="4">
        <v>7.694</v>
      </c>
      <c r="O64" s="4">
        <v>10.337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 spans="1:47" x14ac:dyDescent="0.2">
      <c r="B65" s="2" t="s">
        <v>98</v>
      </c>
      <c r="C65" s="4"/>
      <c r="D65" s="4"/>
      <c r="E65" s="4"/>
      <c r="F65" s="4"/>
      <c r="G65" s="4"/>
      <c r="H65" s="4"/>
      <c r="I65" s="4"/>
      <c r="J65" s="4">
        <v>3.8690000000000002</v>
      </c>
      <c r="K65" s="4">
        <v>2.319</v>
      </c>
      <c r="L65" s="4">
        <v>0</v>
      </c>
      <c r="M65" s="4">
        <v>0.23</v>
      </c>
      <c r="N65" s="4">
        <v>0.47399999999999998</v>
      </c>
      <c r="O65" s="4">
        <v>0.79900000000000004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</row>
    <row r="66" spans="1:47" x14ac:dyDescent="0.2">
      <c r="B66" s="2" t="s">
        <v>99</v>
      </c>
      <c r="C66" s="4"/>
      <c r="D66" s="4"/>
      <c r="E66" s="4"/>
      <c r="F66" s="4"/>
      <c r="G66" s="4"/>
      <c r="H66" s="4">
        <f t="shared" ref="H66:M66" si="54">+SUM(H59:H65)</f>
        <v>0</v>
      </c>
      <c r="I66" s="4"/>
      <c r="J66" s="4">
        <f t="shared" si="54"/>
        <v>159.17099999999999</v>
      </c>
      <c r="K66" s="4">
        <f t="shared" si="54"/>
        <v>160.762</v>
      </c>
      <c r="L66" s="4">
        <f t="shared" si="54"/>
        <v>132.017</v>
      </c>
      <c r="M66" s="4">
        <f t="shared" si="54"/>
        <v>132.58399999999997</v>
      </c>
      <c r="N66" s="4">
        <f>+SUM(N59:N65)</f>
        <v>177.518</v>
      </c>
      <c r="O66" s="4">
        <f t="shared" ref="O66" si="55">+SUM(O59:O65)</f>
        <v>201.16399999999999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 spans="1:47" x14ac:dyDescent="0.2">
      <c r="B67" s="2" t="s">
        <v>100</v>
      </c>
      <c r="C67" s="4"/>
      <c r="D67" s="4"/>
      <c r="E67" s="4"/>
      <c r="F67" s="4"/>
      <c r="G67" s="4"/>
      <c r="H67" s="4"/>
      <c r="I67" s="4"/>
      <c r="J67" s="4">
        <f t="shared" ref="J67:N67" si="56">+J66+J58</f>
        <v>328.62699999999995</v>
      </c>
      <c r="K67" s="4">
        <f t="shared" si="56"/>
        <v>331.959</v>
      </c>
      <c r="L67" s="4">
        <f t="shared" si="56"/>
        <v>307.87799999999999</v>
      </c>
      <c r="M67" s="4">
        <f t="shared" si="56"/>
        <v>325.63299999999998</v>
      </c>
      <c r="N67" s="4">
        <f t="shared" si="56"/>
        <v>382.77300000000002</v>
      </c>
      <c r="O67" s="4">
        <f>+O66+O58</f>
        <v>433.34199999999998</v>
      </c>
      <c r="P67" s="4">
        <f t="shared" ref="P67" si="57">+P66+P58</f>
        <v>0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</row>
    <row r="68" spans="1:47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</row>
    <row r="69" spans="1:47" x14ac:dyDescent="0.2">
      <c r="A69" s="26" t="s">
        <v>103</v>
      </c>
      <c r="B69" s="3" t="s">
        <v>105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</row>
    <row r="70" spans="1:47" x14ac:dyDescent="0.2">
      <c r="B70" s="2" t="s">
        <v>51</v>
      </c>
      <c r="C70" s="4"/>
      <c r="D70" s="4"/>
      <c r="E70" s="4"/>
      <c r="F70" s="4"/>
      <c r="G70" s="4"/>
      <c r="H70" s="4"/>
      <c r="I70" s="4"/>
      <c r="J70" s="4">
        <f t="shared" ref="J70:N70" si="58">+J30</f>
        <v>19.982999999999954</v>
      </c>
      <c r="K70" s="4">
        <f t="shared" si="58"/>
        <v>12.59200000000005</v>
      </c>
      <c r="L70" s="4">
        <f t="shared" si="58"/>
        <v>25.084000000000096</v>
      </c>
      <c r="M70" s="4">
        <f t="shared" si="58"/>
        <v>28.633999999999958</v>
      </c>
      <c r="N70" s="4">
        <f t="shared" si="58"/>
        <v>24.304000000000059</v>
      </c>
      <c r="O70" s="4">
        <f>+O30</f>
        <v>34.049999999999969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 spans="1:47" x14ac:dyDescent="0.2">
      <c r="B71" s="2" t="s">
        <v>106</v>
      </c>
      <c r="C71" s="4"/>
      <c r="D71" s="4"/>
      <c r="E71" s="4"/>
      <c r="F71" s="4"/>
      <c r="G71" s="4"/>
      <c r="H71" s="4"/>
      <c r="I71" s="4"/>
      <c r="J71" s="4">
        <f>+J29</f>
        <v>9.3680000000000003</v>
      </c>
      <c r="K71" s="4">
        <f>+K29</f>
        <v>3.702</v>
      </c>
      <c r="L71" s="4">
        <v>11.218999999999999</v>
      </c>
      <c r="M71" s="4">
        <v>9.1219999999999999</v>
      </c>
      <c r="N71" s="4">
        <v>9.19</v>
      </c>
      <c r="O71" s="4">
        <v>13.022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spans="1:47" x14ac:dyDescent="0.2">
      <c r="B72" s="2" t="s">
        <v>44</v>
      </c>
      <c r="C72" s="4"/>
      <c r="D72" s="4"/>
      <c r="E72" s="4"/>
      <c r="F72" s="4"/>
      <c r="G72" s="4"/>
      <c r="H72" s="4"/>
      <c r="I72" s="4"/>
      <c r="J72" s="4">
        <v>16.538</v>
      </c>
      <c r="K72" s="4">
        <v>18.751999999999999</v>
      </c>
      <c r="L72" s="4">
        <v>18.495000000000001</v>
      </c>
      <c r="M72" s="4">
        <v>18.446000000000002</v>
      </c>
      <c r="N72" s="4">
        <v>20.321999999999999</v>
      </c>
      <c r="O72" s="4">
        <v>20.478999999999999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 spans="1:47" x14ac:dyDescent="0.2">
      <c r="B73" s="2" t="s">
        <v>107</v>
      </c>
      <c r="C73" s="4"/>
      <c r="D73" s="4"/>
      <c r="E73" s="4"/>
      <c r="F73" s="4"/>
      <c r="G73" s="4"/>
      <c r="H73" s="4"/>
      <c r="I73" s="4"/>
      <c r="J73" s="4">
        <v>-0.26</v>
      </c>
      <c r="K73" s="4">
        <v>-2.4E-2</v>
      </c>
      <c r="L73" s="4">
        <v>-8.4000000000000005E-2</v>
      </c>
      <c r="M73" s="4">
        <v>-2.1000000000000001E-2</v>
      </c>
      <c r="N73" s="4">
        <v>-0.04</v>
      </c>
      <c r="O73" s="4">
        <v>-4.2000000000000003E-2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</row>
    <row r="74" spans="1:47" x14ac:dyDescent="0.2">
      <c r="B74" s="2" t="s">
        <v>47</v>
      </c>
      <c r="C74" s="4"/>
      <c r="D74" s="4"/>
      <c r="E74" s="4"/>
      <c r="F74" s="4"/>
      <c r="G74" s="4"/>
      <c r="H74" s="4"/>
      <c r="I74" s="4"/>
      <c r="J74" s="4">
        <v>-5.5E-2</v>
      </c>
      <c r="K74" s="4">
        <v>-0.18</v>
      </c>
      <c r="L74" s="4">
        <v>-5.0999999999999997E-2</v>
      </c>
      <c r="M74" s="4">
        <v>-2.3E-2</v>
      </c>
      <c r="N74" s="4">
        <v>-4.3999999999999997E-2</v>
      </c>
      <c r="O74" s="4">
        <v>-0.72899999999999998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 spans="1:47" x14ac:dyDescent="0.2">
      <c r="B75" s="2" t="s">
        <v>108</v>
      </c>
      <c r="C75" s="4"/>
      <c r="D75" s="4"/>
      <c r="E75" s="4"/>
      <c r="F75" s="4"/>
      <c r="G75" s="4"/>
      <c r="H75" s="4"/>
      <c r="I75" s="4"/>
      <c r="J75" s="4">
        <v>0.79200000000000004</v>
      </c>
      <c r="K75" s="4">
        <v>0.63500000000000001</v>
      </c>
      <c r="L75" s="4">
        <v>0.56299999999999994</v>
      </c>
      <c r="M75" s="4">
        <v>0.438</v>
      </c>
      <c r="N75" s="4">
        <v>0.65600000000000003</v>
      </c>
      <c r="O75" s="4">
        <v>1.1259999999999999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</row>
    <row r="76" spans="1:47" x14ac:dyDescent="0.2">
      <c r="B76" s="2" t="s">
        <v>109</v>
      </c>
      <c r="C76" s="4"/>
      <c r="D76" s="4"/>
      <c r="E76" s="4"/>
      <c r="F76" s="4"/>
      <c r="G76" s="4"/>
      <c r="H76" s="4"/>
      <c r="I76" s="4"/>
      <c r="J76" s="4">
        <v>-0.50600000000000001</v>
      </c>
      <c r="K76" s="4">
        <v>0.11899999999999999</v>
      </c>
      <c r="L76" s="4">
        <v>0</v>
      </c>
      <c r="M76" s="4">
        <v>0</v>
      </c>
      <c r="N76" s="4">
        <v>-0.58599999999999997</v>
      </c>
      <c r="O76" s="4">
        <v>-1.115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 spans="1:47" x14ac:dyDescent="0.2">
      <c r="B77" s="2" t="s">
        <v>110</v>
      </c>
      <c r="C77" s="4"/>
      <c r="D77" s="4"/>
      <c r="E77" s="4"/>
      <c r="F77" s="4"/>
      <c r="G77" s="4"/>
      <c r="H77" s="4"/>
      <c r="I77" s="4"/>
      <c r="J77" s="4">
        <v>4.0000000000000001E-3</v>
      </c>
      <c r="K77" s="4">
        <v>-0.52400000000000002</v>
      </c>
      <c r="L77" s="4">
        <v>-0.52</v>
      </c>
      <c r="M77" s="4">
        <v>-0.29099999999999998</v>
      </c>
      <c r="N77" s="4">
        <v>0</v>
      </c>
      <c r="O77" s="4">
        <v>0.624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 spans="1:47" x14ac:dyDescent="0.2">
      <c r="B78" s="2" t="s">
        <v>111</v>
      </c>
      <c r="C78" s="4"/>
      <c r="D78" s="4"/>
      <c r="E78" s="4"/>
      <c r="F78" s="4"/>
      <c r="G78" s="4"/>
      <c r="H78" s="4"/>
      <c r="I78" s="4"/>
      <c r="J78" s="4">
        <v>-11.308</v>
      </c>
      <c r="K78" s="4">
        <v>-11.878</v>
      </c>
      <c r="L78" s="4">
        <v>-10.15</v>
      </c>
      <c r="M78" s="4">
        <v>-11.417</v>
      </c>
      <c r="N78" s="4">
        <v>-9.4649999999999999</v>
      </c>
      <c r="O78" s="4">
        <v>-9.1189999999999998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spans="1:47" x14ac:dyDescent="0.2">
      <c r="B79" s="2" t="s">
        <v>112</v>
      </c>
      <c r="C79" s="4"/>
      <c r="D79" s="4"/>
      <c r="E79" s="4"/>
      <c r="F79" s="4"/>
      <c r="G79" s="4"/>
      <c r="H79" s="4"/>
      <c r="I79" s="4"/>
      <c r="J79" s="4">
        <v>0</v>
      </c>
      <c r="K79" s="4">
        <v>2.5609999999999999</v>
      </c>
      <c r="L79" s="4">
        <v>5.0819999999999999</v>
      </c>
      <c r="M79" s="4">
        <v>7.8E-2</v>
      </c>
      <c r="N79" s="4">
        <v>2.5680000000000001</v>
      </c>
      <c r="O79" s="4">
        <v>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 spans="1:47" x14ac:dyDescent="0.2">
      <c r="B80" s="2" t="s">
        <v>113</v>
      </c>
      <c r="C80" s="4"/>
      <c r="D80" s="4"/>
      <c r="E80" s="4"/>
      <c r="F80" s="4"/>
      <c r="G80" s="4"/>
      <c r="H80" s="4"/>
      <c r="I80" s="4"/>
      <c r="J80" s="4">
        <v>0.20499999999999999</v>
      </c>
      <c r="K80" s="4">
        <v>-2.1000000000000001E-2</v>
      </c>
      <c r="L80" s="4">
        <v>0.59299999999999997</v>
      </c>
      <c r="M80" s="4">
        <v>0.253</v>
      </c>
      <c r="N80" s="4">
        <v>8.0000000000000002E-3</v>
      </c>
      <c r="O80" s="4">
        <v>0.81399999999999995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 spans="2:47" x14ac:dyDescent="0.2">
      <c r="B81" s="2" t="s">
        <v>120</v>
      </c>
      <c r="C81" s="4"/>
      <c r="D81" s="4"/>
      <c r="E81" s="4"/>
      <c r="F81" s="4"/>
      <c r="G81" s="4"/>
      <c r="H81" s="4"/>
      <c r="I81" s="4"/>
      <c r="J81" s="4">
        <v>-0.78</v>
      </c>
      <c r="K81" s="4">
        <v>0.45600000000000002</v>
      </c>
      <c r="L81" s="4">
        <v>0.93700000000000006</v>
      </c>
      <c r="M81" s="4">
        <v>-0.69599999999999995</v>
      </c>
      <c r="N81" s="4">
        <v>0.11700000000000001</v>
      </c>
      <c r="O81" s="4">
        <v>-0.29199999999999998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</row>
    <row r="82" spans="2:47" x14ac:dyDescent="0.2">
      <c r="B82" s="2" t="s">
        <v>115</v>
      </c>
      <c r="C82" s="4"/>
      <c r="D82" s="4"/>
      <c r="E82" s="4"/>
      <c r="F82" s="4"/>
      <c r="G82" s="4"/>
      <c r="H82" s="4"/>
      <c r="I82" s="4"/>
      <c r="J82" s="4">
        <v>-8.3840000000000003</v>
      </c>
      <c r="K82" s="4">
        <v>2.06</v>
      </c>
      <c r="L82" s="4">
        <v>2.601</v>
      </c>
      <c r="M82" s="4">
        <v>-0.46700000000000003</v>
      </c>
      <c r="N82" s="4">
        <v>-0.08</v>
      </c>
      <c r="O82" s="4">
        <v>1.7430000000000001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 spans="2:47" x14ac:dyDescent="0.2">
      <c r="B83" s="2" t="s">
        <v>114</v>
      </c>
      <c r="C83" s="4"/>
      <c r="D83" s="4"/>
      <c r="E83" s="4"/>
      <c r="F83" s="4"/>
      <c r="G83" s="4"/>
      <c r="H83" s="4"/>
      <c r="I83" s="4"/>
      <c r="J83" s="4">
        <v>-2.3490000000000002</v>
      </c>
      <c r="K83" s="4">
        <v>3.42</v>
      </c>
      <c r="L83" s="4">
        <v>0</v>
      </c>
      <c r="M83" s="4">
        <v>0</v>
      </c>
      <c r="N83" s="4">
        <v>-1.9730000000000001</v>
      </c>
      <c r="O83" s="4">
        <v>-0.41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</row>
    <row r="84" spans="2:47" x14ac:dyDescent="0.2">
      <c r="B84" s="2" t="s">
        <v>116</v>
      </c>
      <c r="C84" s="4"/>
      <c r="D84" s="4"/>
      <c r="E84" s="4"/>
      <c r="F84" s="4"/>
      <c r="G84" s="4"/>
      <c r="H84" s="4"/>
      <c r="I84" s="4"/>
      <c r="J84" s="4">
        <v>5.8220000000000001</v>
      </c>
      <c r="K84" s="4">
        <v>-7.3390000000000004</v>
      </c>
      <c r="L84" s="4">
        <v>0</v>
      </c>
      <c r="M84" s="4">
        <v>0</v>
      </c>
      <c r="N84" s="4">
        <v>1.337</v>
      </c>
      <c r="O84" s="4">
        <v>10.923999999999999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 spans="2:47" x14ac:dyDescent="0.2">
      <c r="B85" s="2" t="s">
        <v>117</v>
      </c>
      <c r="C85" s="4"/>
      <c r="D85" s="4"/>
      <c r="E85" s="4"/>
      <c r="F85" s="4"/>
      <c r="G85" s="4"/>
      <c r="H85" s="4"/>
      <c r="I85" s="4"/>
      <c r="J85" s="4">
        <v>1.3839999999999999</v>
      </c>
      <c r="K85" s="4">
        <v>7.4969999999999999</v>
      </c>
      <c r="L85" s="4">
        <v>5.4020000000000001</v>
      </c>
      <c r="M85" s="4">
        <v>-28.145</v>
      </c>
      <c r="N85" s="4">
        <v>-57.122</v>
      </c>
      <c r="O85" s="4">
        <v>18.576000000000001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spans="2:47" x14ac:dyDescent="0.2">
      <c r="B86" s="2" t="s">
        <v>118</v>
      </c>
      <c r="C86" s="4"/>
      <c r="D86" s="4"/>
      <c r="E86" s="4"/>
      <c r="F86" s="4"/>
      <c r="G86" s="4"/>
      <c r="H86" s="4"/>
      <c r="I86" s="4"/>
      <c r="J86" s="4">
        <v>16.765999999999998</v>
      </c>
      <c r="K86" s="4">
        <v>-5.98</v>
      </c>
      <c r="L86" s="4">
        <v>-4.3289999999999997</v>
      </c>
      <c r="M86" s="4">
        <v>14.029</v>
      </c>
      <c r="N86" s="4">
        <v>8.6620000000000008</v>
      </c>
      <c r="O86" s="4">
        <v>28.132000000000001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spans="2:47" x14ac:dyDescent="0.2">
      <c r="B87" s="2" t="s">
        <v>119</v>
      </c>
      <c r="C87" s="4"/>
      <c r="D87" s="4"/>
      <c r="E87" s="4"/>
      <c r="F87" s="4"/>
      <c r="G87" s="4"/>
      <c r="H87" s="4"/>
      <c r="I87" s="4"/>
      <c r="J87" s="4">
        <f t="shared" ref="J87:N87" si="59">+J85+J86</f>
        <v>18.149999999999999</v>
      </c>
      <c r="K87" s="4">
        <f t="shared" si="59"/>
        <v>1.5169999999999995</v>
      </c>
      <c r="L87" s="4">
        <f t="shared" si="59"/>
        <v>1.0730000000000004</v>
      </c>
      <c r="M87" s="4">
        <f t="shared" si="59"/>
        <v>-14.116</v>
      </c>
      <c r="N87" s="4">
        <f t="shared" si="59"/>
        <v>-48.46</v>
      </c>
      <c r="O87" s="4">
        <f>+O85+O86</f>
        <v>46.707999999999998</v>
      </c>
      <c r="P87" s="4">
        <f t="shared" ref="P87" si="60">+P85+P86</f>
        <v>0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 spans="2:47" x14ac:dyDescent="0.2">
      <c r="B88" s="1" t="s">
        <v>121</v>
      </c>
      <c r="C88" s="28"/>
      <c r="D88" s="28"/>
      <c r="E88" s="28"/>
      <c r="F88" s="28"/>
      <c r="G88" s="28"/>
      <c r="H88" s="28"/>
      <c r="I88" s="28"/>
      <c r="J88" s="28">
        <f t="shared" ref="J88:N88" si="61">+SUM(J70:J84)+J87</f>
        <v>47.219999999999949</v>
      </c>
      <c r="K88" s="28">
        <f t="shared" si="61"/>
        <v>25.848000000000045</v>
      </c>
      <c r="L88" s="28">
        <f t="shared" si="61"/>
        <v>54.842000000000091</v>
      </c>
      <c r="M88" s="28">
        <f t="shared" si="61"/>
        <v>29.939999999999962</v>
      </c>
      <c r="N88" s="28">
        <f t="shared" si="61"/>
        <v>-2.1459999999999368</v>
      </c>
      <c r="O88" s="28">
        <f>+SUM(O70:O84)+O87</f>
        <v>117.78299999999996</v>
      </c>
      <c r="P88" s="28">
        <f t="shared" ref="P88" si="62">+SUM(P70:P84)+P87</f>
        <v>0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spans="2:47" x14ac:dyDescent="0.2">
      <c r="B89" s="2" t="s">
        <v>123</v>
      </c>
      <c r="C89" s="4"/>
      <c r="D89" s="4"/>
      <c r="E89" s="4"/>
      <c r="F89" s="4"/>
      <c r="G89" s="4"/>
      <c r="H89" s="4"/>
      <c r="I89" s="4"/>
      <c r="J89" s="4">
        <v>1.6E-2</v>
      </c>
      <c r="K89" s="4">
        <v>3.1E-2</v>
      </c>
      <c r="L89" s="4">
        <v>0.01</v>
      </c>
      <c r="M89" s="4">
        <f>0.005+0.808</f>
        <v>0.81300000000000006</v>
      </c>
      <c r="N89" s="4">
        <v>0</v>
      </c>
      <c r="O89" s="4">
        <v>5.0000000000000001E-3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spans="2:47" x14ac:dyDescent="0.2">
      <c r="B90" s="2" t="s">
        <v>126</v>
      </c>
      <c r="C90" s="4"/>
      <c r="D90" s="4"/>
      <c r="E90" s="4"/>
      <c r="F90" s="4"/>
      <c r="G90" s="4"/>
      <c r="H90" s="4"/>
      <c r="I90" s="4"/>
      <c r="J90" s="4">
        <v>0</v>
      </c>
      <c r="K90" s="4">
        <v>0</v>
      </c>
      <c r="L90" s="4">
        <v>0</v>
      </c>
      <c r="M90" s="4">
        <v>0.106</v>
      </c>
      <c r="N90" s="4">
        <v>0</v>
      </c>
      <c r="O90" s="4">
        <v>0.187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spans="2:47" x14ac:dyDescent="0.2">
      <c r="B91" s="2" t="s">
        <v>125</v>
      </c>
      <c r="C91" s="4"/>
      <c r="D91" s="4"/>
      <c r="E91" s="4"/>
      <c r="F91" s="4"/>
      <c r="G91" s="4"/>
      <c r="H91" s="4"/>
      <c r="I91" s="4"/>
      <c r="J91" s="4">
        <v>-35.448</v>
      </c>
      <c r="K91" s="4">
        <v>-22.283999999999999</v>
      </c>
      <c r="L91" s="4">
        <v>-13.896000000000001</v>
      </c>
      <c r="M91" s="4">
        <v>-12.999000000000001</v>
      </c>
      <c r="N91" s="4">
        <v>-19.559000000000001</v>
      </c>
      <c r="O91" s="4">
        <v>-17.766999999999999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spans="2:47" x14ac:dyDescent="0.2">
      <c r="B92" s="2" t="s">
        <v>124</v>
      </c>
      <c r="C92" s="4"/>
      <c r="D92" s="4"/>
      <c r="E92" s="4"/>
      <c r="F92" s="4"/>
      <c r="G92" s="4"/>
      <c r="H92" s="4"/>
      <c r="I92" s="4"/>
      <c r="J92" s="4">
        <v>-1.877</v>
      </c>
      <c r="K92" s="4">
        <f>-1.992-0.04</f>
        <v>-2.032</v>
      </c>
      <c r="L92" s="4">
        <f>-1.238-0.01</f>
        <v>-1.248</v>
      </c>
      <c r="M92" s="4">
        <f>-1.974-0.028</f>
        <v>-2.0019999999999998</v>
      </c>
      <c r="N92" s="4">
        <v>-1.5720000000000001</v>
      </c>
      <c r="O92" s="4">
        <v>-1.79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</row>
    <row r="93" spans="2:47" x14ac:dyDescent="0.2">
      <c r="B93" s="1" t="s">
        <v>122</v>
      </c>
      <c r="C93" s="28"/>
      <c r="D93" s="28"/>
      <c r="E93" s="28"/>
      <c r="F93" s="28"/>
      <c r="G93" s="28"/>
      <c r="H93" s="28"/>
      <c r="I93" s="28"/>
      <c r="J93" s="28">
        <f t="shared" ref="J93:N93" si="63">+SUM(J89:J92)</f>
        <v>-37.309000000000005</v>
      </c>
      <c r="K93" s="28">
        <f t="shared" si="63"/>
        <v>-24.285</v>
      </c>
      <c r="L93" s="28">
        <f t="shared" si="63"/>
        <v>-15.134</v>
      </c>
      <c r="M93" s="28">
        <f t="shared" si="63"/>
        <v>-14.082000000000001</v>
      </c>
      <c r="N93" s="28">
        <f t="shared" si="63"/>
        <v>-21.131</v>
      </c>
      <c r="O93" s="28">
        <f>+SUM(O89:O92)</f>
        <v>-19.364999999999998</v>
      </c>
      <c r="P93" s="28">
        <f t="shared" ref="P93" si="64">+SUM(P89:P92)</f>
        <v>0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</row>
    <row r="94" spans="2:47" x14ac:dyDescent="0.2">
      <c r="B94" s="2" t="s">
        <v>127</v>
      </c>
      <c r="C94" s="4"/>
      <c r="D94" s="4"/>
      <c r="E94" s="4"/>
      <c r="F94" s="4"/>
      <c r="G94" s="4"/>
      <c r="H94" s="4"/>
      <c r="I94" s="4"/>
      <c r="J94" s="4">
        <v>-3.367</v>
      </c>
      <c r="K94" s="4">
        <v>-1.7889999999999999</v>
      </c>
      <c r="L94" s="4">
        <v>-0.996</v>
      </c>
      <c r="M94" s="4">
        <v>-3.3879999999999999</v>
      </c>
      <c r="N94" s="4">
        <v>-2.2130000000000001</v>
      </c>
      <c r="O94" s="4">
        <v>-1.595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spans="2:47" x14ac:dyDescent="0.2">
      <c r="B95" s="2" t="s">
        <v>128</v>
      </c>
      <c r="C95" s="4"/>
      <c r="D95" s="4"/>
      <c r="E95" s="4"/>
      <c r="F95" s="4"/>
      <c r="G95" s="4"/>
      <c r="H95" s="4"/>
      <c r="I95" s="4"/>
      <c r="J95" s="4">
        <v>3.3069999999999999</v>
      </c>
      <c r="K95" s="4">
        <v>1.224</v>
      </c>
      <c r="L95" s="4">
        <v>1.6319999999999999</v>
      </c>
      <c r="M95" s="4">
        <v>3.3879999999999999</v>
      </c>
      <c r="N95" s="4">
        <v>1.7749999999999999</v>
      </c>
      <c r="O95" s="4">
        <v>1.6559999999999999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</row>
    <row r="96" spans="2:47" x14ac:dyDescent="0.2">
      <c r="B96" s="2" t="s">
        <v>129</v>
      </c>
      <c r="C96" s="4"/>
      <c r="D96" s="4"/>
      <c r="E96" s="4"/>
      <c r="F96" s="4"/>
      <c r="G96" s="4"/>
      <c r="H96" s="4"/>
      <c r="I96" s="4"/>
      <c r="J96" s="4">
        <v>-10.875999999999999</v>
      </c>
      <c r="K96" s="4">
        <v>-10.885</v>
      </c>
      <c r="L96" s="4">
        <v>-10.867000000000001</v>
      </c>
      <c r="M96" s="4">
        <v>-10.9</v>
      </c>
      <c r="N96" s="4">
        <v>-10.891</v>
      </c>
      <c r="O96" s="4">
        <v>-10.884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</row>
    <row r="97" spans="2:47" x14ac:dyDescent="0.2">
      <c r="B97" s="2" t="s">
        <v>130</v>
      </c>
      <c r="C97" s="4"/>
      <c r="D97" s="4"/>
      <c r="E97" s="4"/>
      <c r="F97" s="4"/>
      <c r="G97" s="4"/>
      <c r="H97" s="4"/>
      <c r="I97" s="4"/>
      <c r="J97" s="4">
        <v>5.15</v>
      </c>
      <c r="K97" s="4">
        <v>0</v>
      </c>
      <c r="L97" s="4">
        <v>0</v>
      </c>
      <c r="M97" s="4">
        <v>0</v>
      </c>
      <c r="N97" s="4">
        <v>20</v>
      </c>
      <c r="O97" s="4">
        <v>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</row>
    <row r="98" spans="2:47" x14ac:dyDescent="0.2">
      <c r="B98" s="2" t="s">
        <v>131</v>
      </c>
      <c r="C98" s="4"/>
      <c r="D98" s="4"/>
      <c r="E98" s="4"/>
      <c r="F98" s="4"/>
      <c r="G98" s="4"/>
      <c r="H98" s="4"/>
      <c r="I98" s="4"/>
      <c r="J98" s="4">
        <v>-7.5019999999999998</v>
      </c>
      <c r="K98" s="4">
        <v>-7.258</v>
      </c>
      <c r="L98" s="4">
        <v>-6.8730000000000002</v>
      </c>
      <c r="M98" s="4">
        <v>-6.4119999999999999</v>
      </c>
      <c r="N98" s="4">
        <v>-4.5810000000000004</v>
      </c>
      <c r="O98" s="4">
        <v>-4.9950000000000001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</row>
    <row r="99" spans="2:47" x14ac:dyDescent="0.2">
      <c r="B99" s="2" t="s">
        <v>132</v>
      </c>
      <c r="C99" s="4"/>
      <c r="D99" s="4"/>
      <c r="E99" s="4"/>
      <c r="F99" s="4"/>
      <c r="G99" s="4"/>
      <c r="H99" s="4"/>
      <c r="I99" s="4"/>
      <c r="J99" s="4">
        <v>0</v>
      </c>
      <c r="K99" s="4">
        <v>20.742999999999999</v>
      </c>
      <c r="L99" s="4">
        <v>-20.035</v>
      </c>
      <c r="M99" s="4">
        <v>-8.33</v>
      </c>
      <c r="N99" s="4">
        <v>13.052</v>
      </c>
      <c r="O99" s="4">
        <v>-16.681999999999999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</row>
    <row r="100" spans="2:47" x14ac:dyDescent="0.2">
      <c r="B100" s="1" t="s">
        <v>122</v>
      </c>
      <c r="C100" s="28"/>
      <c r="D100" s="28"/>
      <c r="E100" s="28"/>
      <c r="F100" s="28"/>
      <c r="G100" s="28"/>
      <c r="H100" s="28"/>
      <c r="I100" s="28"/>
      <c r="J100" s="28">
        <f t="shared" ref="J100:N100" si="65">+SUM(J94:J99)</f>
        <v>-13.288</v>
      </c>
      <c r="K100" s="28">
        <f t="shared" si="65"/>
        <v>2.0350000000000001</v>
      </c>
      <c r="L100" s="28">
        <f t="shared" si="65"/>
        <v>-37.139000000000003</v>
      </c>
      <c r="M100" s="28">
        <f t="shared" si="65"/>
        <v>-25.642000000000003</v>
      </c>
      <c r="N100" s="28">
        <f t="shared" si="65"/>
        <v>17.141999999999999</v>
      </c>
      <c r="O100" s="28">
        <f>+SUM(O94:O99)</f>
        <v>-32.5</v>
      </c>
      <c r="P100" s="28">
        <f t="shared" ref="P100" si="66">+SUM(P94:P99)</f>
        <v>0</v>
      </c>
      <c r="Q100" s="28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spans="2:47" x14ac:dyDescent="0.2">
      <c r="B101" s="2" t="s">
        <v>133</v>
      </c>
      <c r="C101" s="4"/>
      <c r="D101" s="4"/>
      <c r="E101" s="4"/>
      <c r="F101" s="4"/>
      <c r="G101" s="4"/>
      <c r="H101" s="4"/>
      <c r="I101" s="4"/>
      <c r="J101" s="4">
        <v>-0.156</v>
      </c>
      <c r="K101" s="4">
        <v>2.3E-2</v>
      </c>
      <c r="L101" s="4">
        <v>-0.217</v>
      </c>
      <c r="M101" s="4">
        <v>-2.5999999999999999E-2</v>
      </c>
      <c r="N101" s="4">
        <v>-3.0000000000000001E-3</v>
      </c>
      <c r="O101" s="4">
        <v>6.2E-2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</row>
    <row r="102" spans="2:47" x14ac:dyDescent="0.2">
      <c r="B102" s="1" t="s">
        <v>134</v>
      </c>
      <c r="C102" s="28"/>
      <c r="D102" s="28"/>
      <c r="E102" s="28"/>
      <c r="F102" s="28"/>
      <c r="G102" s="28"/>
      <c r="H102" s="28"/>
      <c r="I102" s="28"/>
      <c r="J102" s="28">
        <f t="shared" ref="J102:N102" si="67">+J88+J93+J100+J101</f>
        <v>-3.5330000000000559</v>
      </c>
      <c r="K102" s="33">
        <f t="shared" si="67"/>
        <v>3.6210000000000453</v>
      </c>
      <c r="L102" s="28">
        <f t="shared" si="67"/>
        <v>2.3520000000000878</v>
      </c>
      <c r="M102" s="33">
        <f t="shared" si="67"/>
        <v>-9.8100000000000414</v>
      </c>
      <c r="N102" s="28">
        <f t="shared" si="67"/>
        <v>-6.1379999999999377</v>
      </c>
      <c r="O102" s="28">
        <f>+O88+O93+O100+O101</f>
        <v>65.979999999999961</v>
      </c>
      <c r="P102" s="28">
        <f t="shared" ref="P102" si="68">+P88+P93+P100+P101</f>
        <v>0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</row>
    <row r="103" spans="2:47" x14ac:dyDescent="0.2">
      <c r="B103" s="2" t="s">
        <v>135</v>
      </c>
      <c r="C103" s="4"/>
      <c r="D103" s="4"/>
      <c r="E103" s="4"/>
      <c r="F103" s="4"/>
      <c r="G103" s="4"/>
      <c r="H103" s="4"/>
      <c r="I103" s="4"/>
      <c r="J103" s="4">
        <f>+J104-J102</f>
        <v>14.578000000000012</v>
      </c>
      <c r="K103" s="4">
        <f>+K104-K102</f>
        <v>11.044999999999956</v>
      </c>
      <c r="L103" s="4">
        <f>+L104-L102</f>
        <v>14.665999999999956</v>
      </c>
      <c r="M103" s="4">
        <f>+M104-M102</f>
        <v>17.018000000000043</v>
      </c>
      <c r="N103" s="4">
        <f>+N104-N102</f>
        <v>7.2409999999999375</v>
      </c>
      <c r="O103" s="4">
        <v>1.103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</row>
    <row r="104" spans="2:47" x14ac:dyDescent="0.2">
      <c r="B104" s="2" t="s">
        <v>136</v>
      </c>
      <c r="C104" s="4"/>
      <c r="D104" s="4"/>
      <c r="E104" s="4"/>
      <c r="F104" s="4"/>
      <c r="G104" s="4"/>
      <c r="H104" s="4"/>
      <c r="I104" s="4"/>
      <c r="J104" s="4">
        <f>+K103</f>
        <v>11.044999999999956</v>
      </c>
      <c r="K104" s="4">
        <v>14.666</v>
      </c>
      <c r="L104" s="4">
        <f>+M103</f>
        <v>17.018000000000043</v>
      </c>
      <c r="M104" s="4">
        <v>7.2080000000000002</v>
      </c>
      <c r="N104" s="4">
        <f>+O103</f>
        <v>1.103</v>
      </c>
      <c r="O104" s="4">
        <f>+O102+O103</f>
        <v>67.082999999999956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spans="2:47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</row>
    <row r="106" spans="2:47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</row>
    <row r="107" spans="2:47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</row>
    <row r="108" spans="2:47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</row>
    <row r="109" spans="2:47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</row>
    <row r="110" spans="2:47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spans="2:47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spans="2:47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spans="3:47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</row>
    <row r="114" spans="3:47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spans="3:47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</row>
    <row r="116" spans="3:47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spans="3:47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spans="3:47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spans="3:47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</row>
    <row r="120" spans="3:47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spans="3:47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</row>
    <row r="122" spans="3:47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spans="3:47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</row>
    <row r="124" spans="3:47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spans="3:47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</row>
    <row r="126" spans="3:47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spans="3:47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</row>
    <row r="128" spans="3:47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spans="3:47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</row>
    <row r="130" spans="3:47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spans="3:47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</row>
    <row r="132" spans="3:47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spans="3:47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</row>
    <row r="134" spans="3:47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spans="3:47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</row>
    <row r="136" spans="3:47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spans="3:47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 spans="3:47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spans="3:47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spans="3:47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</row>
    <row r="141" spans="3:47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</row>
    <row r="142" spans="3:47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</row>
    <row r="143" spans="3:47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</row>
    <row r="144" spans="3:47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</row>
    <row r="145" spans="3:47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</row>
    <row r="146" spans="3:47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</row>
    <row r="147" spans="3:47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</row>
    <row r="148" spans="3:47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</row>
    <row r="149" spans="3:47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</row>
    <row r="150" spans="3:47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</row>
    <row r="151" spans="3:47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</row>
    <row r="152" spans="3:47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</row>
    <row r="153" spans="3:47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</row>
    <row r="154" spans="3:47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</row>
    <row r="155" spans="3:47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</row>
    <row r="156" spans="3:47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</row>
    <row r="157" spans="3:47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</row>
    <row r="158" spans="3:47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</row>
    <row r="159" spans="3:47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</row>
    <row r="160" spans="3:47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</row>
    <row r="161" spans="3:47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</row>
    <row r="162" spans="3:47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</row>
    <row r="163" spans="3:47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</row>
    <row r="164" spans="3:47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</row>
    <row r="165" spans="3:47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</row>
    <row r="166" spans="3:47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</row>
    <row r="167" spans="3:47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</row>
    <row r="168" spans="3:47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</row>
    <row r="169" spans="3:47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</row>
    <row r="170" spans="3:47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</row>
    <row r="171" spans="3:47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</row>
    <row r="172" spans="3:47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</row>
    <row r="173" spans="3:47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</row>
    <row r="174" spans="3:47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</row>
    <row r="175" spans="3:47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</row>
    <row r="176" spans="3:47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</row>
    <row r="177" spans="3:47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</row>
    <row r="178" spans="3:47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</row>
    <row r="179" spans="3:47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</row>
    <row r="180" spans="3:47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</row>
    <row r="181" spans="3:47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</row>
    <row r="182" spans="3:47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</row>
    <row r="183" spans="3:47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</row>
    <row r="184" spans="3:47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</row>
    <row r="185" spans="3:47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</row>
    <row r="186" spans="3:47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</row>
    <row r="187" spans="3:47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</row>
    <row r="188" spans="3:47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</row>
    <row r="189" spans="3:47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</row>
    <row r="190" spans="3:47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</row>
    <row r="191" spans="3:47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</row>
    <row r="192" spans="3:47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</row>
    <row r="193" spans="3:47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</row>
    <row r="194" spans="3:47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</row>
    <row r="195" spans="3:47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</row>
    <row r="196" spans="3:47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</row>
    <row r="197" spans="3:47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</row>
    <row r="198" spans="3:47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</row>
    <row r="199" spans="3:47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</row>
    <row r="200" spans="3:47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</row>
    <row r="201" spans="3:47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</row>
    <row r="202" spans="3:47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</row>
    <row r="203" spans="3:47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</row>
    <row r="204" spans="3:47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</row>
    <row r="205" spans="3:47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</row>
    <row r="206" spans="3:47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</row>
    <row r="207" spans="3:47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</row>
    <row r="208" spans="3:47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</row>
    <row r="209" spans="3:47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</row>
    <row r="210" spans="3:47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</row>
    <row r="211" spans="3:47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</row>
    <row r="212" spans="3:47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</row>
    <row r="213" spans="3:47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</row>
    <row r="214" spans="3:47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</row>
    <row r="215" spans="3:47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</row>
    <row r="216" spans="3:47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</row>
    <row r="217" spans="3:47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</row>
    <row r="218" spans="3:47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</row>
    <row r="219" spans="3:47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</row>
    <row r="220" spans="3:47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</row>
    <row r="221" spans="3:47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</row>
    <row r="222" spans="3:47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</row>
    <row r="223" spans="3:47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</row>
    <row r="224" spans="3:47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</row>
    <row r="225" spans="3:47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</row>
    <row r="226" spans="3:47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</row>
    <row r="227" spans="3:47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</row>
    <row r="228" spans="3:47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</row>
    <row r="229" spans="3:47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</row>
    <row r="230" spans="3:47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</row>
    <row r="231" spans="3:47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</row>
    <row r="232" spans="3:47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</row>
    <row r="233" spans="3:47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</row>
    <row r="234" spans="3:47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</row>
    <row r="235" spans="3:47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</row>
    <row r="236" spans="3:47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</row>
    <row r="237" spans="3:47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</row>
    <row r="238" spans="3:47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</row>
    <row r="239" spans="3:47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</row>
    <row r="240" spans="3:47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</row>
    <row r="241" spans="3:47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</row>
    <row r="242" spans="3:47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</row>
    <row r="243" spans="3:47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</row>
    <row r="244" spans="3:47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</row>
    <row r="245" spans="3:47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</row>
    <row r="246" spans="3:47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</row>
    <row r="247" spans="3:47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</row>
    <row r="248" spans="3:47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</row>
    <row r="249" spans="3:47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</row>
    <row r="250" spans="3:47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</row>
    <row r="251" spans="3:47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</row>
    <row r="252" spans="3:47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</row>
    <row r="253" spans="3:47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</row>
    <row r="254" spans="3:47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</row>
    <row r="255" spans="3:47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</row>
    <row r="256" spans="3:47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</row>
    <row r="257" spans="3:47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</row>
    <row r="258" spans="3:47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</row>
    <row r="259" spans="3:47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</row>
    <row r="260" spans="3:47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</row>
    <row r="261" spans="3:47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</row>
    <row r="262" spans="3:47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</row>
    <row r="263" spans="3:47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</row>
    <row r="264" spans="3:47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</row>
    <row r="265" spans="3:47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</row>
    <row r="266" spans="3:47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</row>
    <row r="267" spans="3:47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</row>
    <row r="268" spans="3:47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</row>
    <row r="269" spans="3:47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</row>
    <row r="270" spans="3:47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</row>
    <row r="271" spans="3:47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</row>
    <row r="272" spans="3:47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</row>
    <row r="273" spans="3:47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</row>
    <row r="274" spans="3:47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</row>
    <row r="275" spans="3:47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</row>
    <row r="276" spans="3:47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</row>
    <row r="277" spans="3:47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</row>
    <row r="278" spans="3:47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</row>
    <row r="279" spans="3:47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</row>
    <row r="280" spans="3:47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</row>
    <row r="281" spans="3:47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</row>
    <row r="282" spans="3:47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</row>
    <row r="283" spans="3:47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</row>
    <row r="284" spans="3:47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</row>
    <row r="285" spans="3:47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</row>
    <row r="286" spans="3:47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</row>
    <row r="287" spans="3:47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</row>
    <row r="288" spans="3:47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</row>
    <row r="289" spans="3:47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</row>
    <row r="290" spans="3:47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</row>
    <row r="291" spans="3:47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</row>
    <row r="292" spans="3:47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</row>
    <row r="293" spans="3:47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</row>
    <row r="294" spans="3:47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</row>
    <row r="295" spans="3:47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</row>
    <row r="296" spans="3:47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</row>
    <row r="297" spans="3:47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</row>
    <row r="298" spans="3:47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</row>
    <row r="299" spans="3:47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</row>
    <row r="300" spans="3:47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</row>
    <row r="301" spans="3:47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</row>
    <row r="302" spans="3:47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</row>
    <row r="303" spans="3:47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</row>
    <row r="304" spans="3:47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</row>
    <row r="305" spans="3:47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</row>
    <row r="306" spans="3:47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</row>
    <row r="307" spans="3:47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</row>
    <row r="308" spans="3:47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</row>
    <row r="309" spans="3:47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</row>
    <row r="310" spans="3:47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</row>
    <row r="311" spans="3:47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</row>
    <row r="312" spans="3:47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</row>
    <row r="313" spans="3:47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</row>
    <row r="314" spans="3:47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</row>
    <row r="315" spans="3:47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</row>
    <row r="316" spans="3:47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</row>
    <row r="317" spans="3:47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</row>
    <row r="318" spans="3:47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</row>
    <row r="319" spans="3:47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</row>
    <row r="320" spans="3:47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</row>
  </sheetData>
  <hyperlinks>
    <hyperlink ref="A1" location="Main!A1" display="Main" xr:uid="{A043E3F2-2056-4306-96D0-86D001CC190F}"/>
  </hyperlink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55BB-C6F6-414D-A101-828AD1EAAF1B}">
  <dimension ref="A1:L60"/>
  <sheetViews>
    <sheetView zoomScale="200" zoomScaleNormal="200" workbookViewId="0">
      <pane xSplit="2" ySplit="2" topLeftCell="C46" activePane="bottomRight" state="frozen"/>
      <selection pane="topRight" activeCell="C1" sqref="C1"/>
      <selection pane="bottomLeft" activeCell="A3" sqref="A3"/>
      <selection pane="bottomRight" activeCell="J50" sqref="J50:J52"/>
    </sheetView>
  </sheetViews>
  <sheetFormatPr defaultRowHeight="12.75" x14ac:dyDescent="0.2"/>
  <cols>
    <col min="1" max="1" width="4.5703125" style="2" customWidth="1"/>
    <col min="2" max="2" width="32.42578125" style="2" bestFit="1" customWidth="1"/>
    <col min="3" max="16384" width="9.140625" style="2"/>
  </cols>
  <sheetData>
    <row r="1" spans="1:12" x14ac:dyDescent="0.2">
      <c r="A1" s="6" t="s">
        <v>13</v>
      </c>
    </row>
    <row r="2" spans="1:12" x14ac:dyDescent="0.2">
      <c r="B2" s="34" t="s">
        <v>140</v>
      </c>
      <c r="C2" s="35">
        <v>18</v>
      </c>
      <c r="D2" s="35">
        <f>+C2+1</f>
        <v>19</v>
      </c>
      <c r="E2" s="35">
        <f t="shared" ref="E2:H2" si="0">+D2+1</f>
        <v>20</v>
      </c>
      <c r="F2" s="35">
        <f t="shared" si="0"/>
        <v>21</v>
      </c>
      <c r="G2" s="35">
        <f t="shared" si="0"/>
        <v>22</v>
      </c>
      <c r="H2" s="35">
        <f t="shared" si="0"/>
        <v>23</v>
      </c>
      <c r="I2" s="35" t="s">
        <v>26</v>
      </c>
      <c r="J2" s="35"/>
      <c r="K2" s="36"/>
    </row>
    <row r="3" spans="1:12" x14ac:dyDescent="0.2">
      <c r="B3" s="2" t="s">
        <v>2</v>
      </c>
      <c r="C3" s="37">
        <v>77.5</v>
      </c>
      <c r="D3" s="37">
        <v>59.9</v>
      </c>
      <c r="E3" s="37">
        <v>55.5</v>
      </c>
      <c r="F3" s="37">
        <v>74.400000000000006</v>
      </c>
      <c r="G3" s="37">
        <v>81.2</v>
      </c>
      <c r="H3" s="37">
        <v>59.2</v>
      </c>
      <c r="I3" s="37">
        <v>74.5</v>
      </c>
      <c r="J3" s="38">
        <v>95</v>
      </c>
      <c r="K3" s="38"/>
    </row>
    <row r="4" spans="1:12" x14ac:dyDescent="0.2">
      <c r="B4" s="2" t="s">
        <v>141</v>
      </c>
      <c r="C4" s="39">
        <f>+Model!N33</f>
        <v>6.8129999999999997</v>
      </c>
      <c r="D4" s="39">
        <f>+Model!O33</f>
        <v>6.8129999999999997</v>
      </c>
      <c r="E4" s="39">
        <f>+Model!P33</f>
        <v>6.8129999999999997</v>
      </c>
      <c r="F4" s="39">
        <f>+Model!Q33</f>
        <v>6.8129999999999997</v>
      </c>
      <c r="G4" s="39">
        <f>+Model!R33</f>
        <v>6.8129999999999997</v>
      </c>
      <c r="H4" s="39">
        <f>+Model!S33</f>
        <v>6.8129999999999997</v>
      </c>
      <c r="I4" s="39">
        <v>6.8125980000000004</v>
      </c>
      <c r="J4" s="39">
        <v>6.8125980000000004</v>
      </c>
      <c r="K4" s="38"/>
    </row>
    <row r="5" spans="1:12" x14ac:dyDescent="0.2">
      <c r="B5" s="2" t="s">
        <v>142</v>
      </c>
      <c r="C5" s="38">
        <f t="shared" ref="C5:G5" si="1">+C3*C4</f>
        <v>528.00749999999994</v>
      </c>
      <c r="D5" s="38">
        <f t="shared" si="1"/>
        <v>408.09869999999995</v>
      </c>
      <c r="E5" s="38">
        <f t="shared" si="1"/>
        <v>378.12149999999997</v>
      </c>
      <c r="F5" s="38">
        <f t="shared" si="1"/>
        <v>506.88720000000001</v>
      </c>
      <c r="G5" s="38">
        <f t="shared" si="1"/>
        <v>553.21559999999999</v>
      </c>
      <c r="H5" s="38">
        <f>+H3*H4</f>
        <v>403.32960000000003</v>
      </c>
      <c r="I5" s="38">
        <f>+I3*I4</f>
        <v>507.53855100000004</v>
      </c>
      <c r="J5" s="38">
        <f>+J3*J4</f>
        <v>647.19681000000003</v>
      </c>
      <c r="K5" s="38"/>
    </row>
    <row r="6" spans="1:12" x14ac:dyDescent="0.2">
      <c r="B6" s="2" t="s">
        <v>143</v>
      </c>
      <c r="C6" s="38">
        <f>+Model!N62-Model!N54</f>
        <v>33.869999999999997</v>
      </c>
      <c r="D6" s="38">
        <f>+Model!O62-Model!O54</f>
        <v>43.495999999999995</v>
      </c>
      <c r="E6" s="38">
        <f>+Model!P62-Model!P54</f>
        <v>11.771999999999998</v>
      </c>
      <c r="F6" s="38">
        <f>+Model!Q62-Model!Q54</f>
        <v>6.8409999999999993</v>
      </c>
      <c r="G6" s="38">
        <f>+Model!R62-Model!R54</f>
        <v>41.417000000000002</v>
      </c>
      <c r="H6" s="38">
        <f>+Model!S62-Model!S54</f>
        <v>-46.241</v>
      </c>
      <c r="I6" s="38">
        <f>+Model!T62-Model!T54</f>
        <v>-94.68</v>
      </c>
      <c r="J6" s="38">
        <f>+Model!U62-Model!U54</f>
        <v>-104.78</v>
      </c>
      <c r="K6" s="38"/>
    </row>
    <row r="7" spans="1:12" x14ac:dyDescent="0.2">
      <c r="B7" s="2" t="s">
        <v>7</v>
      </c>
      <c r="C7" s="38">
        <f t="shared" ref="C7:G7" si="2">+C5+C6</f>
        <v>561.87749999999994</v>
      </c>
      <c r="D7" s="38">
        <f t="shared" si="2"/>
        <v>451.59469999999993</v>
      </c>
      <c r="E7" s="38">
        <f t="shared" si="2"/>
        <v>389.89349999999996</v>
      </c>
      <c r="F7" s="38">
        <f t="shared" si="2"/>
        <v>513.72820000000002</v>
      </c>
      <c r="G7" s="38">
        <f t="shared" si="2"/>
        <v>594.63260000000002</v>
      </c>
      <c r="H7" s="38">
        <f>+H5+H6</f>
        <v>357.08860000000004</v>
      </c>
      <c r="I7" s="38">
        <f>+I5+I6</f>
        <v>412.85855100000003</v>
      </c>
      <c r="J7" s="38">
        <f>+J5+J6</f>
        <v>542.41681000000005</v>
      </c>
      <c r="K7" s="38"/>
    </row>
    <row r="8" spans="1:12" x14ac:dyDescent="0.2">
      <c r="C8" s="38"/>
      <c r="D8" s="38"/>
      <c r="E8" s="38"/>
      <c r="F8" s="38"/>
      <c r="G8" s="38"/>
      <c r="H8" s="38"/>
      <c r="I8" s="38"/>
      <c r="J8" s="38"/>
      <c r="K8" s="38"/>
    </row>
    <row r="9" spans="1:12" x14ac:dyDescent="0.2">
      <c r="A9" s="26" t="s">
        <v>103</v>
      </c>
      <c r="B9" s="3" t="s">
        <v>144</v>
      </c>
      <c r="C9" s="38"/>
      <c r="D9" s="38"/>
      <c r="E9" s="38"/>
      <c r="F9" s="38"/>
      <c r="G9" s="38"/>
      <c r="H9" s="38"/>
      <c r="I9" s="38"/>
      <c r="J9" s="38"/>
      <c r="K9" s="38"/>
    </row>
    <row r="10" spans="1:12" x14ac:dyDescent="0.2">
      <c r="B10" s="2" t="s">
        <v>145</v>
      </c>
      <c r="C10" s="40">
        <f>+Model!N50+Model!N52+Model!N53-Model!N63</f>
        <v>135.87099999999998</v>
      </c>
      <c r="D10" s="40">
        <f>+Model!O50+Model!O52+Model!O53-Model!O63</f>
        <v>144.45999999999998</v>
      </c>
      <c r="E10" s="40">
        <f>+Model!P50+Model!P52+Model!P53-Model!P63</f>
        <v>150.04300000000001</v>
      </c>
      <c r="F10" s="40">
        <f>+Model!Q50+Model!Q52+Model!Q53-Model!Q63</f>
        <v>132.054</v>
      </c>
      <c r="G10" s="40">
        <f>+Model!R50+Model!R52+Model!R53-Model!R63</f>
        <v>133.85300000000001</v>
      </c>
      <c r="H10" s="40">
        <f>+Model!S50+Model!S52+Model!S53-Model!S63</f>
        <v>111.30000000000001</v>
      </c>
      <c r="I10" s="40">
        <f>+Model!T50+Model!T52+Model!T53-Model!T63</f>
        <v>103.958</v>
      </c>
      <c r="J10" s="40">
        <f>+Model!U50+Model!U52+Model!U53-Model!U63</f>
        <v>92.384</v>
      </c>
      <c r="L10" s="41" t="s">
        <v>146</v>
      </c>
    </row>
    <row r="11" spans="1:12" x14ac:dyDescent="0.2">
      <c r="B11" s="2" t="s">
        <v>147</v>
      </c>
      <c r="C11" s="40">
        <f>+Model!N47+Model!N51+Model!N52-Model!N63+Model!N46</f>
        <v>211.517</v>
      </c>
      <c r="D11" s="40">
        <f>+Model!O47+Model!O51+Model!O52-Model!O63+Model!O46</f>
        <v>218.31900000000005</v>
      </c>
      <c r="E11" s="40">
        <f>+Model!P47+Model!P51+Model!P52-Model!P63+Model!P46</f>
        <v>232.86400000000003</v>
      </c>
      <c r="F11" s="40">
        <f>+Model!Q47+Model!Q51+Model!Q52-Model!Q63+Model!Q46</f>
        <v>243.251</v>
      </c>
      <c r="G11" s="40">
        <f>+Model!R47+Model!R51+Model!R52-Model!R63+Model!R46</f>
        <v>292.09100000000001</v>
      </c>
      <c r="H11" s="40">
        <f>+Model!S47+Model!S51+Model!S52-Model!S63+Model!S46</f>
        <v>245.88599999999994</v>
      </c>
      <c r="I11" s="40">
        <f>+Model!T47+Model!T51+Model!T52-Model!T63+Model!T46</f>
        <v>239.43799999999999</v>
      </c>
      <c r="J11" s="40">
        <f>+Model!U47+Model!U51+Model!U52-Model!U63+Model!U46</f>
        <v>250.75400000000002</v>
      </c>
      <c r="L11" s="41" t="s">
        <v>148</v>
      </c>
    </row>
    <row r="12" spans="1:12" x14ac:dyDescent="0.2">
      <c r="B12" s="2" t="s">
        <v>149</v>
      </c>
      <c r="C12" s="40">
        <f>+Model!N47+Model!N51+Model!N52-Model!N63</f>
        <v>201.58199999999999</v>
      </c>
      <c r="D12" s="40">
        <f>+Model!O47+Model!O51+Model!O52-Model!O63</f>
        <v>206.08500000000004</v>
      </c>
      <c r="E12" s="40">
        <f>+Model!P47+Model!P51+Model!P52-Model!P63</f>
        <v>221.53000000000003</v>
      </c>
      <c r="F12" s="40">
        <f>+Model!Q47+Model!Q51+Model!Q52-Model!Q63</f>
        <v>231.755</v>
      </c>
      <c r="G12" s="40">
        <f>+Model!R47+Model!R51+Model!R52-Model!R63</f>
        <v>282.459</v>
      </c>
      <c r="H12" s="40">
        <f>+Model!S47+Model!S51+Model!S52-Model!S63</f>
        <v>236.02499999999995</v>
      </c>
      <c r="I12" s="40">
        <f>+Model!T47+Model!T51+Model!T52-Model!T63</f>
        <v>231.066</v>
      </c>
      <c r="J12" s="40">
        <f>+Model!U47+Model!U51+Model!U52-Model!U63</f>
        <v>243.32400000000001</v>
      </c>
      <c r="L12" s="41"/>
    </row>
    <row r="13" spans="1:12" x14ac:dyDescent="0.2">
      <c r="B13" s="2" t="s">
        <v>150</v>
      </c>
      <c r="C13" s="40">
        <f>+C12+Model!N54+Model!N49+Model!N48+Model!N56</f>
        <v>214.81499999999997</v>
      </c>
      <c r="D13" s="40">
        <f>+D12+Model!O54+Model!O49+Model!O48+Model!O56</f>
        <v>223.70500000000001</v>
      </c>
      <c r="E13" s="40">
        <f>+E12+Model!P54+Model!P49+Model!P48+Model!P56</f>
        <v>239.56700000000001</v>
      </c>
      <c r="F13" s="40">
        <f>+F12+Model!Q54+Model!Q49+Model!Q48+Model!Q56</f>
        <v>240.6</v>
      </c>
      <c r="G13" s="40">
        <f>+G12+Model!R54+Model!R49+Model!R48+Model!R56</f>
        <v>285.77999999999997</v>
      </c>
      <c r="H13" s="40">
        <f>+H12+Model!S54+Model!S49+Model!S48+Model!S56</f>
        <v>304.16499999999996</v>
      </c>
      <c r="I13" s="40">
        <f>+I12+Model!T54+Model!T49+Model!T48+Model!T56</f>
        <v>342.35700000000003</v>
      </c>
      <c r="J13" s="40">
        <f>+J12+Model!U54+Model!U49+Model!U48+Model!U56</f>
        <v>360.87</v>
      </c>
      <c r="L13" s="41" t="s">
        <v>151</v>
      </c>
    </row>
    <row r="14" spans="1:12" x14ac:dyDescent="0.2">
      <c r="B14" s="2" t="s">
        <v>152</v>
      </c>
      <c r="C14" s="40">
        <f>+(Model!N24+Model!N22)*(1-Model!N43)</f>
        <v>31.710953323566436</v>
      </c>
      <c r="D14" s="40">
        <f>+(Model!O24+Model!O22)*(1-Model!O43)</f>
        <v>26.997761139069656</v>
      </c>
      <c r="E14" s="40">
        <f>+(Model!P24+Model!P22)*(1-Model!P43)</f>
        <v>38.000673789795144</v>
      </c>
      <c r="F14" s="40">
        <f>+(Model!Q24+Model!Q22)*(1-Model!Q43)</f>
        <v>42.787040540894623</v>
      </c>
      <c r="G14" s="40">
        <f>+(Model!R24+Model!R22)*(1-Model!R43)</f>
        <v>39.30694692144381</v>
      </c>
      <c r="H14" s="40">
        <f>+(Model!S24+Model!S22)*(1-Model!S43)</f>
        <v>49.094532778093217</v>
      </c>
      <c r="I14" s="40">
        <f>+(Model!T24+Model!T22)*(1-Model!T43)</f>
        <v>57.110400000000041</v>
      </c>
      <c r="J14" s="40">
        <f>+(Model!U24+Model!U22)*(1-Model!U43)</f>
        <v>50.884559999999958</v>
      </c>
      <c r="L14" s="2" t="s">
        <v>153</v>
      </c>
    </row>
    <row r="15" spans="1:12" x14ac:dyDescent="0.2">
      <c r="B15" s="2" t="s">
        <v>154</v>
      </c>
      <c r="D15" s="40">
        <f t="shared" ref="D15:G15" si="3">+D13-C13</f>
        <v>8.8900000000000432</v>
      </c>
      <c r="E15" s="40">
        <f t="shared" si="3"/>
        <v>15.861999999999995</v>
      </c>
      <c r="F15" s="40">
        <f t="shared" si="3"/>
        <v>1.032999999999987</v>
      </c>
      <c r="G15" s="40">
        <f t="shared" si="3"/>
        <v>45.179999999999978</v>
      </c>
      <c r="H15" s="40">
        <f>+H13-G13</f>
        <v>18.384999999999991</v>
      </c>
      <c r="I15" s="40">
        <f>+I13-H13</f>
        <v>38.192000000000064</v>
      </c>
      <c r="J15" s="40">
        <f>+J13-I13</f>
        <v>18.512999999999977</v>
      </c>
      <c r="L15" s="41" t="s">
        <v>155</v>
      </c>
    </row>
    <row r="16" spans="1:12" x14ac:dyDescent="0.2">
      <c r="B16" s="2" t="s">
        <v>156</v>
      </c>
      <c r="D16" s="40">
        <f t="shared" ref="D16:G16" si="4">+D14-D15</f>
        <v>18.107761139069613</v>
      </c>
      <c r="E16" s="40">
        <f t="shared" si="4"/>
        <v>22.138673789795149</v>
      </c>
      <c r="F16" s="40">
        <f t="shared" si="4"/>
        <v>41.754040540894636</v>
      </c>
      <c r="G16" s="40">
        <f t="shared" si="4"/>
        <v>-5.8730530785561683</v>
      </c>
      <c r="H16" s="40">
        <f>+H14-H15</f>
        <v>30.709532778093227</v>
      </c>
      <c r="I16" s="40">
        <f>+I14-I15</f>
        <v>18.918399999999977</v>
      </c>
      <c r="J16" s="40">
        <f>+J14-J15</f>
        <v>32.371559999999981</v>
      </c>
      <c r="L16" s="41" t="s">
        <v>157</v>
      </c>
    </row>
    <row r="17" spans="1:12" x14ac:dyDescent="0.2">
      <c r="B17" s="2" t="s">
        <v>158</v>
      </c>
      <c r="D17" s="23">
        <f t="shared" ref="D17:G17" si="5">+D15/D14</f>
        <v>0.32928656395640638</v>
      </c>
      <c r="E17" s="23">
        <f t="shared" si="5"/>
        <v>0.4174136513405623</v>
      </c>
      <c r="F17" s="23">
        <f t="shared" si="5"/>
        <v>2.4142824251017672E-2</v>
      </c>
      <c r="G17" s="23">
        <f t="shared" si="5"/>
        <v>1.1494151425775614</v>
      </c>
      <c r="H17" s="23">
        <f>+H15/H14</f>
        <v>0.37448161658040419</v>
      </c>
      <c r="I17" s="23">
        <f>+I15/I14</f>
        <v>0.66873984423152411</v>
      </c>
      <c r="J17" s="23">
        <f>+J15/J14</f>
        <v>0.36382352525009537</v>
      </c>
      <c r="L17" s="41" t="s">
        <v>159</v>
      </c>
    </row>
    <row r="18" spans="1:12" x14ac:dyDescent="0.2">
      <c r="B18" s="2" t="s">
        <v>160</v>
      </c>
      <c r="L18" s="41" t="s">
        <v>161</v>
      </c>
    </row>
    <row r="20" spans="1:12" x14ac:dyDescent="0.2">
      <c r="A20" s="26" t="s">
        <v>103</v>
      </c>
      <c r="B20" s="3" t="s">
        <v>162</v>
      </c>
    </row>
    <row r="21" spans="1:12" x14ac:dyDescent="0.2">
      <c r="B21" s="2" t="s">
        <v>163</v>
      </c>
      <c r="C21" s="40">
        <f>+Model!N16/Model!N57</f>
        <v>1.5497326756474668</v>
      </c>
      <c r="D21" s="40">
        <f>+Model!O16/Model!O57</f>
        <v>1.5753059865826806</v>
      </c>
      <c r="E21" s="40">
        <f>+Model!P16/Model!P57</f>
        <v>1.7921027160108873</v>
      </c>
      <c r="F21" s="40">
        <f>+Model!Q16/Model!Q57</f>
        <v>1.6190036022147631</v>
      </c>
      <c r="G21" s="40">
        <f>+Model!R16/Model!R57</f>
        <v>1.5128470398904832</v>
      </c>
      <c r="H21" s="40">
        <f>+Model!S16/Model!S57</f>
        <v>1.4756935630518158</v>
      </c>
      <c r="I21" s="40">
        <f>+Model!T16/Model!T57</f>
        <v>1.3852627008250109</v>
      </c>
      <c r="J21" s="40">
        <f>+Model!U16/Model!U57</f>
        <v>1.3628107122361282</v>
      </c>
      <c r="L21" s="41" t="s">
        <v>164</v>
      </c>
    </row>
    <row r="22" spans="1:12" x14ac:dyDescent="0.2">
      <c r="B22" s="2" t="s">
        <v>165</v>
      </c>
      <c r="C22" s="23">
        <f>+Model!N30/Model!N58</f>
        <v>0.1179244169577941</v>
      </c>
      <c r="D22" s="23">
        <f>+Model!O30/Model!O58</f>
        <v>7.355269075976828E-2</v>
      </c>
      <c r="E22" s="23">
        <f>+Model!P30/Model!P58</f>
        <v>0.14263537680327132</v>
      </c>
      <c r="F22" s="23">
        <f>+Model!Q30/Model!Q58</f>
        <v>0.14832503664872626</v>
      </c>
      <c r="G22" s="23">
        <f>+Model!R30/Model!R58</f>
        <v>0.1184088085552121</v>
      </c>
      <c r="H22" s="23">
        <f>+Model!S30/Model!S58</f>
        <v>0.14665472180826766</v>
      </c>
      <c r="I22" s="23">
        <f>+Model!T30/Model!T58</f>
        <v>0.16278615427047924</v>
      </c>
      <c r="J22" s="23">
        <f>+Model!U30/Model!U58</f>
        <v>0.13115747186294388</v>
      </c>
      <c r="L22" s="41" t="s">
        <v>166</v>
      </c>
    </row>
    <row r="23" spans="1:12" x14ac:dyDescent="0.2">
      <c r="B23" s="2" t="s">
        <v>167</v>
      </c>
      <c r="C23" s="23">
        <f>+Model!N24/Ratios!C10</f>
        <v>0.22108470534551128</v>
      </c>
      <c r="D23" s="23">
        <f>+Model!O24/Ratios!D10</f>
        <v>0.11202408971341583</v>
      </c>
      <c r="E23" s="23">
        <f>+Model!P24/Ratios!E10</f>
        <v>0.24716248008904176</v>
      </c>
      <c r="F23" s="23">
        <f>+Model!Q24/Ratios!F10</f>
        <v>0.29210777409241639</v>
      </c>
      <c r="G23" s="23">
        <f>+Model!R24/Ratios!G10</f>
        <v>0.25792473833235008</v>
      </c>
      <c r="H23" s="23">
        <f>+Model!S24/Ratios!H10</f>
        <v>0.43194968553459084</v>
      </c>
      <c r="I23" s="23">
        <f>+Model!T24/Ratios!I10</f>
        <v>0.56670001346697774</v>
      </c>
      <c r="J23" s="23">
        <f>+Model!U24/Ratios!J10</f>
        <v>0.5439794769657077</v>
      </c>
      <c r="L23" s="41" t="s">
        <v>168</v>
      </c>
    </row>
    <row r="24" spans="1:12" x14ac:dyDescent="0.2">
      <c r="B24" s="2" t="s">
        <v>169</v>
      </c>
      <c r="C24" s="23">
        <f t="shared" ref="C24:G24" si="6">+C14/C11</f>
        <v>0.14992153502350372</v>
      </c>
      <c r="D24" s="23">
        <f t="shared" si="6"/>
        <v>0.12366198608032122</v>
      </c>
      <c r="E24" s="23">
        <f t="shared" si="6"/>
        <v>0.1631882720806786</v>
      </c>
      <c r="F24" s="23">
        <f t="shared" si="6"/>
        <v>0.17589666862991157</v>
      </c>
      <c r="G24" s="23">
        <f t="shared" si="6"/>
        <v>0.13457089373326742</v>
      </c>
      <c r="H24" s="23">
        <f>+H14/H11</f>
        <v>0.19966379858183561</v>
      </c>
      <c r="I24" s="23">
        <f>+I14/I11</f>
        <v>0.23851853089317504</v>
      </c>
      <c r="J24" s="23">
        <f>+J14/J11</f>
        <v>0.20292621453695636</v>
      </c>
      <c r="L24" s="41" t="s">
        <v>170</v>
      </c>
    </row>
    <row r="25" spans="1:12" x14ac:dyDescent="0.2">
      <c r="B25" s="2" t="s">
        <v>171</v>
      </c>
      <c r="C25" s="23">
        <f t="shared" ref="C25:G25" si="7">+C14/C12</f>
        <v>0.15731044102929051</v>
      </c>
      <c r="D25" s="23">
        <f t="shared" si="7"/>
        <v>0.13100303825639736</v>
      </c>
      <c r="E25" s="23">
        <f t="shared" si="7"/>
        <v>0.17153737096463295</v>
      </c>
      <c r="F25" s="23">
        <f t="shared" si="7"/>
        <v>0.18462186593987023</v>
      </c>
      <c r="G25" s="23">
        <f t="shared" si="7"/>
        <v>0.13915983176830551</v>
      </c>
      <c r="H25" s="23">
        <f>+H14/H12</f>
        <v>0.20800564676662739</v>
      </c>
      <c r="I25" s="23">
        <f>+I14/I12</f>
        <v>0.24716055153073166</v>
      </c>
      <c r="J25" s="23">
        <f>+J14/J12</f>
        <v>0.20912265127977492</v>
      </c>
      <c r="L25" s="41" t="s">
        <v>172</v>
      </c>
    </row>
    <row r="26" spans="1:12" x14ac:dyDescent="0.2">
      <c r="B26" s="2" t="s">
        <v>173</v>
      </c>
      <c r="L26" s="41" t="s">
        <v>174</v>
      </c>
    </row>
    <row r="28" spans="1:12" x14ac:dyDescent="0.2">
      <c r="B28" s="2" t="s">
        <v>175</v>
      </c>
      <c r="L28" s="41" t="s">
        <v>176</v>
      </c>
    </row>
    <row r="29" spans="1:12" x14ac:dyDescent="0.2">
      <c r="B29" s="2" t="s">
        <v>177</v>
      </c>
      <c r="L29" s="41" t="s">
        <v>178</v>
      </c>
    </row>
    <row r="30" spans="1:12" x14ac:dyDescent="0.2">
      <c r="B30" s="2" t="s">
        <v>179</v>
      </c>
      <c r="L30" s="41" t="s">
        <v>180</v>
      </c>
    </row>
    <row r="31" spans="1:12" x14ac:dyDescent="0.2">
      <c r="B31" s="2" t="s">
        <v>181</v>
      </c>
      <c r="L31" s="41" t="s">
        <v>182</v>
      </c>
    </row>
    <row r="33" spans="1:12" x14ac:dyDescent="0.2">
      <c r="A33" s="26" t="s">
        <v>103</v>
      </c>
      <c r="B33" s="3" t="s">
        <v>183</v>
      </c>
    </row>
    <row r="34" spans="1:12" x14ac:dyDescent="0.2">
      <c r="B34" s="2" t="s">
        <v>184</v>
      </c>
      <c r="L34" s="41" t="s">
        <v>185</v>
      </c>
    </row>
    <row r="35" spans="1:12" x14ac:dyDescent="0.2">
      <c r="B35" s="2" t="s">
        <v>186</v>
      </c>
      <c r="L35" s="41" t="s">
        <v>187</v>
      </c>
    </row>
    <row r="36" spans="1:12" x14ac:dyDescent="0.2">
      <c r="B36" s="2" t="s">
        <v>188</v>
      </c>
      <c r="L36" s="41" t="s">
        <v>189</v>
      </c>
    </row>
    <row r="37" spans="1:12" x14ac:dyDescent="0.2">
      <c r="B37" s="2" t="s">
        <v>190</v>
      </c>
      <c r="C37" s="23"/>
      <c r="D37" s="23"/>
      <c r="E37" s="23"/>
      <c r="F37" s="23"/>
      <c r="G37" s="23"/>
      <c r="I37" s="15"/>
      <c r="J37" s="15"/>
      <c r="L37" s="41" t="s">
        <v>191</v>
      </c>
    </row>
    <row r="38" spans="1:12" x14ac:dyDescent="0.2">
      <c r="B38" s="2" t="s">
        <v>192</v>
      </c>
      <c r="C38" s="5"/>
      <c r="D38" s="42"/>
      <c r="E38" s="5"/>
      <c r="F38" s="5"/>
      <c r="G38" s="5"/>
      <c r="I38" s="15"/>
      <c r="J38" s="15"/>
      <c r="L38" s="41" t="s">
        <v>193</v>
      </c>
    </row>
    <row r="40" spans="1:12" x14ac:dyDescent="0.2">
      <c r="A40" s="26" t="s">
        <v>103</v>
      </c>
      <c r="B40" s="3" t="s">
        <v>194</v>
      </c>
    </row>
    <row r="41" spans="1:12" x14ac:dyDescent="0.2">
      <c r="B41" s="2" t="s">
        <v>195</v>
      </c>
      <c r="C41" s="40">
        <f>+Model!N52/Model!N16*360</f>
        <v>58.105104421108855</v>
      </c>
      <c r="D41" s="40">
        <f>+Model!O52/Model!O16*360</f>
        <v>51.658306832371771</v>
      </c>
      <c r="E41" s="40">
        <f>+Model!P52/Model!P16*360</f>
        <v>45.248835974328905</v>
      </c>
      <c r="F41" s="40">
        <f>+Model!Q52/Model!Q16*360</f>
        <v>45.530490268417552</v>
      </c>
      <c r="G41" s="40">
        <f>+Model!R52/Model!R16*360</f>
        <v>50.153951892408095</v>
      </c>
      <c r="H41" s="40">
        <f>+Model!S52/Model!S16*360</f>
        <v>46.003190091949705</v>
      </c>
      <c r="I41" s="40">
        <f>+Model!T52/Model!T16*360</f>
        <v>47.799928532470702</v>
      </c>
      <c r="J41" s="40">
        <f>+Model!U52/Model!U16*360</f>
        <v>48.403343589472705</v>
      </c>
      <c r="L41" s="41" t="s">
        <v>196</v>
      </c>
    </row>
    <row r="42" spans="1:12" x14ac:dyDescent="0.2">
      <c r="B42" s="2" t="s">
        <v>197</v>
      </c>
      <c r="C42" s="40">
        <f>+Model!N63/Model!N16*360</f>
        <v>65.489118055937354</v>
      </c>
      <c r="D42" s="40">
        <f>+Model!O63/Model!O16*360</f>
        <v>57.898829113258387</v>
      </c>
      <c r="E42" s="40">
        <f>+Model!P63/Model!P16*360</f>
        <v>33.188569440089601</v>
      </c>
      <c r="F42" s="40">
        <f>+Model!Q63/Model!Q16*360</f>
        <v>44.312966022446851</v>
      </c>
      <c r="G42" s="40">
        <f>+Model!R63/Model!R16*360</f>
        <v>48.523287921986203</v>
      </c>
      <c r="H42" s="40">
        <f>+Model!S63/Model!S16*360</f>
        <v>59.777068868455615</v>
      </c>
      <c r="I42" s="40">
        <f>+Model!T63/Model!T16*360</f>
        <v>58.181527524402398</v>
      </c>
      <c r="J42" s="40">
        <f>+Model!U63/Model!U16*360</f>
        <v>65.672745520091908</v>
      </c>
      <c r="L42" s="41" t="s">
        <v>198</v>
      </c>
    </row>
    <row r="43" spans="1:12" x14ac:dyDescent="0.2">
      <c r="B43" s="2" t="s">
        <v>199</v>
      </c>
      <c r="C43" s="23">
        <f>+Model!N51/Model!N57</f>
        <v>0.27102155331120087</v>
      </c>
      <c r="D43" s="23">
        <f>+Model!O51/Model!O57</f>
        <v>0.26728903268174686</v>
      </c>
      <c r="E43" s="23">
        <f>+Model!P51/Model!P57</f>
        <v>0.28942633120911526</v>
      </c>
      <c r="F43" s="23">
        <f>+Model!Q51/Model!Q57</f>
        <v>0.36859286374538203</v>
      </c>
      <c r="G43" s="23">
        <f>+Model!R51/Model!R57</f>
        <v>0.43820488905957317</v>
      </c>
      <c r="H43" s="23">
        <f>+Model!S51/Model!S57</f>
        <v>0.34096394995177015</v>
      </c>
      <c r="I43" s="23">
        <f>+Model!T51/Model!T57</f>
        <v>0.30887537993920972</v>
      </c>
      <c r="J43" s="23">
        <f>+Model!U51/Model!U57</f>
        <v>0.3316869992261563</v>
      </c>
      <c r="L43" s="41" t="s">
        <v>200</v>
      </c>
    </row>
    <row r="44" spans="1:12" x14ac:dyDescent="0.2">
      <c r="B44" s="2" t="s">
        <v>201</v>
      </c>
      <c r="C44" s="40">
        <f>+Model!N19/Model!N51</f>
        <v>3.3713916802335375</v>
      </c>
      <c r="D44" s="40">
        <f>+Model!O19/Model!O51</f>
        <v>3.6857622648739419</v>
      </c>
      <c r="E44" s="40">
        <f>+Model!P19/Model!P51</f>
        <v>3.7269829869371995</v>
      </c>
      <c r="F44" s="40">
        <f>+Model!Q19/Model!Q51</f>
        <v>2.5814823454918105</v>
      </c>
      <c r="G44" s="40">
        <f>+Model!R19/Model!R51</f>
        <v>2.0634520338871898</v>
      </c>
      <c r="H44" s="40">
        <f>+Model!S19/Model!S51</f>
        <v>2.4775978992108505</v>
      </c>
      <c r="I44" s="40">
        <f>+Model!T19/Model!T51</f>
        <v>2.3209998031883488</v>
      </c>
      <c r="J44" s="40">
        <f>+Model!U19/Model!U51</f>
        <v>2.1742917945224471</v>
      </c>
      <c r="L44" s="41" t="s">
        <v>202</v>
      </c>
    </row>
    <row r="45" spans="1:12" x14ac:dyDescent="0.2">
      <c r="B45" s="2" t="s">
        <v>203</v>
      </c>
      <c r="C45" s="40">
        <f t="shared" ref="C45:G45" si="8">360/C44</f>
        <v>106.78082944520486</v>
      </c>
      <c r="D45" s="40">
        <f t="shared" si="8"/>
        <v>97.673147134548699</v>
      </c>
      <c r="E45" s="40">
        <f t="shared" si="8"/>
        <v>96.592874521234322</v>
      </c>
      <c r="F45" s="40">
        <f t="shared" si="8"/>
        <v>139.45475963788343</v>
      </c>
      <c r="G45" s="40">
        <f t="shared" si="8"/>
        <v>174.46492290001126</v>
      </c>
      <c r="H45" s="40">
        <f>360/H44</f>
        <v>145.30202827289489</v>
      </c>
      <c r="I45" s="40">
        <f>360/I44</f>
        <v>155.10557110150089</v>
      </c>
      <c r="J45" s="40">
        <f>360/J44</f>
        <v>165.57115328629061</v>
      </c>
      <c r="L45" s="41" t="s">
        <v>204</v>
      </c>
    </row>
    <row r="46" spans="1:12" x14ac:dyDescent="0.2">
      <c r="B46" s="2" t="s">
        <v>205</v>
      </c>
      <c r="C46" s="40">
        <f t="shared" ref="C46:G46" si="9">+C41+C45-C42</f>
        <v>99.396815810376353</v>
      </c>
      <c r="D46" s="40">
        <f t="shared" si="9"/>
        <v>91.432624853662077</v>
      </c>
      <c r="E46" s="40">
        <f t="shared" si="9"/>
        <v>108.65314105547364</v>
      </c>
      <c r="F46" s="40">
        <f t="shared" si="9"/>
        <v>140.67228388385411</v>
      </c>
      <c r="G46" s="40">
        <f t="shared" si="9"/>
        <v>176.09558687043315</v>
      </c>
      <c r="H46" s="40">
        <f>+H41+H45-H42</f>
        <v>131.52814949638898</v>
      </c>
      <c r="I46" s="40">
        <f>+I41+I45-I42</f>
        <v>144.72397210956922</v>
      </c>
      <c r="J46" s="40">
        <f>+J41+J45-J42</f>
        <v>148.3017513556714</v>
      </c>
      <c r="L46" s="41" t="s">
        <v>206</v>
      </c>
    </row>
    <row r="48" spans="1:12" x14ac:dyDescent="0.2">
      <c r="A48" s="26" t="s">
        <v>103</v>
      </c>
      <c r="B48" s="3" t="s">
        <v>207</v>
      </c>
    </row>
    <row r="49" spans="2:12" x14ac:dyDescent="0.2">
      <c r="B49" s="3" t="s">
        <v>208</v>
      </c>
      <c r="C49" s="44"/>
      <c r="D49" s="44"/>
      <c r="E49" s="44"/>
      <c r="F49" s="44"/>
      <c r="G49" s="44"/>
    </row>
    <row r="50" spans="2:12" x14ac:dyDescent="0.2">
      <c r="B50" s="2" t="s">
        <v>209</v>
      </c>
      <c r="C50" s="40">
        <f>+C5/Model!N30</f>
        <v>26.422834409247919</v>
      </c>
      <c r="D50" s="40">
        <f>+D5/Model!O30</f>
        <v>32.409363087674578</v>
      </c>
      <c r="E50" s="40">
        <f>+E5/Model!P30</f>
        <v>15.074210652208521</v>
      </c>
      <c r="F50" s="40">
        <f>+F5/Model!Q30</f>
        <v>17.702283998044308</v>
      </c>
      <c r="G50" s="40">
        <f>+G5/Model!R30</f>
        <v>22.762327188940038</v>
      </c>
      <c r="H50" s="40">
        <f>+H5/Model!S30</f>
        <v>11.845215859030848</v>
      </c>
      <c r="I50" s="40">
        <f>+I5/Model!T30</f>
        <v>11.94348866925519</v>
      </c>
      <c r="J50" s="40">
        <f>+J5/Model!U30</f>
        <v>17.480939145936343</v>
      </c>
      <c r="L50" s="41" t="s">
        <v>210</v>
      </c>
    </row>
    <row r="51" spans="2:12" x14ac:dyDescent="0.2">
      <c r="B51" s="2" t="s">
        <v>211</v>
      </c>
      <c r="C51" s="40">
        <f>+C50/((Model!S16/Model!R16-1)*100)</f>
        <v>2.5331284342175118</v>
      </c>
      <c r="D51" s="40">
        <f>+D50/((Model!T16/Model!S16-1)*100)</f>
        <v>-145.13403016320663</v>
      </c>
      <c r="E51" s="40">
        <f>+E50/((Model!U16/Model!T16-1)*100)</f>
        <v>2.2115219827235437</v>
      </c>
      <c r="F51" s="40">
        <f>+F50/((Model!V16/Model!U16-1)*100)</f>
        <v>1.4885828149973144</v>
      </c>
      <c r="G51" s="40">
        <f>+G50/((Model!W16/Model!V16-1)*100)</f>
        <v>5.2474633211849362</v>
      </c>
      <c r="H51" s="40">
        <f>+H50/((Model!X16/Model!W16-1)*100)</f>
        <v>2.7286437223490032</v>
      </c>
      <c r="I51" s="40">
        <f>+I50/((Model!Y16/Model!X16-1)*100)</f>
        <v>2.7491977220784567</v>
      </c>
      <c r="J51" s="40">
        <f>+J50/((Model!Z16/Model!Y16-1)*100)</f>
        <v>-0.17480939145936344</v>
      </c>
      <c r="L51" s="41" t="s">
        <v>212</v>
      </c>
    </row>
    <row r="52" spans="2:12" x14ac:dyDescent="0.2">
      <c r="B52" s="2" t="s">
        <v>213</v>
      </c>
      <c r="C52" s="43">
        <f>+C5/Model!N58</f>
        <v>3.1158973420829006</v>
      </c>
      <c r="D52" s="43">
        <f>+D5/Model!O58</f>
        <v>2.3837958609087773</v>
      </c>
      <c r="E52" s="43">
        <f>+E5/Model!P58</f>
        <v>2.1501157163896485</v>
      </c>
      <c r="F52" s="43">
        <f>+F5/Model!Q58</f>
        <v>2.6256919227760829</v>
      </c>
      <c r="G52" s="43">
        <f>+G5/Model!R58</f>
        <v>2.6952600423863</v>
      </c>
      <c r="H52" s="43">
        <f>+H5/Model!S58</f>
        <v>1.7371568365650494</v>
      </c>
      <c r="I52" s="43">
        <f>+I5/Model!T58</f>
        <v>1.9442345890410961</v>
      </c>
      <c r="J52" s="43">
        <f>+J5/Model!U58</f>
        <v>2.2927557841709798</v>
      </c>
      <c r="L52" s="41" t="s">
        <v>214</v>
      </c>
    </row>
    <row r="53" spans="2:12" x14ac:dyDescent="0.2">
      <c r="B53" s="2" t="s">
        <v>215</v>
      </c>
      <c r="C53" s="43"/>
      <c r="D53" s="43"/>
      <c r="E53" s="43"/>
      <c r="F53" s="43"/>
      <c r="G53" s="43"/>
      <c r="I53" s="43"/>
      <c r="J53" s="43"/>
      <c r="L53" s="41" t="s">
        <v>216</v>
      </c>
    </row>
    <row r="54" spans="2:12" x14ac:dyDescent="0.2">
      <c r="B54" s="2" t="s">
        <v>217</v>
      </c>
      <c r="C54" s="43"/>
      <c r="D54" s="43"/>
      <c r="E54" s="43"/>
      <c r="F54" s="43"/>
      <c r="G54" s="43"/>
      <c r="I54" s="43"/>
      <c r="J54" s="43"/>
      <c r="L54" s="41" t="s">
        <v>218</v>
      </c>
    </row>
    <row r="55" spans="2:12" x14ac:dyDescent="0.2">
      <c r="B55" s="2" t="s">
        <v>219</v>
      </c>
      <c r="C55" s="43"/>
      <c r="D55" s="43"/>
      <c r="E55" s="43"/>
      <c r="F55" s="43"/>
      <c r="G55" s="43"/>
      <c r="I55" s="43"/>
      <c r="J55" s="43"/>
      <c r="L55" s="41" t="s">
        <v>220</v>
      </c>
    </row>
    <row r="56" spans="2:12" x14ac:dyDescent="0.2">
      <c r="B56" s="3" t="s">
        <v>221</v>
      </c>
      <c r="I56" s="43"/>
      <c r="J56" s="43"/>
    </row>
    <row r="57" spans="2:12" x14ac:dyDescent="0.2">
      <c r="B57" s="2" t="s">
        <v>222</v>
      </c>
      <c r="C57" s="43"/>
      <c r="D57" s="43"/>
      <c r="E57" s="43"/>
      <c r="F57" s="43"/>
      <c r="G57" s="43"/>
      <c r="I57" s="43"/>
      <c r="J57" s="43"/>
      <c r="L57" s="41" t="s">
        <v>223</v>
      </c>
    </row>
    <row r="58" spans="2:12" x14ac:dyDescent="0.2">
      <c r="B58" s="2" t="s">
        <v>224</v>
      </c>
      <c r="C58" s="43"/>
      <c r="D58" s="43"/>
      <c r="E58" s="43"/>
      <c r="F58" s="43"/>
      <c r="G58" s="43"/>
      <c r="I58" s="43"/>
      <c r="J58" s="43"/>
      <c r="L58" s="41" t="s">
        <v>225</v>
      </c>
    </row>
    <row r="59" spans="2:12" x14ac:dyDescent="0.2">
      <c r="B59" s="2" t="s">
        <v>226</v>
      </c>
      <c r="C59" s="43"/>
      <c r="D59" s="43"/>
      <c r="E59" s="43"/>
      <c r="F59" s="43"/>
      <c r="G59" s="43"/>
      <c r="I59" s="43"/>
      <c r="J59" s="43"/>
      <c r="L59" s="41" t="s">
        <v>227</v>
      </c>
    </row>
    <row r="60" spans="2:12" x14ac:dyDescent="0.2">
      <c r="B60" s="2" t="s">
        <v>228</v>
      </c>
      <c r="C60" s="43"/>
      <c r="D60" s="43"/>
      <c r="E60" s="43"/>
      <c r="F60" s="43"/>
      <c r="G60" s="43"/>
      <c r="I60" s="43"/>
      <c r="J60" s="43"/>
      <c r="L60" s="41" t="s">
        <v>229</v>
      </c>
    </row>
  </sheetData>
  <hyperlinks>
    <hyperlink ref="A1" location="Main!A1" display="Main" xr:uid="{F7E6CA0A-8078-48EB-A91D-6FFEA57CA04F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17C7-A73A-47CF-A62F-918BBB7B228C}">
  <dimension ref="A1:AD75"/>
  <sheetViews>
    <sheetView showGridLines="0" topLeftCell="D1" zoomScale="200" zoomScaleNormal="200" workbookViewId="0">
      <selection activeCell="L6" sqref="L6"/>
    </sheetView>
  </sheetViews>
  <sheetFormatPr defaultRowHeight="12.75" x14ac:dyDescent="0.2"/>
  <cols>
    <col min="1" max="1" width="4.28515625" style="2" customWidth="1"/>
    <col min="2" max="16384" width="9.140625" style="2"/>
  </cols>
  <sheetData>
    <row r="1" spans="1:30" x14ac:dyDescent="0.2">
      <c r="A1" s="45" t="s">
        <v>13</v>
      </c>
      <c r="B1" s="46" t="s">
        <v>267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2">
      <c r="B2" s="2" t="s">
        <v>268</v>
      </c>
      <c r="E2" s="47" t="s">
        <v>311</v>
      </c>
      <c r="G2" s="2" t="s">
        <v>269</v>
      </c>
      <c r="J2" s="47">
        <f>+Main!H2</f>
        <v>101.5</v>
      </c>
      <c r="L2" s="2" t="s">
        <v>269</v>
      </c>
      <c r="O2" s="47">
        <f>+Main!H2</f>
        <v>101.5</v>
      </c>
    </row>
    <row r="3" spans="1:30" x14ac:dyDescent="0.2">
      <c r="B3" s="2" t="s">
        <v>270</v>
      </c>
      <c r="E3" s="48">
        <v>45838</v>
      </c>
      <c r="G3" s="2" t="s">
        <v>271</v>
      </c>
      <c r="J3" s="49">
        <f ca="1">V61</f>
        <v>97.40723155701005</v>
      </c>
      <c r="L3" s="2" t="s">
        <v>329</v>
      </c>
      <c r="O3" s="50">
        <f>+J14+O14+T14</f>
        <v>97.911000000000001</v>
      </c>
    </row>
    <row r="4" spans="1:30" x14ac:dyDescent="0.2">
      <c r="B4" s="2" t="s">
        <v>272</v>
      </c>
      <c r="E4" s="51">
        <v>46022</v>
      </c>
      <c r="G4" s="2" t="s">
        <v>273</v>
      </c>
      <c r="J4" s="52">
        <f ca="1">J3/J2-1</f>
        <v>-4.0322841802856613E-2</v>
      </c>
      <c r="L4" s="2" t="s">
        <v>273</v>
      </c>
      <c r="O4" s="52">
        <f>O3/O2-1</f>
        <v>-3.5359605911330028E-2</v>
      </c>
    </row>
    <row r="6" spans="1:30" x14ac:dyDescent="0.2">
      <c r="A6" s="53" t="s">
        <v>103</v>
      </c>
      <c r="B6" s="54" t="s">
        <v>274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</row>
    <row r="7" spans="1:30" x14ac:dyDescent="0.2">
      <c r="A7" s="53"/>
    </row>
    <row r="8" spans="1:30" x14ac:dyDescent="0.2">
      <c r="A8" s="53"/>
      <c r="B8" s="55" t="s">
        <v>275</v>
      </c>
      <c r="C8" s="56"/>
      <c r="D8" s="56"/>
      <c r="E8" s="56"/>
      <c r="G8" s="55" t="s">
        <v>276</v>
      </c>
      <c r="H8" s="55"/>
      <c r="I8" s="56"/>
      <c r="J8" s="56"/>
      <c r="L8" s="55" t="s">
        <v>277</v>
      </c>
      <c r="M8" s="56"/>
      <c r="N8" s="56"/>
      <c r="O8" s="56"/>
      <c r="Q8" s="55" t="s">
        <v>278</v>
      </c>
      <c r="R8" s="56"/>
      <c r="S8" s="56"/>
      <c r="T8" s="56"/>
    </row>
    <row r="9" spans="1:30" x14ac:dyDescent="0.2">
      <c r="A9" s="53"/>
      <c r="B9" s="57" t="s">
        <v>279</v>
      </c>
      <c r="G9" s="57" t="s">
        <v>279</v>
      </c>
      <c r="H9" s="57"/>
      <c r="I9" s="57" t="s">
        <v>280</v>
      </c>
      <c r="J9" s="57" t="s">
        <v>281</v>
      </c>
      <c r="L9" s="57" t="s">
        <v>279</v>
      </c>
      <c r="N9" s="57" t="s">
        <v>280</v>
      </c>
      <c r="O9" s="57" t="s">
        <v>281</v>
      </c>
      <c r="Q9" s="57" t="s">
        <v>279</v>
      </c>
      <c r="S9" s="57" t="s">
        <v>280</v>
      </c>
      <c r="T9" s="57" t="s">
        <v>281</v>
      </c>
    </row>
    <row r="10" spans="1:30" x14ac:dyDescent="0.2">
      <c r="B10" s="2" t="s">
        <v>41</v>
      </c>
      <c r="E10" s="58">
        <v>2</v>
      </c>
      <c r="G10" s="2" t="s">
        <v>282</v>
      </c>
      <c r="K10" s="1"/>
      <c r="L10" s="2" t="s">
        <v>282</v>
      </c>
      <c r="Q10" s="2" t="s">
        <v>282</v>
      </c>
    </row>
    <row r="11" spans="1:30" x14ac:dyDescent="0.2">
      <c r="B11" s="2" t="s">
        <v>283</v>
      </c>
      <c r="E11" s="58">
        <v>2</v>
      </c>
      <c r="G11" s="2" t="s">
        <v>283</v>
      </c>
      <c r="L11" s="2" t="s">
        <v>283</v>
      </c>
      <c r="Q11" s="2" t="s">
        <v>283</v>
      </c>
    </row>
    <row r="12" spans="1:30" x14ac:dyDescent="0.2">
      <c r="B12" s="2" t="s">
        <v>264</v>
      </c>
      <c r="E12" s="58">
        <v>2</v>
      </c>
      <c r="G12" s="2" t="s">
        <v>328</v>
      </c>
      <c r="J12" s="49">
        <v>50.32</v>
      </c>
      <c r="L12" s="2" t="s">
        <v>328</v>
      </c>
      <c r="O12" s="49">
        <v>95.29</v>
      </c>
      <c r="Q12" s="2" t="s">
        <v>328</v>
      </c>
      <c r="T12" s="49">
        <v>211.44</v>
      </c>
    </row>
    <row r="13" spans="1:30" x14ac:dyDescent="0.2">
      <c r="B13" s="2" t="s">
        <v>284</v>
      </c>
      <c r="E13" s="58">
        <v>2</v>
      </c>
      <c r="G13" s="2" t="s">
        <v>285</v>
      </c>
      <c r="J13" s="59">
        <v>0.2</v>
      </c>
      <c r="L13" s="2" t="s">
        <v>285</v>
      </c>
      <c r="O13" s="59">
        <v>0.7</v>
      </c>
      <c r="Q13" s="2" t="s">
        <v>285</v>
      </c>
      <c r="T13" s="59">
        <v>0.1</v>
      </c>
    </row>
    <row r="14" spans="1:30" x14ac:dyDescent="0.2">
      <c r="B14" s="2" t="s">
        <v>286</v>
      </c>
      <c r="E14" s="58">
        <v>2</v>
      </c>
      <c r="G14" s="2" t="s">
        <v>287</v>
      </c>
      <c r="J14" s="60">
        <f>+J12*J13</f>
        <v>10.064</v>
      </c>
      <c r="L14" s="2" t="s">
        <v>287</v>
      </c>
      <c r="O14" s="60">
        <f>+O12*O13</f>
        <v>66.703000000000003</v>
      </c>
      <c r="Q14" s="2" t="s">
        <v>287</v>
      </c>
      <c r="T14" s="60">
        <f>+T12*T13</f>
        <v>21.144000000000002</v>
      </c>
    </row>
    <row r="16" spans="1:30" x14ac:dyDescent="0.2">
      <c r="B16" s="57" t="s">
        <v>288</v>
      </c>
    </row>
    <row r="17" spans="1:22" x14ac:dyDescent="0.2">
      <c r="B17" s="2" t="s">
        <v>264</v>
      </c>
      <c r="E17" s="59">
        <f>CHOOSE(E12,J17,O17,T17)</f>
        <v>0.08</v>
      </c>
      <c r="G17" s="2" t="s">
        <v>264</v>
      </c>
      <c r="J17" s="59">
        <v>0.09</v>
      </c>
      <c r="L17" s="2" t="s">
        <v>264</v>
      </c>
      <c r="O17" s="59">
        <v>0.08</v>
      </c>
      <c r="Q17" s="2" t="s">
        <v>264</v>
      </c>
      <c r="T17" s="59">
        <v>7.0000000000000007E-2</v>
      </c>
    </row>
    <row r="18" spans="1:22" x14ac:dyDescent="0.2">
      <c r="B18" s="2" t="s">
        <v>284</v>
      </c>
      <c r="E18" s="59">
        <f t="shared" ref="E18:E19" si="0">CHOOSE(E13,J18,O18,T18)</f>
        <v>0.03</v>
      </c>
      <c r="G18" s="2" t="s">
        <v>284</v>
      </c>
      <c r="J18" s="59">
        <v>7.0000000000000001E-3</v>
      </c>
      <c r="L18" s="2" t="s">
        <v>284</v>
      </c>
      <c r="O18" s="59">
        <v>0.03</v>
      </c>
      <c r="Q18" s="2" t="s">
        <v>284</v>
      </c>
      <c r="T18" s="59">
        <v>3.5000000000000003E-2</v>
      </c>
    </row>
    <row r="19" spans="1:22" x14ac:dyDescent="0.2">
      <c r="B19" s="2" t="s">
        <v>327</v>
      </c>
      <c r="E19" s="59">
        <f t="shared" si="0"/>
        <v>0.09</v>
      </c>
      <c r="G19" s="2" t="s">
        <v>327</v>
      </c>
      <c r="J19" s="59">
        <v>0.09</v>
      </c>
      <c r="L19" s="2" t="s">
        <v>327</v>
      </c>
      <c r="O19" s="59">
        <v>0.09</v>
      </c>
      <c r="Q19" s="2" t="s">
        <v>327</v>
      </c>
      <c r="T19" s="59">
        <v>0.1</v>
      </c>
    </row>
    <row r="21" spans="1:22" x14ac:dyDescent="0.2">
      <c r="E21" s="15"/>
    </row>
    <row r="23" spans="1:22" x14ac:dyDescent="0.2">
      <c r="A23" s="53" t="s">
        <v>103</v>
      </c>
      <c r="B23" s="54" t="s">
        <v>289</v>
      </c>
      <c r="C23" s="54"/>
      <c r="D23" s="54"/>
      <c r="E23" s="54"/>
      <c r="F23" s="54"/>
      <c r="G23" s="61">
        <v>18</v>
      </c>
      <c r="H23" s="61">
        <f>G23+1</f>
        <v>19</v>
      </c>
      <c r="I23" s="61">
        <f t="shared" ref="I23:V23" si="1">H23+1</f>
        <v>20</v>
      </c>
      <c r="J23" s="61">
        <f t="shared" si="1"/>
        <v>21</v>
      </c>
      <c r="K23" s="61">
        <f t="shared" si="1"/>
        <v>22</v>
      </c>
      <c r="L23" s="61">
        <f t="shared" si="1"/>
        <v>23</v>
      </c>
      <c r="M23" s="61">
        <f t="shared" si="1"/>
        <v>24</v>
      </c>
      <c r="N23" s="61">
        <f t="shared" si="1"/>
        <v>25</v>
      </c>
      <c r="O23" s="61">
        <f t="shared" si="1"/>
        <v>26</v>
      </c>
      <c r="P23" s="61">
        <f t="shared" si="1"/>
        <v>27</v>
      </c>
      <c r="Q23" s="61">
        <f t="shared" si="1"/>
        <v>28</v>
      </c>
      <c r="R23" s="61">
        <f t="shared" si="1"/>
        <v>29</v>
      </c>
      <c r="S23" s="61">
        <f t="shared" si="1"/>
        <v>30</v>
      </c>
      <c r="T23" s="61">
        <f t="shared" si="1"/>
        <v>31</v>
      </c>
      <c r="U23" s="61">
        <f t="shared" si="1"/>
        <v>32</v>
      </c>
      <c r="V23" s="61">
        <f t="shared" si="1"/>
        <v>33</v>
      </c>
    </row>
    <row r="24" spans="1:22" x14ac:dyDescent="0.2">
      <c r="B24" s="2" t="s">
        <v>282</v>
      </c>
      <c r="G24" s="38">
        <f>+Model!N16</f>
        <v>509.28399999999999</v>
      </c>
      <c r="H24" s="38">
        <f>+Model!O16</f>
        <v>522.93700000000001</v>
      </c>
      <c r="I24" s="38">
        <f>+Model!P16</f>
        <v>551.74900000000002</v>
      </c>
      <c r="J24" s="38">
        <f>+Model!Q16</f>
        <v>527.20100000000002</v>
      </c>
      <c r="K24" s="38">
        <f>+Model!R16</f>
        <v>579.077</v>
      </c>
      <c r="L24" s="38">
        <f>+Model!S16</f>
        <v>639.48</v>
      </c>
      <c r="M24" s="38">
        <f t="shared" ref="M24:V24" ca="1" si="2">L24*(1+M25)</f>
        <v>638.05200000000002</v>
      </c>
      <c r="N24" s="38">
        <f t="shared" ca="1" si="2"/>
        <v>681.54300000000001</v>
      </c>
      <c r="O24" s="38">
        <f t="shared" ca="1" si="2"/>
        <v>762.59235527487522</v>
      </c>
      <c r="P24" s="38">
        <f t="shared" ca="1" si="2"/>
        <v>795.6719132252324</v>
      </c>
      <c r="Q24" s="38">
        <f t="shared" ca="1" si="2"/>
        <v>830.21253678823587</v>
      </c>
      <c r="R24" s="38">
        <f t="shared" ca="1" si="2"/>
        <v>866.27990999523627</v>
      </c>
      <c r="S24" s="38">
        <f t="shared" ca="1" si="2"/>
        <v>900.93110639504573</v>
      </c>
      <c r="T24" s="38">
        <f t="shared" ca="1" si="2"/>
        <v>934.26555733166231</v>
      </c>
      <c r="U24" s="38">
        <f t="shared" ca="1" si="2"/>
        <v>965.09632072360705</v>
      </c>
      <c r="V24" s="38">
        <f t="shared" ca="1" si="2"/>
        <v>994.04921034531526</v>
      </c>
    </row>
    <row r="25" spans="1:22" x14ac:dyDescent="0.2">
      <c r="B25" s="62" t="s">
        <v>290</v>
      </c>
      <c r="C25" s="63"/>
      <c r="G25" s="64"/>
      <c r="H25" s="65">
        <f t="shared" ref="H25:L25" si="3">H24/G24-1</f>
        <v>2.680822488042045E-2</v>
      </c>
      <c r="I25" s="65">
        <f t="shared" si="3"/>
        <v>5.5096503020440446E-2</v>
      </c>
      <c r="J25" s="65">
        <f t="shared" si="3"/>
        <v>-4.4491245113267075E-2</v>
      </c>
      <c r="K25" s="65">
        <f t="shared" si="3"/>
        <v>9.8398902885237227E-2</v>
      </c>
      <c r="L25" s="65">
        <f t="shared" si="3"/>
        <v>0.10430909878997108</v>
      </c>
      <c r="M25" s="65" cm="1">
        <f t="array" aca="1" ref="M25" ca="1">OFFSET(M25,$E$10,,)</f>
        <v>-2.2330643647964221E-3</v>
      </c>
      <c r="N25" s="65" cm="1">
        <f t="array" aca="1" ref="N25" ca="1">OFFSET(N25,$E$10,,)</f>
        <v>6.8162156062515189E-2</v>
      </c>
      <c r="O25" s="65" cm="1">
        <f t="array" aca="1" ref="O25" ca="1">OFFSET(O25,$E$10,,)</f>
        <v>0.11892038400346738</v>
      </c>
      <c r="P25" s="65" cm="1">
        <f t="array" aca="1" ref="P25" ca="1">OFFSET(P25,$E$10,,)</f>
        <v>4.3377772831769024E-2</v>
      </c>
      <c r="Q25" s="65" cm="1">
        <f t="array" aca="1" ref="Q25" ca="1">OFFSET(Q25,$E$10,,)</f>
        <v>4.3410635701584654E-2</v>
      </c>
      <c r="R25" s="65" cm="1">
        <f t="array" aca="1" ref="R25" ca="1">OFFSET(R25,$E$10,,)</f>
        <v>4.3443541995319412E-2</v>
      </c>
      <c r="S25" s="65" cm="1">
        <f t="array" aca="1" ref="S25" ca="1">OFFSET(S25,$E$10,,)</f>
        <v>0.04</v>
      </c>
      <c r="T25" s="65" cm="1">
        <f t="array" aca="1" ref="T25" ca="1">OFFSET(T25,$E$10,,)</f>
        <v>3.6999999999999998E-2</v>
      </c>
      <c r="U25" s="65" cm="1">
        <f t="array" aca="1" ref="U25" ca="1">OFFSET(U25,$E$10,,)</f>
        <v>3.3000000000000002E-2</v>
      </c>
      <c r="V25" s="65" cm="1">
        <f t="array" aca="1" ref="V25" ca="1">OFFSET(V25,$E$10,,)</f>
        <v>0.03</v>
      </c>
    </row>
    <row r="26" spans="1:22" x14ac:dyDescent="0.2">
      <c r="B26" s="62" t="s">
        <v>276</v>
      </c>
      <c r="C26" s="63"/>
      <c r="I26" s="23"/>
      <c r="J26" s="23"/>
      <c r="K26" s="23"/>
      <c r="L26" s="23"/>
      <c r="M26" s="66">
        <f>+WC!P40</f>
        <v>-5.0000000000000044E-3</v>
      </c>
      <c r="N26" s="66">
        <f>+WC!Q40</f>
        <v>-7.8176898126712913E-2</v>
      </c>
      <c r="O26" s="66">
        <f>+WC!R40</f>
        <v>-8.0785010399971879E-3</v>
      </c>
      <c r="P26" s="66">
        <f>+WC!S40</f>
        <v>6.9207015567760433E-3</v>
      </c>
      <c r="Q26" s="66">
        <f>+WC!T40</f>
        <v>6.8455189124816407E-3</v>
      </c>
      <c r="R26" s="66">
        <f>+WC!U40</f>
        <v>6.7698133918252523E-3</v>
      </c>
      <c r="S26" s="66">
        <v>7.0000000000000001E-3</v>
      </c>
      <c r="T26" s="66">
        <v>7.0000000000000001E-3</v>
      </c>
      <c r="U26" s="66">
        <v>7.0000000000000001E-3</v>
      </c>
      <c r="V26" s="66">
        <v>7.0000000000000001E-3</v>
      </c>
    </row>
    <row r="27" spans="1:22" x14ac:dyDescent="0.2">
      <c r="B27" s="62" t="s">
        <v>291</v>
      </c>
      <c r="C27" s="63"/>
      <c r="I27" s="23"/>
      <c r="J27" s="23"/>
      <c r="K27" s="23"/>
      <c r="L27" s="23"/>
      <c r="M27" s="66">
        <f>+Model!T40</f>
        <v>-2.2330643647964221E-3</v>
      </c>
      <c r="N27" s="66">
        <f>+Model!U40</f>
        <v>6.8162156062515189E-2</v>
      </c>
      <c r="O27" s="66">
        <f>+Model!V40</f>
        <v>0.11892038400346738</v>
      </c>
      <c r="P27" s="66">
        <f>+Model!W40</f>
        <v>4.3377772831769024E-2</v>
      </c>
      <c r="Q27" s="66">
        <f>+Model!X40</f>
        <v>4.3410635701584654E-2</v>
      </c>
      <c r="R27" s="66">
        <f>+Model!Y40</f>
        <v>4.3443541995319412E-2</v>
      </c>
      <c r="S27" s="66">
        <v>0.04</v>
      </c>
      <c r="T27" s="66">
        <v>3.6999999999999998E-2</v>
      </c>
      <c r="U27" s="66">
        <v>3.3000000000000002E-2</v>
      </c>
      <c r="V27" s="66">
        <v>0.03</v>
      </c>
    </row>
    <row r="28" spans="1:22" x14ac:dyDescent="0.2">
      <c r="B28" s="62" t="s">
        <v>292</v>
      </c>
      <c r="C28" s="63"/>
      <c r="I28" s="23"/>
      <c r="J28" s="23"/>
      <c r="K28" s="23"/>
      <c r="L28" s="23"/>
      <c r="M28" s="66">
        <f>+BC!P40</f>
        <v>-5.0000000000000044E-3</v>
      </c>
      <c r="N28" s="66">
        <f>+BC!Q40</f>
        <v>0.18887425178686335</v>
      </c>
      <c r="O28" s="66">
        <f>+BC!R40</f>
        <v>0.14206033365941373</v>
      </c>
      <c r="P28" s="66">
        <f>+BC!S40</f>
        <v>0.1688424161802573</v>
      </c>
      <c r="Q28" s="66">
        <f>+BC!T40</f>
        <v>0.15731268422546218</v>
      </c>
      <c r="R28" s="66">
        <f>+BC!U40</f>
        <v>5.1585057071997564E-2</v>
      </c>
      <c r="S28" s="66">
        <v>4.4999999999999998E-2</v>
      </c>
      <c r="T28" s="66">
        <v>0.04</v>
      </c>
      <c r="U28" s="66">
        <v>3.5000000000000003E-2</v>
      </c>
      <c r="V28" s="66">
        <v>3.5000000000000003E-2</v>
      </c>
    </row>
    <row r="30" spans="1:22" x14ac:dyDescent="0.2">
      <c r="B30" s="2" t="s">
        <v>283</v>
      </c>
      <c r="G30" s="38">
        <f>+Model!N24</f>
        <v>30.038999999999959</v>
      </c>
      <c r="H30" s="38">
        <f>+Model!O24</f>
        <v>16.18300000000005</v>
      </c>
      <c r="I30" s="38">
        <f>+Model!P24</f>
        <v>37.085000000000093</v>
      </c>
      <c r="J30" s="38">
        <f>+Model!Q24</f>
        <v>38.573999999999955</v>
      </c>
      <c r="K30" s="38">
        <f>+Model!R24</f>
        <v>34.524000000000058</v>
      </c>
      <c r="L30" s="38">
        <f>+Model!S24</f>
        <v>48.075999999999965</v>
      </c>
      <c r="M30" s="38">
        <f t="shared" ref="M30:V30" ca="1" si="4">M31*M24</f>
        <v>44.663640000000008</v>
      </c>
      <c r="N30" s="38">
        <f t="shared" ca="1" si="4"/>
        <v>47.708010000000002</v>
      </c>
      <c r="O30" s="38">
        <f t="shared" ca="1" si="4"/>
        <v>53.38146486924127</v>
      </c>
      <c r="P30" s="38">
        <f t="shared" ca="1" si="4"/>
        <v>55.69703392576627</v>
      </c>
      <c r="Q30" s="38">
        <f t="shared" ca="1" si="4"/>
        <v>58.114877575176514</v>
      </c>
      <c r="R30" s="38">
        <f t="shared" ca="1" si="4"/>
        <v>60.639593699666541</v>
      </c>
      <c r="S30" s="38">
        <f t="shared" ca="1" si="4"/>
        <v>63.065177447653205</v>
      </c>
      <c r="T30" s="38">
        <f t="shared" ca="1" si="4"/>
        <v>65.398589013216366</v>
      </c>
      <c r="U30" s="38">
        <f t="shared" ca="1" si="4"/>
        <v>67.556742450652493</v>
      </c>
      <c r="V30" s="38">
        <f t="shared" ca="1" si="4"/>
        <v>69.583444724172068</v>
      </c>
    </row>
    <row r="31" spans="1:22" x14ac:dyDescent="0.2">
      <c r="B31" s="62" t="s">
        <v>293</v>
      </c>
      <c r="G31" s="65">
        <f>G30/G24</f>
        <v>5.8982807235255688E-2</v>
      </c>
      <c r="H31" s="65">
        <f t="shared" ref="H31:L31" si="5">H30/H24</f>
        <v>3.0946366388303084E-2</v>
      </c>
      <c r="I31" s="65">
        <f t="shared" si="5"/>
        <v>6.7213533690138258E-2</v>
      </c>
      <c r="J31" s="65">
        <f t="shared" si="5"/>
        <v>7.3167539515289148E-2</v>
      </c>
      <c r="K31" s="65">
        <f t="shared" si="5"/>
        <v>5.9619014397049197E-2</v>
      </c>
      <c r="L31" s="65">
        <f t="shared" si="5"/>
        <v>7.5179833614811981E-2</v>
      </c>
      <c r="M31" s="65" cm="1">
        <f t="array" aca="1" ref="M31" ca="1">OFFSET(M31,$E$11,,)</f>
        <v>7.0000000000000007E-2</v>
      </c>
      <c r="N31" s="65" cm="1">
        <f t="array" aca="1" ref="N31" ca="1">OFFSET(N31,$E$11,,)</f>
        <v>7.0000000000000007E-2</v>
      </c>
      <c r="O31" s="65" cm="1">
        <f t="array" aca="1" ref="O31" ca="1">OFFSET(O31,$E$11,,)</f>
        <v>7.0000000000000007E-2</v>
      </c>
      <c r="P31" s="65" cm="1">
        <f t="array" aca="1" ref="P31" ca="1">OFFSET(P31,$E$11,,)</f>
        <v>7.0000000000000007E-2</v>
      </c>
      <c r="Q31" s="65" cm="1">
        <f t="array" aca="1" ref="Q31" ca="1">OFFSET(Q31,$E$11,,)</f>
        <v>7.0000000000000007E-2</v>
      </c>
      <c r="R31" s="65" cm="1">
        <f t="array" aca="1" ref="R31" ca="1">OFFSET(R31,$E$11,,)</f>
        <v>7.0000000000000007E-2</v>
      </c>
      <c r="S31" s="65" cm="1">
        <f t="array" aca="1" ref="S31" ca="1">OFFSET(S31,$E$11,,)</f>
        <v>7.0000000000000007E-2</v>
      </c>
      <c r="T31" s="65" cm="1">
        <f t="array" aca="1" ref="T31" ca="1">OFFSET(T31,$E$11,,)</f>
        <v>7.0000000000000007E-2</v>
      </c>
      <c r="U31" s="65" cm="1">
        <f t="array" aca="1" ref="U31" ca="1">OFFSET(U31,$E$11,,)</f>
        <v>7.0000000000000007E-2</v>
      </c>
      <c r="V31" s="65" cm="1">
        <f t="array" aca="1" ref="V31" ca="1">OFFSET(V31,$E$11,,)</f>
        <v>7.0000000000000007E-2</v>
      </c>
    </row>
    <row r="32" spans="1:22" x14ac:dyDescent="0.2">
      <c r="B32" s="62" t="s">
        <v>276</v>
      </c>
      <c r="M32" s="66">
        <f>+WC!P42</f>
        <v>7.0000000000000007E-2</v>
      </c>
      <c r="N32" s="66">
        <f>+WC!Q42</f>
        <v>6.5000000000000002E-2</v>
      </c>
      <c r="O32" s="66">
        <f>+WC!R42</f>
        <v>0.06</v>
      </c>
      <c r="P32" s="66">
        <f>+WC!S42</f>
        <v>0.06</v>
      </c>
      <c r="Q32" s="66">
        <f>+WC!T42</f>
        <v>0.06</v>
      </c>
      <c r="R32" s="66">
        <f>+WC!U42</f>
        <v>0.06</v>
      </c>
      <c r="S32" s="66">
        <v>0.06</v>
      </c>
      <c r="T32" s="66">
        <v>0.06</v>
      </c>
      <c r="U32" s="66">
        <v>0.06</v>
      </c>
      <c r="V32" s="66">
        <v>0.06</v>
      </c>
    </row>
    <row r="33" spans="2:22" x14ac:dyDescent="0.2">
      <c r="B33" s="62" t="s">
        <v>291</v>
      </c>
      <c r="M33" s="66">
        <f>+Model!T42</f>
        <v>7.0000000000000007E-2</v>
      </c>
      <c r="N33" s="66">
        <f>+Model!U42</f>
        <v>7.0000000000000007E-2</v>
      </c>
      <c r="O33" s="66">
        <f>+Model!V42</f>
        <v>7.0000000000000007E-2</v>
      </c>
      <c r="P33" s="66">
        <f>+Model!W42</f>
        <v>7.0000000000000007E-2</v>
      </c>
      <c r="Q33" s="66">
        <f>+Model!X42</f>
        <v>7.0000000000000007E-2</v>
      </c>
      <c r="R33" s="66">
        <f>+Model!Y42</f>
        <v>7.0000000000000007E-2</v>
      </c>
      <c r="S33" s="66">
        <v>7.0000000000000007E-2</v>
      </c>
      <c r="T33" s="66">
        <v>7.0000000000000007E-2</v>
      </c>
      <c r="U33" s="66">
        <v>7.0000000000000007E-2</v>
      </c>
      <c r="V33" s="66">
        <v>7.0000000000000007E-2</v>
      </c>
    </row>
    <row r="34" spans="2:22" x14ac:dyDescent="0.2">
      <c r="B34" s="62" t="s">
        <v>292</v>
      </c>
      <c r="M34" s="66">
        <f>+BC!P42</f>
        <v>7.0000000000000007E-2</v>
      </c>
      <c r="N34" s="66">
        <f>+BC!Q42</f>
        <v>7.4999999999999997E-2</v>
      </c>
      <c r="O34" s="66">
        <f>+BC!R42</f>
        <v>0.08</v>
      </c>
      <c r="P34" s="66">
        <f>+BC!S42</f>
        <v>8.5000000000000006E-2</v>
      </c>
      <c r="Q34" s="66">
        <f>+BC!T42</f>
        <v>0.09</v>
      </c>
      <c r="R34" s="66">
        <f>+BC!U42</f>
        <v>0.09</v>
      </c>
      <c r="S34" s="66">
        <v>0.09</v>
      </c>
      <c r="T34" s="66">
        <v>0.09</v>
      </c>
      <c r="U34" s="66">
        <v>0.09</v>
      </c>
      <c r="V34" s="66">
        <v>0.09</v>
      </c>
    </row>
    <row r="36" spans="2:22" x14ac:dyDescent="0.2">
      <c r="B36" s="2" t="s">
        <v>106</v>
      </c>
      <c r="G36" s="38">
        <f>+Model!N29</f>
        <v>9.3680000000000003</v>
      </c>
      <c r="H36" s="38">
        <f>+Model!O29</f>
        <v>3.702</v>
      </c>
      <c r="I36" s="38">
        <f>+Model!P29</f>
        <v>11.603999999999999</v>
      </c>
      <c r="J36" s="38">
        <f>+Model!Q29</f>
        <v>9.5250000000000004</v>
      </c>
      <c r="K36" s="38">
        <f>+Model!R29</f>
        <v>9.6079999999999988</v>
      </c>
      <c r="L36" s="38">
        <f>+Model!S29</f>
        <v>13.497</v>
      </c>
      <c r="M36" s="38">
        <f t="shared" ref="M36:V36" ca="1" si="6">M37*M30</f>
        <v>12.505819200000003</v>
      </c>
      <c r="N36" s="38">
        <f t="shared" ca="1" si="6"/>
        <v>13.358242800000001</v>
      </c>
      <c r="O36" s="38">
        <f t="shared" ca="1" si="6"/>
        <v>14.946810163387557</v>
      </c>
      <c r="P36" s="38">
        <f t="shared" ca="1" si="6"/>
        <v>15.595169499214558</v>
      </c>
      <c r="Q36" s="38">
        <f t="shared" ca="1" si="6"/>
        <v>16.272165721049426</v>
      </c>
      <c r="R36" s="38">
        <f t="shared" ca="1" si="6"/>
        <v>16.979086235906632</v>
      </c>
      <c r="S36" s="38">
        <f t="shared" ca="1" si="6"/>
        <v>17.658249685342899</v>
      </c>
      <c r="T36" s="38">
        <f t="shared" ca="1" si="6"/>
        <v>18.311604923700585</v>
      </c>
      <c r="U36" s="38">
        <f t="shared" ca="1" si="6"/>
        <v>18.915887886182698</v>
      </c>
      <c r="V36" s="38">
        <f t="shared" ca="1" si="6"/>
        <v>19.483364522768181</v>
      </c>
    </row>
    <row r="37" spans="2:22" x14ac:dyDescent="0.2">
      <c r="B37" s="63" t="s">
        <v>294</v>
      </c>
      <c r="G37" s="65">
        <f t="shared" ref="G37:L37" si="7">G36/G30</f>
        <v>0.31186124704550794</v>
      </c>
      <c r="H37" s="65">
        <f t="shared" si="7"/>
        <v>0.22875857381202427</v>
      </c>
      <c r="I37" s="65">
        <f t="shared" si="7"/>
        <v>0.31290279088580208</v>
      </c>
      <c r="J37" s="65">
        <f t="shared" si="7"/>
        <v>0.24692798257893947</v>
      </c>
      <c r="K37" s="65">
        <f t="shared" si="7"/>
        <v>0.27829915421156248</v>
      </c>
      <c r="L37" s="65">
        <f t="shared" si="7"/>
        <v>0.28074299026541327</v>
      </c>
      <c r="M37" s="65">
        <v>0.28000000000000003</v>
      </c>
      <c r="N37" s="65">
        <v>0.28000000000000003</v>
      </c>
      <c r="O37" s="65">
        <v>0.28000000000000003</v>
      </c>
      <c r="P37" s="65">
        <v>0.28000000000000003</v>
      </c>
      <c r="Q37" s="65">
        <v>0.28000000000000003</v>
      </c>
      <c r="R37" s="65">
        <v>0.28000000000000003</v>
      </c>
      <c r="S37" s="65">
        <v>0.28000000000000003</v>
      </c>
      <c r="T37" s="65">
        <v>0.28000000000000003</v>
      </c>
      <c r="U37" s="65">
        <v>0.28000000000000003</v>
      </c>
      <c r="V37" s="65">
        <v>0.28000000000000003</v>
      </c>
    </row>
    <row r="38" spans="2:22" x14ac:dyDescent="0.2">
      <c r="B38" s="63"/>
    </row>
    <row r="39" spans="2:22" x14ac:dyDescent="0.2">
      <c r="B39" s="67" t="s">
        <v>295</v>
      </c>
      <c r="C39" s="68"/>
      <c r="D39" s="68"/>
      <c r="E39" s="68"/>
      <c r="F39" s="68"/>
      <c r="G39" s="69">
        <f t="shared" ref="G39:L39" si="8">G30-G36</f>
        <v>20.670999999999957</v>
      </c>
      <c r="H39" s="69">
        <f t="shared" si="8"/>
        <v>12.48100000000005</v>
      </c>
      <c r="I39" s="69">
        <f t="shared" si="8"/>
        <v>25.481000000000094</v>
      </c>
      <c r="J39" s="69">
        <f t="shared" si="8"/>
        <v>29.048999999999957</v>
      </c>
      <c r="K39" s="69">
        <f t="shared" si="8"/>
        <v>24.916000000000061</v>
      </c>
      <c r="L39" s="69">
        <f t="shared" si="8"/>
        <v>34.578999999999965</v>
      </c>
      <c r="M39" s="69">
        <f t="shared" ref="M39:V39" ca="1" si="9">M30-M36</f>
        <v>32.157820800000003</v>
      </c>
      <c r="N39" s="69">
        <f t="shared" ca="1" si="9"/>
        <v>34.349767200000002</v>
      </c>
      <c r="O39" s="69">
        <f t="shared" ca="1" si="9"/>
        <v>38.434654705853717</v>
      </c>
      <c r="P39" s="69">
        <f t="shared" ca="1" si="9"/>
        <v>40.101864426551714</v>
      </c>
      <c r="Q39" s="69">
        <f t="shared" ca="1" si="9"/>
        <v>41.842711854127089</v>
      </c>
      <c r="R39" s="69">
        <f t="shared" ca="1" si="9"/>
        <v>43.660507463759913</v>
      </c>
      <c r="S39" s="69">
        <f t="shared" ca="1" si="9"/>
        <v>45.406927762310303</v>
      </c>
      <c r="T39" s="69">
        <f t="shared" ca="1" si="9"/>
        <v>47.086984089515781</v>
      </c>
      <c r="U39" s="69">
        <f t="shared" ca="1" si="9"/>
        <v>48.640854564469791</v>
      </c>
      <c r="V39" s="70">
        <f t="shared" ca="1" si="9"/>
        <v>50.100080201403884</v>
      </c>
    </row>
    <row r="41" spans="2:22" x14ac:dyDescent="0.2">
      <c r="B41" s="2" t="s">
        <v>296</v>
      </c>
      <c r="G41" s="38">
        <f>+Model!N72</f>
        <v>16.538</v>
      </c>
      <c r="H41" s="38">
        <f>+Model!O72</f>
        <v>18.751999999999999</v>
      </c>
      <c r="I41" s="38">
        <f>+Model!P72</f>
        <v>18.495000000000001</v>
      </c>
      <c r="J41" s="38">
        <f>+Model!Q72</f>
        <v>18.446000000000002</v>
      </c>
      <c r="K41" s="38">
        <f>+Model!R72</f>
        <v>20.321999999999999</v>
      </c>
      <c r="L41" s="38">
        <f>+Model!S72</f>
        <v>20.478999999999999</v>
      </c>
      <c r="M41" s="38">
        <f t="shared" ref="M41:V41" ca="1" si="10">M42*M24</f>
        <v>20.417664000000002</v>
      </c>
      <c r="N41" s="38">
        <f t="shared" ca="1" si="10"/>
        <v>21.809376</v>
      </c>
      <c r="O41" s="38">
        <f t="shared" ca="1" si="10"/>
        <v>24.402955368796007</v>
      </c>
      <c r="P41" s="38">
        <f t="shared" ca="1" si="10"/>
        <v>25.461501223207438</v>
      </c>
      <c r="Q41" s="38">
        <f t="shared" ca="1" si="10"/>
        <v>26.56680117722355</v>
      </c>
      <c r="R41" s="38">
        <f t="shared" ca="1" si="10"/>
        <v>27.720957119847562</v>
      </c>
      <c r="S41" s="38">
        <f t="shared" ca="1" si="10"/>
        <v>28.829795404641462</v>
      </c>
      <c r="T41" s="38">
        <f t="shared" ca="1" si="10"/>
        <v>29.896497834613193</v>
      </c>
      <c r="U41" s="38">
        <f t="shared" ca="1" si="10"/>
        <v>30.883082263155426</v>
      </c>
      <c r="V41" s="38">
        <f t="shared" ca="1" si="10"/>
        <v>31.809574731050088</v>
      </c>
    </row>
    <row r="42" spans="2:22" x14ac:dyDescent="0.2">
      <c r="B42" s="62" t="s">
        <v>293</v>
      </c>
      <c r="C42" s="64"/>
      <c r="D42" s="64"/>
      <c r="E42" s="64"/>
      <c r="F42" s="64"/>
      <c r="G42" s="71">
        <f t="shared" ref="G42:L42" si="11">G41/G24</f>
        <v>3.2473040582464793E-2</v>
      </c>
      <c r="H42" s="71">
        <f t="shared" si="11"/>
        <v>3.5859004048288796E-2</v>
      </c>
      <c r="I42" s="71">
        <f t="shared" si="11"/>
        <v>3.3520676974493839E-2</v>
      </c>
      <c r="J42" s="71">
        <f t="shared" si="11"/>
        <v>3.498855275312452E-2</v>
      </c>
      <c r="K42" s="71">
        <f t="shared" si="11"/>
        <v>3.5093778547585205E-2</v>
      </c>
      <c r="L42" s="71">
        <f t="shared" si="11"/>
        <v>3.2024457371614433E-2</v>
      </c>
      <c r="M42" s="72">
        <v>3.2000000000000001E-2</v>
      </c>
      <c r="N42" s="72">
        <v>3.2000000000000001E-2</v>
      </c>
      <c r="O42" s="72">
        <v>3.2000000000000001E-2</v>
      </c>
      <c r="P42" s="72">
        <v>3.2000000000000001E-2</v>
      </c>
      <c r="Q42" s="72">
        <v>3.2000000000000001E-2</v>
      </c>
      <c r="R42" s="72">
        <v>3.2000000000000001E-2</v>
      </c>
      <c r="S42" s="72">
        <v>3.2000000000000001E-2</v>
      </c>
      <c r="T42" s="72">
        <v>3.2000000000000001E-2</v>
      </c>
      <c r="U42" s="72">
        <v>3.2000000000000001E-2</v>
      </c>
      <c r="V42" s="72">
        <v>3.2000000000000001E-2</v>
      </c>
    </row>
    <row r="44" spans="2:22" x14ac:dyDescent="0.2">
      <c r="B44" s="2" t="s">
        <v>297</v>
      </c>
      <c r="G44" s="38">
        <f>+Model!N91+Model!N92</f>
        <v>-37.325000000000003</v>
      </c>
      <c r="H44" s="38">
        <f>+Model!O91+Model!O92</f>
        <v>-24.315999999999999</v>
      </c>
      <c r="I44" s="38">
        <f>+Model!P91+Model!P92</f>
        <v>-15.144</v>
      </c>
      <c r="J44" s="38">
        <f>+Model!Q91+Model!Q92</f>
        <v>-15.001000000000001</v>
      </c>
      <c r="K44" s="38">
        <f>+Model!R91+Model!R92</f>
        <v>-21.131</v>
      </c>
      <c r="L44" s="38">
        <f>+Model!S91+Model!S92</f>
        <v>-19.556999999999999</v>
      </c>
      <c r="M44" s="38">
        <f t="shared" ref="M44:V44" ca="1" si="12">M45*M24</f>
        <v>-21.693768000000002</v>
      </c>
      <c r="N44" s="38">
        <f t="shared" ca="1" si="12"/>
        <v>-23.172462000000003</v>
      </c>
      <c r="O44" s="38">
        <f t="shared" ca="1" si="12"/>
        <v>-25.928140079345759</v>
      </c>
      <c r="P44" s="38">
        <f t="shared" ca="1" si="12"/>
        <v>-27.052845049657904</v>
      </c>
      <c r="Q44" s="38">
        <f t="shared" ca="1" si="12"/>
        <v>-28.227226250800022</v>
      </c>
      <c r="R44" s="38">
        <f t="shared" ca="1" si="12"/>
        <v>-29.453516939838035</v>
      </c>
      <c r="S44" s="38">
        <f t="shared" ca="1" si="12"/>
        <v>-30.631657617431557</v>
      </c>
      <c r="T44" s="38">
        <f t="shared" ca="1" si="12"/>
        <v>-31.76502894927652</v>
      </c>
      <c r="U44" s="38">
        <f t="shared" ca="1" si="12"/>
        <v>-32.813274904602643</v>
      </c>
      <c r="V44" s="38">
        <f t="shared" ca="1" si="12"/>
        <v>-33.797673151740725</v>
      </c>
    </row>
    <row r="45" spans="2:22" x14ac:dyDescent="0.2">
      <c r="B45" s="62" t="s">
        <v>293</v>
      </c>
      <c r="G45" s="71">
        <f t="shared" ref="G45:L45" si="13">G44/G24</f>
        <v>-7.3289166751753454E-2</v>
      </c>
      <c r="H45" s="71">
        <f t="shared" si="13"/>
        <v>-4.6498909046405204E-2</v>
      </c>
      <c r="I45" s="71">
        <f t="shared" si="13"/>
        <v>-2.7447263157703954E-2</v>
      </c>
      <c r="J45" s="71">
        <f t="shared" si="13"/>
        <v>-2.8454043144834705E-2</v>
      </c>
      <c r="K45" s="71">
        <f t="shared" si="13"/>
        <v>-3.6490829371568896E-2</v>
      </c>
      <c r="L45" s="71">
        <f t="shared" si="13"/>
        <v>-3.0582660911990991E-2</v>
      </c>
      <c r="M45" s="72">
        <v>-3.4000000000000002E-2</v>
      </c>
      <c r="N45" s="72">
        <v>-3.4000000000000002E-2</v>
      </c>
      <c r="O45" s="72">
        <v>-3.4000000000000002E-2</v>
      </c>
      <c r="P45" s="72">
        <v>-3.4000000000000002E-2</v>
      </c>
      <c r="Q45" s="72">
        <v>-3.4000000000000002E-2</v>
      </c>
      <c r="R45" s="72">
        <v>-3.4000000000000002E-2</v>
      </c>
      <c r="S45" s="72">
        <v>-3.4000000000000002E-2</v>
      </c>
      <c r="T45" s="72">
        <v>-3.4000000000000002E-2</v>
      </c>
      <c r="U45" s="72">
        <v>-3.4000000000000002E-2</v>
      </c>
      <c r="V45" s="72">
        <v>-3.4000000000000002E-2</v>
      </c>
    </row>
    <row r="47" spans="2:22" x14ac:dyDescent="0.2">
      <c r="B47" s="2" t="s">
        <v>298</v>
      </c>
      <c r="G47" s="38">
        <f>+Model!N87</f>
        <v>18.149999999999999</v>
      </c>
      <c r="H47" s="38">
        <f>+Model!O87</f>
        <v>1.5169999999999995</v>
      </c>
      <c r="I47" s="38">
        <f>+Model!P87</f>
        <v>1.0730000000000004</v>
      </c>
      <c r="J47" s="38">
        <f>+Model!Q87</f>
        <v>-14.116</v>
      </c>
      <c r="K47" s="38">
        <f>+Model!R87</f>
        <v>-48.46</v>
      </c>
      <c r="L47" s="38">
        <f>+Model!S87</f>
        <v>46.707999999999998</v>
      </c>
      <c r="M47" s="38">
        <f t="shared" ref="M47:V47" ca="1" si="14">M48*M24</f>
        <v>0.63805200000000006</v>
      </c>
      <c r="N47" s="38">
        <f t="shared" ca="1" si="14"/>
        <v>0.68154300000000001</v>
      </c>
      <c r="O47" s="38">
        <f t="shared" ca="1" si="14"/>
        <v>0.76259235527487523</v>
      </c>
      <c r="P47" s="38">
        <f t="shared" ca="1" si="14"/>
        <v>0.79567191322523245</v>
      </c>
      <c r="Q47" s="38">
        <f t="shared" ca="1" si="14"/>
        <v>0.83021253678823592</v>
      </c>
      <c r="R47" s="38">
        <f t="shared" ca="1" si="14"/>
        <v>0.8662799099952363</v>
      </c>
      <c r="S47" s="38">
        <f t="shared" ca="1" si="14"/>
        <v>0.9009311063950457</v>
      </c>
      <c r="T47" s="38">
        <f t="shared" ca="1" si="14"/>
        <v>0.93426555733166228</v>
      </c>
      <c r="U47" s="38">
        <f t="shared" ca="1" si="14"/>
        <v>0.96509632072360707</v>
      </c>
      <c r="V47" s="38">
        <f t="shared" ca="1" si="14"/>
        <v>0.99404921034531524</v>
      </c>
    </row>
    <row r="48" spans="2:22" x14ac:dyDescent="0.2">
      <c r="B48" s="62" t="s">
        <v>293</v>
      </c>
      <c r="G48" s="71">
        <f t="shared" ref="G48:L48" si="15">G47/G24</f>
        <v>3.5638268628113194E-2</v>
      </c>
      <c r="H48" s="71">
        <f t="shared" si="15"/>
        <v>2.9009230557409389E-3</v>
      </c>
      <c r="I48" s="71">
        <f t="shared" si="15"/>
        <v>1.9447248658357339E-3</v>
      </c>
      <c r="J48" s="71">
        <f t="shared" si="15"/>
        <v>-2.6775366511065039E-2</v>
      </c>
      <c r="K48" s="71">
        <f t="shared" si="15"/>
        <v>-8.3684898554078305E-2</v>
      </c>
      <c r="L48" s="71">
        <f t="shared" si="15"/>
        <v>7.3040595483830614E-2</v>
      </c>
      <c r="M48" s="72">
        <v>1E-3</v>
      </c>
      <c r="N48" s="72">
        <v>1E-3</v>
      </c>
      <c r="O48" s="72">
        <v>1E-3</v>
      </c>
      <c r="P48" s="72">
        <v>1E-3</v>
      </c>
      <c r="Q48" s="72">
        <v>1E-3</v>
      </c>
      <c r="R48" s="72">
        <v>1E-3</v>
      </c>
      <c r="S48" s="72">
        <v>1E-3</v>
      </c>
      <c r="T48" s="72">
        <v>1E-3</v>
      </c>
      <c r="U48" s="72">
        <v>1E-3</v>
      </c>
      <c r="V48" s="72">
        <v>1E-3</v>
      </c>
    </row>
    <row r="50" spans="2:24" x14ac:dyDescent="0.2">
      <c r="B50" s="73" t="s">
        <v>299</v>
      </c>
      <c r="C50" s="74"/>
      <c r="D50" s="74"/>
      <c r="E50" s="74"/>
      <c r="F50" s="74"/>
      <c r="G50" s="75">
        <f>G39+G41+G44+G47</f>
        <v>18.033999999999956</v>
      </c>
      <c r="H50" s="75">
        <f t="shared" ref="H50:L50" si="16">H39+H41+H44+H47</f>
        <v>8.4340000000000472</v>
      </c>
      <c r="I50" s="75">
        <f t="shared" si="16"/>
        <v>29.905000000000101</v>
      </c>
      <c r="J50" s="75">
        <f t="shared" si="16"/>
        <v>18.377999999999957</v>
      </c>
      <c r="K50" s="75">
        <f t="shared" si="16"/>
        <v>-24.352999999999945</v>
      </c>
      <c r="L50" s="75">
        <f t="shared" si="16"/>
        <v>82.208999999999961</v>
      </c>
      <c r="M50" s="75">
        <f t="shared" ref="M50:V50" ca="1" si="17">M39+M41+M44+M47</f>
        <v>31.519768800000001</v>
      </c>
      <c r="N50" s="75">
        <f t="shared" ca="1" si="17"/>
        <v>33.668224199999997</v>
      </c>
      <c r="O50" s="75">
        <f t="shared" ca="1" si="17"/>
        <v>37.672062350578841</v>
      </c>
      <c r="P50" s="75">
        <f t="shared" ca="1" si="17"/>
        <v>39.306192513326479</v>
      </c>
      <c r="Q50" s="75">
        <f t="shared" ca="1" si="17"/>
        <v>41.012499317338857</v>
      </c>
      <c r="R50" s="75">
        <f t="shared" ca="1" si="17"/>
        <v>42.794227553764678</v>
      </c>
      <c r="S50" s="75">
        <f t="shared" ca="1" si="17"/>
        <v>44.505996655915254</v>
      </c>
      <c r="T50" s="75">
        <f t="shared" ca="1" si="17"/>
        <v>46.15271853218411</v>
      </c>
      <c r="U50" s="75">
        <f t="shared" ca="1" si="17"/>
        <v>47.675758243746188</v>
      </c>
      <c r="V50" s="76">
        <f t="shared" ca="1" si="17"/>
        <v>49.106030991058567</v>
      </c>
    </row>
    <row r="51" spans="2:24" x14ac:dyDescent="0.2">
      <c r="B51" s="77" t="s">
        <v>300</v>
      </c>
      <c r="C51" s="78"/>
      <c r="D51" s="78"/>
      <c r="E51" s="78"/>
      <c r="F51" s="78"/>
      <c r="G51" s="79"/>
      <c r="H51" s="79"/>
      <c r="I51" s="79"/>
      <c r="J51" s="79"/>
      <c r="K51" s="79"/>
      <c r="L51" s="79"/>
      <c r="M51" s="79">
        <f ca="1">(M50/(1+$E$17)^M52)*M52</f>
        <v>15.164955834562305</v>
      </c>
      <c r="N51" s="79">
        <f t="shared" ref="N51:U51" ca="1" si="18">N50/((1+$E$17)^N52)</f>
        <v>29.99746652007202</v>
      </c>
      <c r="O51" s="79">
        <f t="shared" ca="1" si="18"/>
        <v>31.078496997935321</v>
      </c>
      <c r="P51" s="79">
        <f t="shared" ca="1" si="18"/>
        <v>30.024641648763485</v>
      </c>
      <c r="Q51" s="79">
        <f t="shared" ca="1" si="18"/>
        <v>29.007435582822769</v>
      </c>
      <c r="R51" s="79">
        <f t="shared" ca="1" si="18"/>
        <v>28.025575304390419</v>
      </c>
      <c r="S51" s="79">
        <f t="shared" ca="1" si="18"/>
        <v>26.987591033857431</v>
      </c>
      <c r="T51" s="79">
        <f t="shared" ca="1" si="18"/>
        <v>25.913085094546432</v>
      </c>
      <c r="U51" s="79">
        <f t="shared" ca="1" si="18"/>
        <v>24.78538602098747</v>
      </c>
      <c r="V51" s="80">
        <f ca="1">V50/(1+$E$17)^V52</f>
        <v>23.637914445941746</v>
      </c>
    </row>
    <row r="52" spans="2:24" x14ac:dyDescent="0.2">
      <c r="B52" s="2" t="s">
        <v>301</v>
      </c>
      <c r="M52" s="2">
        <f>YEARFRAC(E3,E4)</f>
        <v>0.5</v>
      </c>
      <c r="N52" s="2">
        <f>M52+1</f>
        <v>1.5</v>
      </c>
      <c r="O52" s="2">
        <f>N52+1</f>
        <v>2.5</v>
      </c>
      <c r="P52" s="2">
        <f t="shared" ref="P52:V52" si="19">O52+1</f>
        <v>3.5</v>
      </c>
      <c r="Q52" s="2">
        <f t="shared" si="19"/>
        <v>4.5</v>
      </c>
      <c r="R52" s="2">
        <f t="shared" si="19"/>
        <v>5.5</v>
      </c>
      <c r="S52" s="2">
        <f t="shared" si="19"/>
        <v>6.5</v>
      </c>
      <c r="T52" s="2">
        <f t="shared" si="19"/>
        <v>7.5</v>
      </c>
      <c r="U52" s="2">
        <f t="shared" si="19"/>
        <v>8.5</v>
      </c>
      <c r="V52" s="2">
        <f t="shared" si="19"/>
        <v>9.5</v>
      </c>
    </row>
    <row r="53" spans="2:24" x14ac:dyDescent="0.2">
      <c r="B53" s="2" t="s">
        <v>302</v>
      </c>
      <c r="N53" s="44"/>
      <c r="O53" s="44"/>
      <c r="P53" s="44"/>
      <c r="Q53" s="44"/>
      <c r="V53" s="38">
        <f ca="1">SUM(M51:V51)</f>
        <v>264.62254848387943</v>
      </c>
    </row>
    <row r="54" spans="2:24" x14ac:dyDescent="0.2">
      <c r="B54" s="2" t="s">
        <v>303</v>
      </c>
      <c r="N54" s="44"/>
      <c r="O54" s="44"/>
      <c r="P54" s="44"/>
      <c r="Q54" s="44"/>
      <c r="V54" s="38">
        <f ca="1">+(V39*(1+E18))*(1-(E18/E19))/(E17-E18)</f>
        <v>688.04110143261346</v>
      </c>
      <c r="X54" s="81" t="s">
        <v>325</v>
      </c>
    </row>
    <row r="55" spans="2:24" x14ac:dyDescent="0.2">
      <c r="B55" s="20" t="s">
        <v>304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82"/>
      <c r="O55" s="82"/>
      <c r="P55" s="82"/>
      <c r="Q55" s="82"/>
      <c r="R55" s="82"/>
      <c r="S55" s="82"/>
      <c r="T55" s="82"/>
      <c r="U55" s="82"/>
      <c r="V55" s="38">
        <f ca="1">V54/(1+E17)^V52</f>
        <v>331.19876240694418</v>
      </c>
      <c r="X55" s="22"/>
    </row>
    <row r="56" spans="2:24" x14ac:dyDescent="0.2">
      <c r="B56" s="83" t="s">
        <v>305</v>
      </c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4"/>
      <c r="O56" s="84"/>
      <c r="P56" s="84"/>
      <c r="Q56" s="84"/>
      <c r="R56" s="84"/>
      <c r="S56" s="84"/>
      <c r="T56" s="84"/>
      <c r="U56" s="84"/>
      <c r="V56" s="85">
        <f ca="1">V53+V55</f>
        <v>595.82131089082361</v>
      </c>
      <c r="X56" s="15"/>
    </row>
    <row r="57" spans="2:24" x14ac:dyDescent="0.2">
      <c r="B57" s="2" t="s">
        <v>306</v>
      </c>
      <c r="N57" s="44"/>
      <c r="O57" s="44"/>
      <c r="P57" s="44"/>
      <c r="Q57" s="44"/>
      <c r="V57" s="86">
        <f>+Main!H5</f>
        <v>83.239000000000004</v>
      </c>
      <c r="X57" s="23"/>
    </row>
    <row r="58" spans="2:24" x14ac:dyDescent="0.2">
      <c r="B58" s="20" t="s">
        <v>307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82"/>
      <c r="O58" s="82"/>
      <c r="P58" s="82"/>
      <c r="Q58" s="82"/>
      <c r="R58" s="82"/>
      <c r="S58" s="82"/>
      <c r="T58" s="82"/>
      <c r="U58" s="82"/>
      <c r="V58" s="87">
        <f>+Main!H6</f>
        <v>15.463999999999999</v>
      </c>
    </row>
    <row r="59" spans="2:24" x14ac:dyDescent="0.2">
      <c r="B59" s="2" t="s">
        <v>308</v>
      </c>
      <c r="N59" s="44"/>
      <c r="O59" s="44"/>
      <c r="P59" s="44"/>
      <c r="Q59" s="44"/>
      <c r="V59" s="86">
        <f ca="1">V56+V57-V58</f>
        <v>663.59631089082359</v>
      </c>
    </row>
    <row r="60" spans="2:24" x14ac:dyDescent="0.2">
      <c r="B60" s="20" t="s">
        <v>309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82"/>
      <c r="O60" s="82"/>
      <c r="P60" s="82"/>
      <c r="Q60" s="82"/>
      <c r="R60" s="82"/>
      <c r="S60" s="82"/>
      <c r="T60" s="82"/>
      <c r="U60" s="82"/>
      <c r="V60" s="87">
        <f>+Main!H3</f>
        <v>6.8125980000000004</v>
      </c>
    </row>
    <row r="61" spans="2:24" x14ac:dyDescent="0.2">
      <c r="B61" s="2" t="s">
        <v>269</v>
      </c>
      <c r="V61" s="86">
        <f ca="1">V59/V60</f>
        <v>97.40723155701005</v>
      </c>
    </row>
    <row r="65" spans="1:22" x14ac:dyDescent="0.2">
      <c r="A65" s="53" t="s">
        <v>103</v>
      </c>
      <c r="B65" s="54" t="s">
        <v>310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</row>
    <row r="67" spans="1:22" x14ac:dyDescent="0.2">
      <c r="B67" s="88"/>
      <c r="C67" s="102" t="s">
        <v>284</v>
      </c>
      <c r="D67" s="102"/>
      <c r="E67" s="102"/>
      <c r="F67" s="102"/>
      <c r="G67" s="102"/>
      <c r="H67" s="102"/>
      <c r="I67" s="102"/>
      <c r="J67" s="103"/>
      <c r="M67" s="88"/>
      <c r="N67" s="100" t="s">
        <v>326</v>
      </c>
      <c r="O67" s="100"/>
      <c r="P67" s="100"/>
      <c r="Q67" s="100"/>
      <c r="R67" s="100"/>
      <c r="S67" s="100"/>
      <c r="T67" s="100"/>
      <c r="U67" s="101"/>
    </row>
    <row r="68" spans="1:22" ht="15" customHeight="1" x14ac:dyDescent="0.2">
      <c r="B68" s="98" t="s">
        <v>264</v>
      </c>
      <c r="C68" s="89">
        <f ca="1">+J3</f>
        <v>97.40723155701005</v>
      </c>
      <c r="D68" s="90">
        <v>1.4999999999999999E-2</v>
      </c>
      <c r="E68" s="90">
        <v>0.02</v>
      </c>
      <c r="F68" s="90">
        <v>2.5000000000000001E-2</v>
      </c>
      <c r="G68" s="90">
        <v>0.03</v>
      </c>
      <c r="H68" s="90">
        <v>3.5000000000000003E-2</v>
      </c>
      <c r="I68" s="90">
        <v>0.04</v>
      </c>
      <c r="J68" s="90">
        <v>4.4999999999999998E-2</v>
      </c>
      <c r="M68" s="98" t="s">
        <v>264</v>
      </c>
      <c r="N68" s="89">
        <f ca="1">+J3</f>
        <v>97.40723155701005</v>
      </c>
      <c r="O68" s="90">
        <v>7.4999999999999997E-2</v>
      </c>
      <c r="P68" s="90">
        <v>0.08</v>
      </c>
      <c r="Q68" s="90">
        <v>8.5000000000000006E-2</v>
      </c>
      <c r="R68" s="90">
        <v>0.09</v>
      </c>
      <c r="S68" s="90">
        <v>9.5000000000000001E-2</v>
      </c>
      <c r="T68" s="90">
        <v>0.1</v>
      </c>
      <c r="U68" s="90">
        <v>0.105</v>
      </c>
    </row>
    <row r="69" spans="1:22" x14ac:dyDescent="0.2">
      <c r="B69" s="98"/>
      <c r="C69" s="91">
        <v>6.5000000000000002E-2</v>
      </c>
      <c r="D69" s="40">
        <f t="dataTable" ref="D69:J75" dt2D="1" dtr="1" r1="E18" r2="E17" ca="1"/>
        <v>120.03375129636846</v>
      </c>
      <c r="E69" s="40">
        <v>122.91626482467653</v>
      </c>
      <c r="F69" s="40">
        <v>126.46325387412048</v>
      </c>
      <c r="G69" s="92">
        <v>130.95949366804447</v>
      </c>
      <c r="H69" s="40">
        <v>136.87960957868825</v>
      </c>
      <c r="I69" s="40">
        <v>145.07792727608387</v>
      </c>
      <c r="J69" s="40">
        <v>157.26309810029514</v>
      </c>
      <c r="M69" s="98"/>
      <c r="N69" s="91">
        <v>6.5000000000000002E-2</v>
      </c>
      <c r="O69" s="40">
        <f t="dataTable" ref="O69:U75" dt2D="1" dtr="1" r1="E19" r2="E17" ca="1"/>
        <v>123.02750096825503</v>
      </c>
      <c r="P69" s="40">
        <v>126.00199823067607</v>
      </c>
      <c r="Q69" s="40">
        <v>128.62655463869461</v>
      </c>
      <c r="R69" s="92">
        <v>130.95949366804447</v>
      </c>
      <c r="S69" s="40">
        <v>133.04686016798902</v>
      </c>
      <c r="T69" s="40">
        <v>134.92549001793915</v>
      </c>
      <c r="U69" s="40">
        <v>136.62520273932259</v>
      </c>
    </row>
    <row r="70" spans="1:22" x14ac:dyDescent="0.2">
      <c r="B70" s="98"/>
      <c r="C70" s="91">
        <v>7.0000000000000007E-2</v>
      </c>
      <c r="D70" s="40">
        <v>110.12725993077264</v>
      </c>
      <c r="E70" s="40">
        <v>112.01391152338132</v>
      </c>
      <c r="F70" s="40">
        <v>114.27207766930786</v>
      </c>
      <c r="G70" s="92">
        <v>117.04107632604659</v>
      </c>
      <c r="H70" s="40">
        <v>120.53983571251693</v>
      </c>
      <c r="I70" s="40">
        <v>125.13323619358472</v>
      </c>
      <c r="J70" s="40">
        <v>131.47806242600842</v>
      </c>
      <c r="M70" s="98"/>
      <c r="N70" s="91">
        <v>7.0000000000000007E-2</v>
      </c>
      <c r="O70" s="40">
        <v>110.40264075329628</v>
      </c>
      <c r="P70" s="40">
        <v>112.89205409307766</v>
      </c>
      <c r="Q70" s="40">
        <v>115.08859527523767</v>
      </c>
      <c r="R70" s="92">
        <v>117.04107632604659</v>
      </c>
      <c r="S70" s="40">
        <v>118.78803305571775</v>
      </c>
      <c r="T70" s="40">
        <v>120.36029411242176</v>
      </c>
      <c r="U70" s="40">
        <v>121.78281602086824</v>
      </c>
    </row>
    <row r="71" spans="1:22" x14ac:dyDescent="0.2">
      <c r="B71" s="98"/>
      <c r="C71" s="91">
        <v>7.4999999999999997E-2</v>
      </c>
      <c r="D71" s="40">
        <v>101.86081616097641</v>
      </c>
      <c r="E71" s="40">
        <v>103.07063357241866</v>
      </c>
      <c r="F71" s="40">
        <v>104.48130870081846</v>
      </c>
      <c r="G71" s="92">
        <v>106.15979411849509</v>
      </c>
      <c r="H71" s="40">
        <v>108.20651868392726</v>
      </c>
      <c r="I71" s="40">
        <v>110.77929917472456</v>
      </c>
      <c r="J71" s="40">
        <v>114.14116355356954</v>
      </c>
      <c r="K71" s="1"/>
      <c r="M71" s="98"/>
      <c r="N71" s="91">
        <v>7.4999999999999997E-2</v>
      </c>
      <c r="O71" s="40">
        <v>100.51460234639093</v>
      </c>
      <c r="P71" s="40">
        <v>102.63154926092999</v>
      </c>
      <c r="Q71" s="40">
        <v>104.49944359728798</v>
      </c>
      <c r="R71" s="92">
        <v>106.15979411849509</v>
      </c>
      <c r="S71" s="40">
        <v>107.64537090062775</v>
      </c>
      <c r="T71" s="40">
        <v>108.98239000454717</v>
      </c>
      <c r="U71" s="40">
        <v>110.19207395571235</v>
      </c>
    </row>
    <row r="72" spans="1:22" x14ac:dyDescent="0.2">
      <c r="B72" s="98"/>
      <c r="C72" s="91">
        <v>0.08</v>
      </c>
      <c r="D72" s="92">
        <v>94.856635440256966</v>
      </c>
      <c r="E72" s="92">
        <v>95.597911891745127</v>
      </c>
      <c r="F72" s="92">
        <v>96.438208574229819</v>
      </c>
      <c r="G72" s="92">
        <v>97.40723155701005</v>
      </c>
      <c r="H72" s="92">
        <v>98.547889606850973</v>
      </c>
      <c r="I72" s="92">
        <v>99.924545873900385</v>
      </c>
      <c r="J72" s="92">
        <v>101.63834245124761</v>
      </c>
      <c r="M72" s="98"/>
      <c r="N72" s="91">
        <v>0.08</v>
      </c>
      <c r="O72" s="92">
        <v>92.545668282515607</v>
      </c>
      <c r="P72" s="92">
        <v>94.368754510451012</v>
      </c>
      <c r="Q72" s="92">
        <v>95.977360005688155</v>
      </c>
      <c r="R72" s="92">
        <v>97.40723155701005</v>
      </c>
      <c r="S72" s="92">
        <v>98.686590313455966</v>
      </c>
      <c r="T72" s="92">
        <v>99.838013194257272</v>
      </c>
      <c r="U72" s="92">
        <v>100.87977675307752</v>
      </c>
    </row>
    <row r="73" spans="1:22" x14ac:dyDescent="0.2">
      <c r="B73" s="98"/>
      <c r="C73" s="91">
        <v>8.5000000000000006E-2</v>
      </c>
      <c r="D73" s="40">
        <v>88.844831407072945</v>
      </c>
      <c r="E73" s="40">
        <v>89.257472189458497</v>
      </c>
      <c r="F73" s="40">
        <v>89.707516083697726</v>
      </c>
      <c r="G73" s="92">
        <v>90.20516393847798</v>
      </c>
      <c r="H73" s="40">
        <v>90.764696941961546</v>
      </c>
      <c r="I73" s="40">
        <v>91.406743477049559</v>
      </c>
      <c r="J73" s="40">
        <v>92.162246118093677</v>
      </c>
      <c r="M73" s="98"/>
      <c r="N73" s="91">
        <v>8.5000000000000006E-2</v>
      </c>
      <c r="O73" s="40">
        <v>85.97529976535445</v>
      </c>
      <c r="P73" s="40">
        <v>87.561498830275767</v>
      </c>
      <c r="Q73" s="40">
        <v>88.961086240500464</v>
      </c>
      <c r="R73" s="92">
        <v>90.20516393847798</v>
      </c>
      <c r="S73" s="40">
        <v>91.318286089299946</v>
      </c>
      <c r="T73" s="40">
        <v>92.320096025039732</v>
      </c>
      <c r="U73" s="40">
        <v>93.22649549070907</v>
      </c>
    </row>
    <row r="74" spans="1:22" x14ac:dyDescent="0.2">
      <c r="B74" s="98"/>
      <c r="C74" s="91">
        <v>0.09</v>
      </c>
      <c r="D74" s="40">
        <v>83.627452247762406</v>
      </c>
      <c r="E74" s="40">
        <v>83.807630107107329</v>
      </c>
      <c r="F74" s="40">
        <v>83.987807966452181</v>
      </c>
      <c r="G74" s="92">
        <v>84.167985825797103</v>
      </c>
      <c r="H74" s="40">
        <v>84.348163685141955</v>
      </c>
      <c r="I74" s="40">
        <v>84.528341544486835</v>
      </c>
      <c r="J74" s="40">
        <v>84.70851940383173</v>
      </c>
      <c r="M74" s="98"/>
      <c r="N74" s="91">
        <v>0.09</v>
      </c>
      <c r="O74" s="40">
        <v>80.456321923292492</v>
      </c>
      <c r="P74" s="40">
        <v>81.848195886731688</v>
      </c>
      <c r="Q74" s="40">
        <v>83.076319972119265</v>
      </c>
      <c r="R74" s="92">
        <v>84.167985825797103</v>
      </c>
      <c r="S74" s="40">
        <v>85.144739484350936</v>
      </c>
      <c r="T74" s="40">
        <v>86.023817777049373</v>
      </c>
      <c r="U74" s="40">
        <v>86.819174327586097</v>
      </c>
    </row>
    <row r="75" spans="1:22" x14ac:dyDescent="0.2">
      <c r="B75" s="99"/>
      <c r="C75" s="91">
        <v>9.5000000000000001E-2</v>
      </c>
      <c r="D75" s="40">
        <v>79.056003269826107</v>
      </c>
      <c r="E75" s="40">
        <v>79.071098059780141</v>
      </c>
      <c r="F75" s="40">
        <v>79.063704693272044</v>
      </c>
      <c r="G75" s="92">
        <v>79.028633595733595</v>
      </c>
      <c r="H75" s="40">
        <v>78.958965334407267</v>
      </c>
      <c r="I75" s="40">
        <v>78.845264319169033</v>
      </c>
      <c r="J75" s="40">
        <v>78.674320723845341</v>
      </c>
      <c r="M75" s="99"/>
      <c r="N75" s="91">
        <v>9.6000000000000002E-2</v>
      </c>
      <c r="O75" s="40">
        <v>74.887908709762741</v>
      </c>
      <c r="P75" s="40">
        <v>76.088952084299606</v>
      </c>
      <c r="Q75" s="40">
        <v>77.148696238302691</v>
      </c>
      <c r="R75" s="92">
        <v>78.090691041861021</v>
      </c>
      <c r="S75" s="40">
        <v>78.933528497676363</v>
      </c>
      <c r="T75" s="40">
        <v>79.692082207910161</v>
      </c>
      <c r="U75" s="40">
        <v>80.378392707645517</v>
      </c>
    </row>
  </sheetData>
  <mergeCells count="4">
    <mergeCell ref="M68:M75"/>
    <mergeCell ref="N67:U67"/>
    <mergeCell ref="B68:B75"/>
    <mergeCell ref="C67:J67"/>
  </mergeCells>
  <conditionalFormatting sqref="D69:J75">
    <cfRule type="cellIs" dxfId="3" priority="7" operator="lessThan">
      <formula>$J$2</formula>
    </cfRule>
    <cfRule type="cellIs" dxfId="2" priority="8" operator="greaterThan">
      <formula>$J$2</formula>
    </cfRule>
  </conditionalFormatting>
  <conditionalFormatting sqref="O69:U75">
    <cfRule type="cellIs" dxfId="1" priority="5" operator="lessThan">
      <formula>$J$2</formula>
    </cfRule>
    <cfRule type="cellIs" dxfId="0" priority="6" operator="greaterThan">
      <formula>$J$2</formula>
    </cfRule>
  </conditionalFormatting>
  <dataValidations count="1">
    <dataValidation type="list" allowBlank="1" showInputMessage="1" showErrorMessage="1" sqref="E10:E14" xr:uid="{B6B6CDFE-8D2E-4EDE-A4C4-08BB9E32437F}">
      <formula1>"1,2,3"</formula1>
    </dataValidation>
  </dataValidations>
  <hyperlinks>
    <hyperlink ref="A1" location="Main!A1" display="Main" xr:uid="{908E8F68-FB5E-41C5-94B9-2A616ED8C3E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6550-C109-423D-92F9-C38CEA7C14E4}">
  <dimension ref="A1:I48"/>
  <sheetViews>
    <sheetView showGridLines="0" zoomScale="200" zoomScaleNormal="200" workbookViewId="0">
      <selection activeCell="A2" sqref="A2"/>
    </sheetView>
  </sheetViews>
  <sheetFormatPr defaultRowHeight="12.75" x14ac:dyDescent="0.2"/>
  <cols>
    <col min="1" max="1" width="4.5703125" style="2" customWidth="1"/>
    <col min="2" max="16384" width="9.140625" style="2"/>
  </cols>
  <sheetData>
    <row r="1" spans="1:8" x14ac:dyDescent="0.2">
      <c r="A1" s="6" t="s">
        <v>13</v>
      </c>
    </row>
    <row r="3" spans="1:8" x14ac:dyDescent="0.2">
      <c r="B3" s="54" t="s">
        <v>230</v>
      </c>
      <c r="C3" s="54"/>
      <c r="D3" s="54"/>
      <c r="E3" s="54"/>
      <c r="F3" s="54"/>
    </row>
    <row r="4" spans="1:8" x14ac:dyDescent="0.2">
      <c r="A4" s="26" t="s">
        <v>103</v>
      </c>
      <c r="B4" s="3" t="s">
        <v>231</v>
      </c>
    </row>
    <row r="5" spans="1:8" x14ac:dyDescent="0.2">
      <c r="B5" s="3" t="s">
        <v>232</v>
      </c>
    </row>
    <row r="6" spans="1:8" x14ac:dyDescent="0.2">
      <c r="B6" s="2" t="s">
        <v>233</v>
      </c>
      <c r="H6" s="41" t="s">
        <v>234</v>
      </c>
    </row>
    <row r="7" spans="1:8" x14ac:dyDescent="0.2">
      <c r="B7" s="2" t="s">
        <v>235</v>
      </c>
      <c r="H7" s="41" t="s">
        <v>236</v>
      </c>
    </row>
    <row r="8" spans="1:8" x14ac:dyDescent="0.2">
      <c r="B8" s="2" t="s">
        <v>232</v>
      </c>
      <c r="F8" s="2">
        <f>F6+F7</f>
        <v>0</v>
      </c>
      <c r="H8" s="41" t="s">
        <v>237</v>
      </c>
    </row>
    <row r="10" spans="1:8" x14ac:dyDescent="0.2">
      <c r="A10" s="26" t="s">
        <v>103</v>
      </c>
      <c r="B10" s="3" t="s">
        <v>238</v>
      </c>
    </row>
    <row r="11" spans="1:8" x14ac:dyDescent="0.2">
      <c r="B11" s="2" t="s">
        <v>239</v>
      </c>
      <c r="H11" s="41" t="s">
        <v>240</v>
      </c>
    </row>
    <row r="12" spans="1:8" x14ac:dyDescent="0.2">
      <c r="B12" s="2" t="s">
        <v>241</v>
      </c>
      <c r="H12" s="41" t="s">
        <v>242</v>
      </c>
    </row>
    <row r="13" spans="1:8" x14ac:dyDescent="0.2">
      <c r="B13" s="2" t="s">
        <v>243</v>
      </c>
      <c r="H13" s="41" t="s">
        <v>244</v>
      </c>
    </row>
    <row r="14" spans="1:8" x14ac:dyDescent="0.2">
      <c r="B14" s="2" t="s">
        <v>245</v>
      </c>
      <c r="H14" s="41" t="s">
        <v>246</v>
      </c>
    </row>
    <row r="15" spans="1:8" x14ac:dyDescent="0.2">
      <c r="B15" s="2" t="s">
        <v>247</v>
      </c>
      <c r="H15" s="41" t="s">
        <v>248</v>
      </c>
    </row>
    <row r="17" spans="1:8" x14ac:dyDescent="0.2">
      <c r="A17" s="26" t="s">
        <v>103</v>
      </c>
      <c r="B17" s="3" t="s">
        <v>249</v>
      </c>
    </row>
    <row r="18" spans="1:8" x14ac:dyDescent="0.2">
      <c r="B18" s="2" t="s">
        <v>250</v>
      </c>
      <c r="H18" s="41" t="s">
        <v>251</v>
      </c>
    </row>
    <row r="19" spans="1:8" x14ac:dyDescent="0.2">
      <c r="B19" s="2" t="s">
        <v>232</v>
      </c>
    </row>
    <row r="20" spans="1:8" x14ac:dyDescent="0.2">
      <c r="B20" s="2" t="s">
        <v>249</v>
      </c>
      <c r="F20" s="2">
        <f>F18-F19</f>
        <v>0</v>
      </c>
    </row>
    <row r="22" spans="1:8" x14ac:dyDescent="0.2">
      <c r="A22" s="26" t="s">
        <v>103</v>
      </c>
      <c r="B22" s="93" t="s">
        <v>231</v>
      </c>
      <c r="C22" s="83"/>
      <c r="D22" s="83"/>
      <c r="E22" s="83"/>
      <c r="F22" s="94">
        <f>F8+F15*F20</f>
        <v>0</v>
      </c>
      <c r="H22" s="41" t="s">
        <v>252</v>
      </c>
    </row>
    <row r="25" spans="1:8" x14ac:dyDescent="0.2">
      <c r="A25" s="26" t="s">
        <v>103</v>
      </c>
      <c r="B25" s="3" t="s">
        <v>253</v>
      </c>
    </row>
    <row r="26" spans="1:8" x14ac:dyDescent="0.2">
      <c r="B26" s="2" t="s">
        <v>254</v>
      </c>
      <c r="H26" s="41" t="s">
        <v>255</v>
      </c>
    </row>
    <row r="27" spans="1:8" x14ac:dyDescent="0.2">
      <c r="B27" s="2" t="s">
        <v>256</v>
      </c>
    </row>
    <row r="28" spans="1:8" x14ac:dyDescent="0.2">
      <c r="B28" s="2" t="s">
        <v>232</v>
      </c>
    </row>
    <row r="29" spans="1:8" x14ac:dyDescent="0.2">
      <c r="B29" s="2" t="s">
        <v>257</v>
      </c>
    </row>
    <row r="30" spans="1:8" x14ac:dyDescent="0.2">
      <c r="B30" s="2" t="s">
        <v>258</v>
      </c>
    </row>
    <row r="32" spans="1:8" x14ac:dyDescent="0.2">
      <c r="A32" s="26" t="s">
        <v>103</v>
      </c>
      <c r="B32" s="93" t="s">
        <v>253</v>
      </c>
      <c r="C32" s="83"/>
      <c r="D32" s="83"/>
      <c r="E32" s="83"/>
      <c r="F32" s="94">
        <f>F28+F29+F30</f>
        <v>0</v>
      </c>
    </row>
    <row r="34" spans="1:9" x14ac:dyDescent="0.2">
      <c r="A34" s="26" t="s">
        <v>103</v>
      </c>
      <c r="B34" s="3" t="s">
        <v>259</v>
      </c>
    </row>
    <row r="35" spans="1:9" x14ac:dyDescent="0.2">
      <c r="B35" s="2" t="s">
        <v>260</v>
      </c>
    </row>
    <row r="36" spans="1:9" x14ac:dyDescent="0.2">
      <c r="B36" s="2" t="s">
        <v>261</v>
      </c>
    </row>
    <row r="37" spans="1:9" x14ac:dyDescent="0.2">
      <c r="B37" s="2" t="s">
        <v>262</v>
      </c>
      <c r="F37" s="2">
        <f>F35+F36</f>
        <v>0</v>
      </c>
    </row>
    <row r="39" spans="1:9" x14ac:dyDescent="0.2">
      <c r="B39" s="2" t="s">
        <v>263</v>
      </c>
    </row>
    <row r="41" spans="1:9" x14ac:dyDescent="0.2">
      <c r="A41" s="26" t="s">
        <v>103</v>
      </c>
      <c r="B41" s="93" t="s">
        <v>264</v>
      </c>
      <c r="C41" s="83"/>
      <c r="D41" s="83"/>
      <c r="E41" s="83"/>
      <c r="F41" s="94" t="e">
        <f>(F32*(F35/F37)*(1-F39))+((F36/F38)*F22)</f>
        <v>#DIV/0!</v>
      </c>
      <c r="H41" s="41" t="s">
        <v>265</v>
      </c>
    </row>
    <row r="47" spans="1:9" x14ac:dyDescent="0.2">
      <c r="I47" s="2" t="e">
        <f>SLOPE(H48:H52,K48:K52)</f>
        <v>#DIV/0!</v>
      </c>
    </row>
    <row r="48" spans="1:9" x14ac:dyDescent="0.2">
      <c r="H48" s="2" t="s">
        <v>266</v>
      </c>
    </row>
  </sheetData>
  <hyperlinks>
    <hyperlink ref="A1" location="Main!A1" display="Main" xr:uid="{1C9FB240-9E00-4010-9D37-530FC9D399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Main</vt:lpstr>
      <vt:lpstr>Model</vt:lpstr>
      <vt:lpstr>WC</vt:lpstr>
      <vt:lpstr>BC</vt:lpstr>
      <vt:lpstr>Ratios</vt:lpstr>
      <vt:lpstr>DCF</vt:lpstr>
      <vt:lpstr>CoC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2025-01-21T10:52:21Z</dcterms:created>
  <dcterms:modified xsi:type="dcterms:W3CDTF">2026-07-17T16:55:33Z</dcterms:modified>
</cp:coreProperties>
</file>