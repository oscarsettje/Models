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9FCE706E-395A-4920-8BB5-82D17064A171}" xr6:coauthVersionLast="47" xr6:coauthVersionMax="47" xr10:uidLastSave="{00000000-0000-0000-0000-000000000000}"/>
  <bookViews>
    <workbookView xWindow="19095" yWindow="0" windowWidth="19410" windowHeight="20985" xr2:uid="{09B18DE7-4EEF-4A72-AC57-80486CCDDA7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P6" i="2"/>
  <c r="P51" i="2"/>
  <c r="P50" i="2"/>
  <c r="P49" i="2"/>
  <c r="P48" i="2"/>
  <c r="P47" i="2"/>
  <c r="P45" i="2"/>
  <c r="P44" i="2"/>
  <c r="P43" i="2"/>
  <c r="P42" i="2"/>
  <c r="P41" i="2"/>
  <c r="P40" i="2"/>
  <c r="P38" i="2"/>
  <c r="P37" i="2"/>
  <c r="P36" i="2"/>
  <c r="P33" i="2"/>
  <c r="P31" i="2"/>
  <c r="P29" i="2"/>
  <c r="P27" i="2"/>
  <c r="P25" i="2"/>
  <c r="P22" i="2"/>
  <c r="W22" i="2"/>
  <c r="O51" i="2"/>
  <c r="O50" i="2"/>
  <c r="O49" i="2"/>
  <c r="O48" i="2"/>
  <c r="O47" i="2"/>
  <c r="O45" i="2"/>
  <c r="O44" i="2"/>
  <c r="O43" i="2"/>
  <c r="O42" i="2"/>
  <c r="O41" i="2"/>
  <c r="O40" i="2"/>
  <c r="O38" i="2"/>
  <c r="O37" i="2"/>
  <c r="O36" i="2"/>
  <c r="O6" i="2"/>
  <c r="O33" i="2"/>
  <c r="O31" i="2"/>
  <c r="O29" i="2"/>
  <c r="O27" i="2"/>
  <c r="O25" i="2"/>
  <c r="O22" i="2"/>
  <c r="N30" i="2"/>
  <c r="N28" i="2"/>
  <c r="N26" i="2"/>
  <c r="N24" i="2"/>
  <c r="N23" i="2"/>
  <c r="N21" i="2"/>
  <c r="N20" i="2"/>
  <c r="N22" i="2" s="1"/>
  <c r="N19" i="2"/>
  <c r="N18" i="2"/>
  <c r="N17" i="2"/>
  <c r="N16" i="2"/>
  <c r="N12" i="2"/>
  <c r="N11" i="2"/>
  <c r="N10" i="2"/>
  <c r="N7" i="2"/>
  <c r="N37" i="2" s="1"/>
  <c r="N5" i="2"/>
  <c r="N4" i="2"/>
  <c r="N3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I47" i="2"/>
  <c r="H47" i="2"/>
  <c r="G47" i="2"/>
  <c r="I46" i="2"/>
  <c r="H46" i="2"/>
  <c r="G46" i="2"/>
  <c r="I45" i="2"/>
  <c r="H45" i="2"/>
  <c r="G45" i="2"/>
  <c r="I44" i="2"/>
  <c r="H44" i="2"/>
  <c r="G44" i="2"/>
  <c r="I43" i="2"/>
  <c r="H43" i="2"/>
  <c r="G43" i="2"/>
  <c r="I42" i="2"/>
  <c r="H42" i="2"/>
  <c r="G42" i="2"/>
  <c r="I41" i="2"/>
  <c r="H41" i="2"/>
  <c r="G41" i="2"/>
  <c r="I40" i="2"/>
  <c r="H40" i="2"/>
  <c r="G40" i="2"/>
  <c r="I39" i="2"/>
  <c r="H39" i="2"/>
  <c r="G39" i="2"/>
  <c r="I38" i="2"/>
  <c r="H38" i="2"/>
  <c r="G38" i="2"/>
  <c r="K47" i="2"/>
  <c r="K46" i="2"/>
  <c r="K45" i="2"/>
  <c r="K44" i="2"/>
  <c r="K43" i="2"/>
  <c r="K42" i="2"/>
  <c r="K41" i="2"/>
  <c r="K40" i="2"/>
  <c r="K39" i="2"/>
  <c r="K38" i="2"/>
  <c r="K36" i="2"/>
  <c r="K37" i="2"/>
  <c r="Y48" i="2"/>
  <c r="X48" i="2"/>
  <c r="W48" i="2"/>
  <c r="V48" i="2"/>
  <c r="U48" i="2"/>
  <c r="Y47" i="2"/>
  <c r="X47" i="2"/>
  <c r="W47" i="2"/>
  <c r="V47" i="2"/>
  <c r="U47" i="2"/>
  <c r="Y46" i="2"/>
  <c r="X46" i="2"/>
  <c r="W46" i="2"/>
  <c r="V46" i="2"/>
  <c r="U46" i="2"/>
  <c r="Y45" i="2"/>
  <c r="X45" i="2"/>
  <c r="W45" i="2"/>
  <c r="V45" i="2"/>
  <c r="U45" i="2"/>
  <c r="Y44" i="2"/>
  <c r="X44" i="2"/>
  <c r="W44" i="2"/>
  <c r="V44" i="2"/>
  <c r="U44" i="2"/>
  <c r="Y43" i="2"/>
  <c r="X43" i="2"/>
  <c r="W43" i="2"/>
  <c r="V43" i="2"/>
  <c r="U43" i="2"/>
  <c r="Y42" i="2"/>
  <c r="X42" i="2"/>
  <c r="W42" i="2"/>
  <c r="V42" i="2"/>
  <c r="U42" i="2"/>
  <c r="Y41" i="2"/>
  <c r="X41" i="2"/>
  <c r="W41" i="2"/>
  <c r="V41" i="2"/>
  <c r="U41" i="2"/>
  <c r="Y40" i="2"/>
  <c r="X40" i="2"/>
  <c r="W40" i="2"/>
  <c r="V40" i="2"/>
  <c r="U40" i="2"/>
  <c r="Y39" i="2"/>
  <c r="X39" i="2"/>
  <c r="W39" i="2"/>
  <c r="V39" i="2"/>
  <c r="U39" i="2"/>
  <c r="Y38" i="2"/>
  <c r="X38" i="2"/>
  <c r="W38" i="2"/>
  <c r="V38" i="2"/>
  <c r="U38" i="2"/>
  <c r="Y37" i="2"/>
  <c r="X37" i="2"/>
  <c r="W37" i="2"/>
  <c r="V37" i="2"/>
  <c r="U37" i="2"/>
  <c r="Y36" i="2"/>
  <c r="X36" i="2"/>
  <c r="W36" i="2"/>
  <c r="V36" i="2"/>
  <c r="U36" i="2"/>
  <c r="Z48" i="2"/>
  <c r="Z47" i="2"/>
  <c r="Z46" i="2"/>
  <c r="Z45" i="2"/>
  <c r="Z44" i="2"/>
  <c r="Z40" i="2"/>
  <c r="Z39" i="2"/>
  <c r="Z38" i="2"/>
  <c r="Z37" i="2"/>
  <c r="Z6" i="2"/>
  <c r="Z15" i="2"/>
  <c r="Z14" i="2"/>
  <c r="Z13" i="2"/>
  <c r="Z22" i="2"/>
  <c r="M6" i="2"/>
  <c r="M36" i="2" s="1"/>
  <c r="M22" i="2"/>
  <c r="L6" i="2"/>
  <c r="L36" i="2" s="1"/>
  <c r="L22" i="2"/>
  <c r="W5" i="2"/>
  <c r="W4" i="2"/>
  <c r="W3" i="2"/>
  <c r="X5" i="2"/>
  <c r="F5" i="2" s="1"/>
  <c r="X4" i="2"/>
  <c r="F4" i="2" s="1"/>
  <c r="X3" i="2"/>
  <c r="F3" i="2" s="1"/>
  <c r="K5" i="2"/>
  <c r="K4" i="2"/>
  <c r="K3" i="2"/>
  <c r="J5" i="2"/>
  <c r="J4" i="2"/>
  <c r="J3" i="2"/>
  <c r="I5" i="2"/>
  <c r="I4" i="2"/>
  <c r="I3" i="2"/>
  <c r="H5" i="2"/>
  <c r="H4" i="2"/>
  <c r="H3" i="2"/>
  <c r="G5" i="2"/>
  <c r="G4" i="2"/>
  <c r="G3" i="2"/>
  <c r="E5" i="2"/>
  <c r="E4" i="2"/>
  <c r="E3" i="2"/>
  <c r="D5" i="2"/>
  <c r="D4" i="2"/>
  <c r="D3" i="2"/>
  <c r="C5" i="2"/>
  <c r="C4" i="2"/>
  <c r="C3" i="2"/>
  <c r="K48" i="2"/>
  <c r="K22" i="2"/>
  <c r="K49" i="2" s="1"/>
  <c r="J30" i="2"/>
  <c r="J28" i="2"/>
  <c r="J26" i="2"/>
  <c r="J24" i="2"/>
  <c r="J23" i="2"/>
  <c r="Y22" i="2"/>
  <c r="Y49" i="2" s="1"/>
  <c r="J21" i="2"/>
  <c r="J20" i="2"/>
  <c r="J19" i="2"/>
  <c r="J18" i="2"/>
  <c r="J17" i="2"/>
  <c r="J16" i="2"/>
  <c r="J15" i="2"/>
  <c r="J14" i="2"/>
  <c r="J13" i="2"/>
  <c r="J12" i="2"/>
  <c r="J11" i="2"/>
  <c r="J10" i="2"/>
  <c r="V51" i="2"/>
  <c r="U51" i="2"/>
  <c r="T51" i="2"/>
  <c r="V50" i="2"/>
  <c r="U50" i="2"/>
  <c r="T50" i="2"/>
  <c r="V49" i="2"/>
  <c r="U49" i="2"/>
  <c r="T49" i="2"/>
  <c r="F30" i="2"/>
  <c r="F28" i="2"/>
  <c r="F26" i="2"/>
  <c r="F24" i="2"/>
  <c r="F23" i="2"/>
  <c r="F21" i="2"/>
  <c r="F20" i="2"/>
  <c r="F22" i="2" s="1"/>
  <c r="F19" i="2"/>
  <c r="F18" i="2"/>
  <c r="F17" i="2"/>
  <c r="F16" i="2"/>
  <c r="F15" i="2"/>
  <c r="F14" i="2"/>
  <c r="F13" i="2"/>
  <c r="F12" i="2"/>
  <c r="F11" i="2"/>
  <c r="F10" i="2"/>
  <c r="F7" i="2"/>
  <c r="J37" i="2" s="1"/>
  <c r="F6" i="2"/>
  <c r="J36" i="2" s="1"/>
  <c r="V33" i="2"/>
  <c r="U33" i="2"/>
  <c r="T33" i="2"/>
  <c r="W49" i="2"/>
  <c r="X22" i="2"/>
  <c r="X25" i="2" s="1"/>
  <c r="X27" i="2" s="1"/>
  <c r="H48" i="2"/>
  <c r="G48" i="2"/>
  <c r="I48" i="2"/>
  <c r="H37" i="2"/>
  <c r="G37" i="2"/>
  <c r="H36" i="2"/>
  <c r="G36" i="2"/>
  <c r="I37" i="2"/>
  <c r="I36" i="2"/>
  <c r="H22" i="2"/>
  <c r="H25" i="2" s="1"/>
  <c r="H27" i="2" s="1"/>
  <c r="H29" i="2" s="1"/>
  <c r="H31" i="2" s="1"/>
  <c r="H33" i="2" s="1"/>
  <c r="G22" i="2"/>
  <c r="G25" i="2" s="1"/>
  <c r="G27" i="2" s="1"/>
  <c r="G29" i="2" s="1"/>
  <c r="G31" i="2" s="1"/>
  <c r="G33" i="2" s="1"/>
  <c r="E22" i="2"/>
  <c r="E25" i="2" s="1"/>
  <c r="E27" i="2" s="1"/>
  <c r="E29" i="2" s="1"/>
  <c r="D22" i="2"/>
  <c r="D25" i="2" s="1"/>
  <c r="D27" i="2" s="1"/>
  <c r="D29" i="2" s="1"/>
  <c r="D31" i="2" s="1"/>
  <c r="D33" i="2" s="1"/>
  <c r="C22" i="2"/>
  <c r="C25" i="2" s="1"/>
  <c r="C27" i="2" s="1"/>
  <c r="C29" i="2" s="1"/>
  <c r="C31" i="2" s="1"/>
  <c r="C33" i="2" s="1"/>
  <c r="I22" i="2"/>
  <c r="I25" i="2" s="1"/>
  <c r="I27" i="2" s="1"/>
  <c r="I29" i="2" s="1"/>
  <c r="I31" i="2" s="1"/>
  <c r="I33" i="2" s="1"/>
  <c r="J4" i="1"/>
  <c r="M25" i="2" l="1"/>
  <c r="M49" i="2"/>
  <c r="M27" i="2"/>
  <c r="M50" i="2"/>
  <c r="N48" i="2"/>
  <c r="J47" i="2"/>
  <c r="J46" i="2"/>
  <c r="J45" i="2"/>
  <c r="J44" i="2"/>
  <c r="J43" i="2"/>
  <c r="J42" i="2"/>
  <c r="J41" i="2"/>
  <c r="J40" i="2"/>
  <c r="J39" i="2"/>
  <c r="J38" i="2"/>
  <c r="N38" i="2"/>
  <c r="N40" i="2"/>
  <c r="N39" i="2"/>
  <c r="N6" i="2"/>
  <c r="N36" i="2" s="1"/>
  <c r="Z36" i="2"/>
  <c r="Z25" i="2"/>
  <c r="Z49" i="2"/>
  <c r="N47" i="2"/>
  <c r="N46" i="2"/>
  <c r="N45" i="2"/>
  <c r="N44" i="2"/>
  <c r="N25" i="2"/>
  <c r="N49" i="2"/>
  <c r="N15" i="2"/>
  <c r="N43" i="2" s="1"/>
  <c r="Z43" i="2"/>
  <c r="N14" i="2"/>
  <c r="N42" i="2" s="1"/>
  <c r="Z42" i="2"/>
  <c r="N13" i="2"/>
  <c r="N41" i="2" s="1"/>
  <c r="Z41" i="2"/>
  <c r="L25" i="2"/>
  <c r="L49" i="2"/>
  <c r="X49" i="2"/>
  <c r="J22" i="2"/>
  <c r="K25" i="2"/>
  <c r="I51" i="2"/>
  <c r="D51" i="2"/>
  <c r="E51" i="2"/>
  <c r="G51" i="2"/>
  <c r="H51" i="2"/>
  <c r="C49" i="2"/>
  <c r="D49" i="2"/>
  <c r="H50" i="2"/>
  <c r="C51" i="2"/>
  <c r="X29" i="2"/>
  <c r="X31" i="2" s="1"/>
  <c r="X33" i="2" s="1"/>
  <c r="X51" i="2"/>
  <c r="F25" i="2"/>
  <c r="F27" i="2" s="1"/>
  <c r="F49" i="2"/>
  <c r="J48" i="2"/>
  <c r="I49" i="2"/>
  <c r="I50" i="2"/>
  <c r="Y25" i="2"/>
  <c r="G49" i="2"/>
  <c r="C50" i="2"/>
  <c r="X50" i="2"/>
  <c r="E49" i="2"/>
  <c r="W25" i="2"/>
  <c r="H49" i="2"/>
  <c r="D50" i="2"/>
  <c r="E50" i="2"/>
  <c r="G50" i="2"/>
  <c r="J7" i="1"/>
  <c r="E31" i="2"/>
  <c r="E33" i="2" s="1"/>
  <c r="J25" i="2" l="1"/>
  <c r="J27" i="2" s="1"/>
  <c r="J51" i="2" s="1"/>
  <c r="J49" i="2"/>
  <c r="M29" i="2"/>
  <c r="M31" i="2" s="1"/>
  <c r="M33" i="2" s="1"/>
  <c r="M51" i="2"/>
  <c r="Z50" i="2"/>
  <c r="Z27" i="2"/>
  <c r="N27" i="2"/>
  <c r="N50" i="2"/>
  <c r="L50" i="2"/>
  <c r="L27" i="2"/>
  <c r="K50" i="2"/>
  <c r="K27" i="2"/>
  <c r="K29" i="2" s="1"/>
  <c r="Y50" i="2"/>
  <c r="Y27" i="2"/>
  <c r="F51" i="2"/>
  <c r="F29" i="2"/>
  <c r="F31" i="2" s="1"/>
  <c r="F33" i="2" s="1"/>
  <c r="F50" i="2"/>
  <c r="W27" i="2"/>
  <c r="W50" i="2"/>
  <c r="J29" i="2"/>
  <c r="J31" i="2" s="1"/>
  <c r="J33" i="2" s="1"/>
  <c r="J50" i="2"/>
  <c r="Z51" i="2" l="1"/>
  <c r="Z29" i="2"/>
  <c r="Z31" i="2" s="1"/>
  <c r="Z33" i="2" s="1"/>
  <c r="N29" i="2"/>
  <c r="N31" i="2" s="1"/>
  <c r="N33" i="2" s="1"/>
  <c r="N51" i="2"/>
  <c r="L51" i="2"/>
  <c r="L29" i="2"/>
  <c r="L31" i="2" s="1"/>
  <c r="L33" i="2" s="1"/>
  <c r="K31" i="2"/>
  <c r="K33" i="2" s="1"/>
  <c r="K51" i="2"/>
  <c r="W29" i="2"/>
  <c r="W31" i="2" s="1"/>
  <c r="W33" i="2" s="1"/>
  <c r="W51" i="2"/>
  <c r="Y51" i="2"/>
  <c r="Y29" i="2"/>
  <c r="Y31" i="2" s="1"/>
  <c r="Y3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tc={086EDD8F-C502-47B8-A2FB-AA3518051BCF}</author>
    <author>tc={D81B57CA-BD4B-4035-AE68-E24052A657A2}</author>
  </authors>
  <commentList>
    <comment ref="O11" authorId="0" shapeId="0" xr:uid="{086EDD8F-C502-47B8-A2FB-AA3518051BCF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their sales reporting in Q126</t>
      </text>
    </comment>
    <comment ref="L20" authorId="1" shapeId="0" xr:uid="{D81B57CA-BD4B-4035-AE68-E24052A657A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of 4 analysts</t>
      </text>
    </comment>
  </commentList>
</comments>
</file>

<file path=xl/sharedStrings.xml><?xml version="1.0" encoding="utf-8"?>
<sst xmlns="http://schemas.openxmlformats.org/spreadsheetml/2006/main" count="97" uniqueCount="86">
  <si>
    <t>Hugo Boss</t>
  </si>
  <si>
    <t>numbers in mio EUR</t>
  </si>
  <si>
    <t>Price</t>
  </si>
  <si>
    <t>Shares</t>
  </si>
  <si>
    <t>MC</t>
  </si>
  <si>
    <t>Cash</t>
  </si>
  <si>
    <t>Debt</t>
  </si>
  <si>
    <t>EV</t>
  </si>
  <si>
    <t>BOSS.DE</t>
  </si>
  <si>
    <t>IR</t>
  </si>
  <si>
    <t>Q324</t>
  </si>
  <si>
    <t>Main</t>
  </si>
  <si>
    <t>Q123</t>
  </si>
  <si>
    <t>Q223</t>
  </si>
  <si>
    <t>Q323</t>
  </si>
  <si>
    <t>Q423</t>
  </si>
  <si>
    <t>Q124</t>
  </si>
  <si>
    <t>Q224</t>
  </si>
  <si>
    <t>Q424</t>
  </si>
  <si>
    <t>Revenue</t>
  </si>
  <si>
    <t>COGS</t>
  </si>
  <si>
    <t>Gross Profit</t>
  </si>
  <si>
    <t>Selling &amp; Marketing</t>
  </si>
  <si>
    <t>Administrative Expenses</t>
  </si>
  <si>
    <t>Operating Income</t>
  </si>
  <si>
    <t>Financial Result</t>
  </si>
  <si>
    <t>Pretax Income</t>
  </si>
  <si>
    <t>Tax Expense</t>
  </si>
  <si>
    <t>Net Income</t>
  </si>
  <si>
    <t xml:space="preserve">Minority Interest </t>
  </si>
  <si>
    <t>Net Income to Group</t>
  </si>
  <si>
    <t>EPS</t>
  </si>
  <si>
    <t>EMEA Stores</t>
  </si>
  <si>
    <t>America Stores</t>
  </si>
  <si>
    <t>Asia Pacific Stores</t>
  </si>
  <si>
    <t>Boss Womenswear</t>
  </si>
  <si>
    <t>HUGO</t>
  </si>
  <si>
    <t>EMEA Revenue</t>
  </si>
  <si>
    <t>America Revenue</t>
  </si>
  <si>
    <t>Asia Pacific Revenue</t>
  </si>
  <si>
    <t>Licenses</t>
  </si>
  <si>
    <t xml:space="preserve">Brick &amp; Mortar Retail </t>
  </si>
  <si>
    <t>Brick &amp; Mortar Wholesale</t>
  </si>
  <si>
    <t>Digital Revenue</t>
  </si>
  <si>
    <t>Meanswear Growth</t>
  </si>
  <si>
    <t>Womanswear Growth</t>
  </si>
  <si>
    <t>HUGO Growth</t>
  </si>
  <si>
    <t>EMEA Growth</t>
  </si>
  <si>
    <t>America Growth</t>
  </si>
  <si>
    <t>Asia Growth</t>
  </si>
  <si>
    <t>Licenses Growth</t>
  </si>
  <si>
    <t>Retail Growth</t>
  </si>
  <si>
    <t xml:space="preserve">Wholesale Growth </t>
  </si>
  <si>
    <t>Digital Growth</t>
  </si>
  <si>
    <t>Revenue Growth</t>
  </si>
  <si>
    <t xml:space="preserve">Gross Margin </t>
  </si>
  <si>
    <t xml:space="preserve">Operating Margin </t>
  </si>
  <si>
    <t>Tax Rate</t>
  </si>
  <si>
    <t>Own Retail Store Growth</t>
  </si>
  <si>
    <t>Free Standing Retail Store Growth</t>
  </si>
  <si>
    <t>FY19</t>
  </si>
  <si>
    <t>FY20</t>
  </si>
  <si>
    <t>FY21</t>
  </si>
  <si>
    <t>FY22</t>
  </si>
  <si>
    <t>FY23</t>
  </si>
  <si>
    <t>FY24</t>
  </si>
  <si>
    <t>Q125</t>
  </si>
  <si>
    <t>Notes</t>
  </si>
  <si>
    <t>Outlook 2025: Revenue -2% to 2%, EBIT +5% to +25%</t>
  </si>
  <si>
    <t>Management</t>
  </si>
  <si>
    <t>CEO</t>
  </si>
  <si>
    <t>Daniel Grieder</t>
  </si>
  <si>
    <t>Q225</t>
  </si>
  <si>
    <t>Q325</t>
  </si>
  <si>
    <t>Q425</t>
  </si>
  <si>
    <t>Founded</t>
  </si>
  <si>
    <t>Employees</t>
  </si>
  <si>
    <t>Own Retail Stores</t>
  </si>
  <si>
    <t>FY25</t>
  </si>
  <si>
    <t>There of freestanding retail stores</t>
  </si>
  <si>
    <t>Q126</t>
  </si>
  <si>
    <t>Q226</t>
  </si>
  <si>
    <t>Q326</t>
  </si>
  <si>
    <t>Q426</t>
  </si>
  <si>
    <t>n.a.</t>
  </si>
  <si>
    <t>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</si>
</sst>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22">
    <xf numFmtId="0" fontId="0" fillId="0" borderId="0" xfId="0"/>
    <xf numFmtId="0" fontId="8" fillId="0" borderId="0" xfId="0" applyFont="1"/>
    <xf numFmtId="0" fontId="5" fillId="0" borderId="0" xfId="0" applyFont="1"/>
    <xf numFmtId="3" fontId="5" fillId="0" borderId="0" xfId="0" applyNumberFormat="1" applyFont="1"/>
    <xf numFmtId="0" fontId="5" fillId="0" borderId="0" xfId="0" applyFont="1" applyAlignment="1">
      <alignment horizontal="right"/>
    </xf>
    <xf numFmtId="0" fontId="9" fillId="0" borderId="0" xfId="1" applyFont="1"/>
    <xf numFmtId="0" fontId="10" fillId="0" borderId="0" xfId="0" applyFont="1"/>
    <xf numFmtId="164" fontId="5" fillId="0" borderId="0" xfId="0" applyNumberFormat="1" applyFont="1"/>
    <xf numFmtId="164" fontId="8" fillId="0" borderId="0" xfId="0" applyNumberFormat="1" applyFont="1"/>
    <xf numFmtId="4" fontId="5" fillId="0" borderId="0" xfId="0" applyNumberFormat="1" applyFont="1"/>
    <xf numFmtId="9" fontId="5" fillId="0" borderId="0" xfId="2" applyFont="1"/>
    <xf numFmtId="3" fontId="8" fillId="0" borderId="0" xfId="0" applyNumberFormat="1" applyFont="1"/>
    <xf numFmtId="9" fontId="8" fillId="0" borderId="0" xfId="2" applyFont="1"/>
    <xf numFmtId="0" fontId="4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9" fontId="2" fillId="0" borderId="0" xfId="2" applyFont="1" applyAlignment="1">
      <alignment horizontal="right"/>
    </xf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42862</xdr:colOff>
      <xdr:row>0</xdr:row>
      <xdr:rowOff>47625</xdr:rowOff>
    </xdr:from>
    <xdr:to>
      <xdr:col>16</xdr:col>
      <xdr:colOff>57149</xdr:colOff>
      <xdr:row>50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83CBA9F-D773-715C-EDA8-25F855F49E02}"/>
            </a:ext>
          </a:extLst>
        </xdr:cNvPr>
        <xdr:cNvCxnSpPr/>
      </xdr:nvCxnSpPr>
      <xdr:spPr>
        <a:xfrm>
          <a:off x="11110912" y="47625"/>
          <a:ext cx="14287" cy="8201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BC3090F9-DCFB-461E-938B-BB97A04862C6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1" dT="2026-05-14T15:17:21.38" personId="{BC3090F9-DCFB-461E-938B-BB97A04862C6}" id="{086EDD8F-C502-47B8-A2FB-AA3518051BCF}">
    <text>Changed their sales reporting in Q126</text>
  </threadedComment>
  <threadedComment ref="L20" dT="2025-05-06T11:33:50.96" personId="{BC3090F9-DCFB-461E-938B-BB97A04862C6}" id="{D81B57CA-BD4B-4035-AE68-E24052A657A2}">
    <text>Consensus of 4 analysts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roup.hugoboss.com/en/investors/service-contact/faq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755C-CD3F-4338-B61A-F6ABE7723C78}">
  <dimension ref="A1:K13"/>
  <sheetViews>
    <sheetView tabSelected="1" topLeftCell="C1" zoomScale="200" zoomScaleNormal="200" workbookViewId="0">
      <selection activeCell="J7" sqref="J7"/>
    </sheetView>
  </sheetViews>
  <sheetFormatPr defaultRowHeight="12.75" x14ac:dyDescent="0.2"/>
  <cols>
    <col min="1" max="1" width="3.85546875" style="2" customWidth="1"/>
    <col min="2" max="16384" width="9.140625" style="2"/>
  </cols>
  <sheetData>
    <row r="1" spans="1:11" x14ac:dyDescent="0.2">
      <c r="A1" s="1" t="s">
        <v>0</v>
      </c>
    </row>
    <row r="2" spans="1:11" x14ac:dyDescent="0.2">
      <c r="A2" s="2" t="s">
        <v>1</v>
      </c>
      <c r="I2" s="2" t="s">
        <v>2</v>
      </c>
      <c r="J2" s="2">
        <v>37.94</v>
      </c>
    </row>
    <row r="3" spans="1:11" x14ac:dyDescent="0.2">
      <c r="I3" s="2" t="s">
        <v>3</v>
      </c>
      <c r="J3" s="3">
        <v>69.016166999999996</v>
      </c>
      <c r="K3" s="21" t="s">
        <v>81</v>
      </c>
    </row>
    <row r="4" spans="1:11" x14ac:dyDescent="0.2">
      <c r="B4" s="2" t="s">
        <v>8</v>
      </c>
      <c r="I4" s="2" t="s">
        <v>4</v>
      </c>
      <c r="J4" s="3">
        <f>+J2*J3</f>
        <v>2618.4733759799997</v>
      </c>
    </row>
    <row r="5" spans="1:11" x14ac:dyDescent="0.2">
      <c r="B5" s="5" t="s">
        <v>9</v>
      </c>
      <c r="I5" s="2" t="s">
        <v>5</v>
      </c>
      <c r="J5" s="3">
        <v>231</v>
      </c>
      <c r="K5" s="21" t="s">
        <v>81</v>
      </c>
    </row>
    <row r="6" spans="1:11" x14ac:dyDescent="0.2">
      <c r="I6" s="2" t="s">
        <v>6</v>
      </c>
      <c r="J6" s="3">
        <f>34+145</f>
        <v>179</v>
      </c>
      <c r="K6" s="21" t="s">
        <v>81</v>
      </c>
    </row>
    <row r="7" spans="1:11" x14ac:dyDescent="0.2">
      <c r="I7" s="2" t="s">
        <v>7</v>
      </c>
      <c r="J7" s="3">
        <f>+J4-J5+J6</f>
        <v>2566.4733759799997</v>
      </c>
    </row>
    <row r="9" spans="1:11" x14ac:dyDescent="0.2">
      <c r="I9" s="2" t="s">
        <v>75</v>
      </c>
      <c r="J9" s="2">
        <v>1924</v>
      </c>
    </row>
    <row r="10" spans="1:11" x14ac:dyDescent="0.2">
      <c r="I10" s="2" t="s">
        <v>76</v>
      </c>
      <c r="J10" s="3">
        <v>18376</v>
      </c>
    </row>
    <row r="12" spans="1:11" x14ac:dyDescent="0.2">
      <c r="B12" s="6" t="s">
        <v>67</v>
      </c>
      <c r="I12" s="6" t="s">
        <v>69</v>
      </c>
    </row>
    <row r="13" spans="1:11" x14ac:dyDescent="0.2">
      <c r="B13" s="2" t="s">
        <v>68</v>
      </c>
      <c r="I13" s="2" t="s">
        <v>70</v>
      </c>
      <c r="J13" s="2" t="s">
        <v>71</v>
      </c>
    </row>
  </sheetData>
  <hyperlinks>
    <hyperlink ref="B5" r:id="rId1" xr:uid="{B94FF379-6969-4738-A8BB-638EDBB932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4061-CFF8-435B-9C35-BFCD41DEF5B1}">
  <dimension ref="A1:BM217"/>
  <sheetViews>
    <sheetView zoomScale="200" zoomScaleNormal="20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P8" sqref="P8"/>
    </sheetView>
  </sheetViews>
  <sheetFormatPr defaultRowHeight="12.75" x14ac:dyDescent="0.2"/>
  <cols>
    <col min="1" max="1" width="5.42578125" style="2" bestFit="1" customWidth="1"/>
    <col min="2" max="2" width="32.5703125" style="2" customWidth="1"/>
    <col min="3" max="16384" width="9.140625" style="2"/>
  </cols>
  <sheetData>
    <row r="1" spans="1:51" x14ac:dyDescent="0.2">
      <c r="A1" s="5" t="s">
        <v>11</v>
      </c>
    </row>
    <row r="2" spans="1:51" x14ac:dyDescent="0.2"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10</v>
      </c>
      <c r="J2" s="4" t="s">
        <v>18</v>
      </c>
      <c r="K2" s="4" t="s">
        <v>66</v>
      </c>
      <c r="L2" s="4" t="s">
        <v>72</v>
      </c>
      <c r="M2" s="4" t="s">
        <v>73</v>
      </c>
      <c r="N2" s="4" t="s">
        <v>74</v>
      </c>
      <c r="O2" s="15" t="s">
        <v>80</v>
      </c>
      <c r="P2" s="15" t="s">
        <v>81</v>
      </c>
      <c r="Q2" s="15" t="s">
        <v>82</v>
      </c>
      <c r="R2" s="15" t="s">
        <v>83</v>
      </c>
      <c r="T2" s="4" t="s">
        <v>60</v>
      </c>
      <c r="U2" s="4" t="s">
        <v>61</v>
      </c>
      <c r="V2" s="4" t="s">
        <v>62</v>
      </c>
      <c r="W2" s="4" t="s">
        <v>63</v>
      </c>
      <c r="X2" s="4" t="s">
        <v>64</v>
      </c>
      <c r="Y2" s="4" t="s">
        <v>65</v>
      </c>
      <c r="Z2" s="13" t="s">
        <v>78</v>
      </c>
    </row>
    <row r="3" spans="1:51" x14ac:dyDescent="0.2">
      <c r="B3" s="2" t="s">
        <v>32</v>
      </c>
      <c r="C3" s="7">
        <f>587</f>
        <v>587</v>
      </c>
      <c r="D3" s="7">
        <f>587</f>
        <v>587</v>
      </c>
      <c r="E3" s="7">
        <f>587</f>
        <v>587</v>
      </c>
      <c r="F3" s="7">
        <f>+X3</f>
        <v>587</v>
      </c>
      <c r="G3" s="7">
        <f>592</f>
        <v>592</v>
      </c>
      <c r="H3" s="7">
        <f>591</f>
        <v>591</v>
      </c>
      <c r="I3" s="7">
        <f>567</f>
        <v>567</v>
      </c>
      <c r="J3" s="7">
        <f>572</f>
        <v>572</v>
      </c>
      <c r="K3" s="7">
        <f>564</f>
        <v>564</v>
      </c>
      <c r="L3" s="7">
        <v>562</v>
      </c>
      <c r="M3" s="7">
        <v>558</v>
      </c>
      <c r="N3" s="7">
        <f>+Z3</f>
        <v>540</v>
      </c>
      <c r="O3" s="7">
        <v>522</v>
      </c>
      <c r="P3" s="7">
        <v>517</v>
      </c>
      <c r="Q3" s="7"/>
      <c r="R3" s="7"/>
      <c r="S3" s="7"/>
      <c r="T3" s="7"/>
      <c r="U3" s="7"/>
      <c r="V3" s="7"/>
      <c r="W3" s="7">
        <f>581</f>
        <v>581</v>
      </c>
      <c r="X3" s="7">
        <f>587</f>
        <v>587</v>
      </c>
      <c r="Y3" s="7">
        <v>572</v>
      </c>
      <c r="Z3" s="7">
        <v>540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x14ac:dyDescent="0.2">
      <c r="B4" s="2" t="s">
        <v>33</v>
      </c>
      <c r="C4" s="7">
        <f>456</f>
        <v>456</v>
      </c>
      <c r="D4" s="7">
        <f>456</f>
        <v>456</v>
      </c>
      <c r="E4" s="7">
        <f>456</f>
        <v>456</v>
      </c>
      <c r="F4" s="7">
        <f t="shared" ref="F4:F7" si="0">+X4</f>
        <v>456</v>
      </c>
      <c r="G4" s="7">
        <f>457</f>
        <v>457</v>
      </c>
      <c r="H4" s="7">
        <f>524</f>
        <v>524</v>
      </c>
      <c r="I4" s="7">
        <f>536</f>
        <v>536</v>
      </c>
      <c r="J4" s="7">
        <f>579</f>
        <v>579</v>
      </c>
      <c r="K4" s="7">
        <f>579</f>
        <v>579</v>
      </c>
      <c r="L4" s="7">
        <v>557</v>
      </c>
      <c r="M4" s="7">
        <v>559</v>
      </c>
      <c r="N4" s="7">
        <f t="shared" ref="N4:N7" si="1">+Z4</f>
        <v>558</v>
      </c>
      <c r="O4" s="7">
        <v>531</v>
      </c>
      <c r="P4" s="7">
        <v>532</v>
      </c>
      <c r="Q4" s="7"/>
      <c r="R4" s="7"/>
      <c r="S4" s="7"/>
      <c r="T4" s="7"/>
      <c r="U4" s="7"/>
      <c r="V4" s="7"/>
      <c r="W4" s="7">
        <f>383</f>
        <v>383</v>
      </c>
      <c r="X4" s="7">
        <f>456</f>
        <v>456</v>
      </c>
      <c r="Y4" s="7">
        <v>579</v>
      </c>
      <c r="Z4" s="7">
        <v>558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">
      <c r="B5" s="2" t="s">
        <v>34</v>
      </c>
      <c r="C5" s="7">
        <f>375</f>
        <v>375</v>
      </c>
      <c r="D5" s="7">
        <f>375</f>
        <v>375</v>
      </c>
      <c r="E5" s="7">
        <f>375</f>
        <v>375</v>
      </c>
      <c r="F5" s="7">
        <f t="shared" si="0"/>
        <v>375</v>
      </c>
      <c r="G5" s="7">
        <f>377</f>
        <v>377</v>
      </c>
      <c r="H5" s="7">
        <f>375</f>
        <v>375</v>
      </c>
      <c r="I5" s="7">
        <f>381</f>
        <v>381</v>
      </c>
      <c r="J5" s="7">
        <f>381</f>
        <v>381</v>
      </c>
      <c r="K5" s="7">
        <f>376</f>
        <v>376</v>
      </c>
      <c r="L5" s="7">
        <v>376</v>
      </c>
      <c r="M5" s="7">
        <v>368</v>
      </c>
      <c r="N5" s="7">
        <f t="shared" si="1"/>
        <v>364</v>
      </c>
      <c r="O5" s="7">
        <v>353</v>
      </c>
      <c r="P5" s="7">
        <v>346</v>
      </c>
      <c r="Q5" s="7"/>
      <c r="R5" s="7"/>
      <c r="S5" s="7"/>
      <c r="T5" s="7"/>
      <c r="U5" s="7"/>
      <c r="V5" s="7"/>
      <c r="W5" s="7">
        <f>352</f>
        <v>352</v>
      </c>
      <c r="X5" s="7">
        <f>375</f>
        <v>375</v>
      </c>
      <c r="Y5" s="7">
        <v>381</v>
      </c>
      <c r="Z5" s="7">
        <v>364</v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1" s="1" customFormat="1" x14ac:dyDescent="0.2">
      <c r="A6" s="2"/>
      <c r="B6" s="1" t="s">
        <v>77</v>
      </c>
      <c r="C6" s="8">
        <v>1418</v>
      </c>
      <c r="D6" s="8">
        <v>1418</v>
      </c>
      <c r="E6" s="8">
        <v>1418</v>
      </c>
      <c r="F6" s="8">
        <f t="shared" si="0"/>
        <v>1418</v>
      </c>
      <c r="G6" s="8">
        <v>1426</v>
      </c>
      <c r="H6" s="8">
        <v>1490</v>
      </c>
      <c r="I6" s="8">
        <v>1484</v>
      </c>
      <c r="J6" s="8">
        <v>1532</v>
      </c>
      <c r="K6" s="8">
        <v>1519</v>
      </c>
      <c r="L6" s="8">
        <f>+SUM(L3:L5)</f>
        <v>1495</v>
      </c>
      <c r="M6" s="8">
        <f>+SUM(M3:M5)</f>
        <v>1485</v>
      </c>
      <c r="N6" s="8">
        <f t="shared" si="1"/>
        <v>1462</v>
      </c>
      <c r="O6" s="8">
        <f>+SUM(O3:O5)</f>
        <v>1406</v>
      </c>
      <c r="P6" s="8">
        <f>+SUM(P3:P5)</f>
        <v>1395</v>
      </c>
      <c r="Q6" s="8"/>
      <c r="R6" s="8"/>
      <c r="S6" s="8"/>
      <c r="T6" s="8"/>
      <c r="U6" s="8"/>
      <c r="V6" s="8"/>
      <c r="W6" s="8">
        <v>1316</v>
      </c>
      <c r="X6" s="8">
        <v>1418</v>
      </c>
      <c r="Y6" s="8">
        <v>1532</v>
      </c>
      <c r="Z6" s="8">
        <f>+SUM(Z3:Z5)</f>
        <v>1462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</row>
    <row r="7" spans="1:51" x14ac:dyDescent="0.2">
      <c r="B7" s="14" t="s">
        <v>79</v>
      </c>
      <c r="C7" s="7">
        <v>489</v>
      </c>
      <c r="D7" s="7">
        <v>489</v>
      </c>
      <c r="E7" s="7">
        <v>489</v>
      </c>
      <c r="F7" s="7">
        <f t="shared" si="0"/>
        <v>489</v>
      </c>
      <c r="G7" s="7">
        <v>490</v>
      </c>
      <c r="H7" s="7">
        <v>494</v>
      </c>
      <c r="I7" s="7">
        <v>490</v>
      </c>
      <c r="J7" s="7">
        <v>500</v>
      </c>
      <c r="K7" s="7">
        <v>500</v>
      </c>
      <c r="L7" s="7">
        <v>491</v>
      </c>
      <c r="M7" s="7">
        <v>485</v>
      </c>
      <c r="N7" s="7">
        <f t="shared" si="1"/>
        <v>485</v>
      </c>
      <c r="O7" s="7">
        <v>470</v>
      </c>
      <c r="P7" s="7">
        <v>464</v>
      </c>
      <c r="Q7" s="7"/>
      <c r="R7" s="7"/>
      <c r="S7" s="7"/>
      <c r="T7" s="7"/>
      <c r="U7" s="7"/>
      <c r="V7" s="7"/>
      <c r="W7" s="7">
        <v>470</v>
      </c>
      <c r="X7" s="7">
        <v>489</v>
      </c>
      <c r="Y7" s="7">
        <v>500</v>
      </c>
      <c r="Z7" s="7">
        <v>485</v>
      </c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x14ac:dyDescent="0.2"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"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x14ac:dyDescent="0.2">
      <c r="B10" s="19" t="s">
        <v>85</v>
      </c>
      <c r="C10" s="7">
        <v>746</v>
      </c>
      <c r="D10" s="7">
        <v>810</v>
      </c>
      <c r="E10" s="7">
        <v>786</v>
      </c>
      <c r="F10" s="7">
        <f t="shared" ref="F10:F21" si="2">+X10-SUM(C10:E10)</f>
        <v>914</v>
      </c>
      <c r="G10" s="7">
        <v>777</v>
      </c>
      <c r="H10" s="7">
        <v>794</v>
      </c>
      <c r="I10" s="7">
        <v>785</v>
      </c>
      <c r="J10" s="7">
        <f t="shared" ref="J10:J21" si="3">+Y10-SUM(G10:I10)</f>
        <v>973</v>
      </c>
      <c r="K10" s="7">
        <v>766</v>
      </c>
      <c r="L10" s="7">
        <v>808</v>
      </c>
      <c r="M10" s="7">
        <v>764</v>
      </c>
      <c r="N10" s="7">
        <f t="shared" ref="N10:N21" si="4">+Z10-SUM(K10:M10)</f>
        <v>1008</v>
      </c>
      <c r="O10" s="7">
        <v>779</v>
      </c>
      <c r="P10" s="7">
        <v>792</v>
      </c>
      <c r="Q10" s="7"/>
      <c r="R10" s="7"/>
      <c r="S10" s="7"/>
      <c r="T10" s="7"/>
      <c r="U10" s="7"/>
      <c r="V10" s="7"/>
      <c r="W10" s="7">
        <v>2868</v>
      </c>
      <c r="X10" s="7">
        <v>3256</v>
      </c>
      <c r="Y10" s="7">
        <v>3329</v>
      </c>
      <c r="Z10" s="7">
        <v>3346</v>
      </c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x14ac:dyDescent="0.2">
      <c r="B11" s="2" t="s">
        <v>35</v>
      </c>
      <c r="C11" s="7">
        <v>67</v>
      </c>
      <c r="D11" s="7">
        <v>67</v>
      </c>
      <c r="E11" s="7">
        <v>73</v>
      </c>
      <c r="F11" s="7">
        <f t="shared" si="2"/>
        <v>81</v>
      </c>
      <c r="G11" s="7">
        <v>70</v>
      </c>
      <c r="H11" s="7">
        <v>68</v>
      </c>
      <c r="I11" s="7">
        <v>74</v>
      </c>
      <c r="J11" s="7">
        <f t="shared" si="3"/>
        <v>85</v>
      </c>
      <c r="K11" s="7">
        <v>70</v>
      </c>
      <c r="L11" s="7">
        <v>62</v>
      </c>
      <c r="M11" s="7">
        <v>67</v>
      </c>
      <c r="N11" s="7">
        <f t="shared" si="4"/>
        <v>81</v>
      </c>
      <c r="O11" s="17" t="s">
        <v>84</v>
      </c>
      <c r="P11" s="18" t="s">
        <v>84</v>
      </c>
      <c r="Q11" s="7"/>
      <c r="R11" s="7"/>
      <c r="S11" s="7"/>
      <c r="T11" s="7"/>
      <c r="U11" s="7"/>
      <c r="V11" s="7"/>
      <c r="W11" s="7">
        <v>239</v>
      </c>
      <c r="X11" s="7">
        <v>288</v>
      </c>
      <c r="Y11" s="7">
        <v>297</v>
      </c>
      <c r="Z11" s="7">
        <v>280</v>
      </c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x14ac:dyDescent="0.2">
      <c r="B12" s="2" t="s">
        <v>36</v>
      </c>
      <c r="C12" s="7">
        <v>155</v>
      </c>
      <c r="D12" s="7">
        <v>148</v>
      </c>
      <c r="E12" s="7">
        <v>169</v>
      </c>
      <c r="F12" s="7">
        <f t="shared" si="2"/>
        <v>181</v>
      </c>
      <c r="G12" s="7">
        <v>167</v>
      </c>
      <c r="H12" s="7">
        <v>152</v>
      </c>
      <c r="I12" s="7">
        <v>171</v>
      </c>
      <c r="J12" s="7">
        <f t="shared" si="3"/>
        <v>192</v>
      </c>
      <c r="K12" s="7">
        <v>163</v>
      </c>
      <c r="L12" s="7">
        <v>132</v>
      </c>
      <c r="M12" s="7">
        <v>158</v>
      </c>
      <c r="N12" s="7">
        <f t="shared" si="4"/>
        <v>191</v>
      </c>
      <c r="O12" s="7">
        <v>125</v>
      </c>
      <c r="P12" s="7">
        <v>113</v>
      </c>
      <c r="Q12" s="7"/>
      <c r="R12" s="7"/>
      <c r="S12" s="7"/>
      <c r="T12" s="7"/>
      <c r="U12" s="7"/>
      <c r="V12" s="7"/>
      <c r="W12" s="7">
        <v>545</v>
      </c>
      <c r="X12" s="7">
        <v>653</v>
      </c>
      <c r="Y12" s="7">
        <v>682</v>
      </c>
      <c r="Z12" s="7">
        <v>644</v>
      </c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x14ac:dyDescent="0.2">
      <c r="B13" s="2" t="s">
        <v>37</v>
      </c>
      <c r="C13" s="7">
        <v>609</v>
      </c>
      <c r="D13" s="7">
        <v>620</v>
      </c>
      <c r="E13" s="7">
        <v>653</v>
      </c>
      <c r="F13" s="7">
        <f t="shared" si="2"/>
        <v>680</v>
      </c>
      <c r="G13" s="7">
        <v>634</v>
      </c>
      <c r="H13" s="7">
        <v>604</v>
      </c>
      <c r="I13" s="7">
        <v>662</v>
      </c>
      <c r="J13" s="7">
        <f t="shared" si="3"/>
        <v>725</v>
      </c>
      <c r="K13" s="7">
        <v>631</v>
      </c>
      <c r="L13" s="7">
        <v>618</v>
      </c>
      <c r="M13" s="7">
        <v>641</v>
      </c>
      <c r="N13" s="7">
        <f t="shared" si="4"/>
        <v>878.16200000000026</v>
      </c>
      <c r="O13" s="7">
        <v>568</v>
      </c>
      <c r="P13" s="7">
        <v>532</v>
      </c>
      <c r="Q13" s="7"/>
      <c r="R13" s="7"/>
      <c r="S13" s="7"/>
      <c r="T13" s="7"/>
      <c r="U13" s="7"/>
      <c r="V13" s="7"/>
      <c r="W13" s="7">
        <v>2303</v>
      </c>
      <c r="X13" s="7">
        <v>2562</v>
      </c>
      <c r="Y13" s="7">
        <v>2625</v>
      </c>
      <c r="Z13" s="7">
        <f>2159.001+609.161</f>
        <v>2768.1620000000003</v>
      </c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1" x14ac:dyDescent="0.2">
      <c r="B14" s="2" t="s">
        <v>38</v>
      </c>
      <c r="C14" s="7">
        <v>195</v>
      </c>
      <c r="D14" s="7">
        <v>236</v>
      </c>
      <c r="E14" s="7">
        <v>228</v>
      </c>
      <c r="F14" s="7">
        <f t="shared" si="2"/>
        <v>296</v>
      </c>
      <c r="G14" s="7">
        <v>218</v>
      </c>
      <c r="H14" s="7">
        <v>250</v>
      </c>
      <c r="I14" s="7">
        <v>228</v>
      </c>
      <c r="J14" s="7">
        <f t="shared" si="3"/>
        <v>324</v>
      </c>
      <c r="K14" s="7">
        <v>212</v>
      </c>
      <c r="L14" s="7">
        <v>236</v>
      </c>
      <c r="M14" s="7">
        <v>223</v>
      </c>
      <c r="N14" s="7">
        <f t="shared" si="4"/>
        <v>321.70000000000005</v>
      </c>
      <c r="O14" s="7">
        <v>188</v>
      </c>
      <c r="P14" s="7">
        <v>236</v>
      </c>
      <c r="Q14" s="7"/>
      <c r="R14" s="7"/>
      <c r="S14" s="7"/>
      <c r="T14" s="7"/>
      <c r="U14" s="7"/>
      <c r="V14" s="7"/>
      <c r="W14" s="7">
        <v>789</v>
      </c>
      <c r="X14" s="7">
        <v>955</v>
      </c>
      <c r="Y14" s="7">
        <v>1020</v>
      </c>
      <c r="Z14" s="7">
        <f>629.726+362.974</f>
        <v>992.7</v>
      </c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x14ac:dyDescent="0.2">
      <c r="B15" s="2" t="s">
        <v>39</v>
      </c>
      <c r="C15" s="7">
        <v>141</v>
      </c>
      <c r="D15" s="7">
        <v>144</v>
      </c>
      <c r="E15" s="7">
        <v>120</v>
      </c>
      <c r="F15" s="7">
        <f t="shared" si="2"/>
        <v>171</v>
      </c>
      <c r="G15" s="7">
        <v>139</v>
      </c>
      <c r="H15" s="7">
        <v>134</v>
      </c>
      <c r="I15" s="7">
        <v>110</v>
      </c>
      <c r="J15" s="7">
        <f t="shared" si="3"/>
        <v>170</v>
      </c>
      <c r="K15" s="7">
        <v>130</v>
      </c>
      <c r="L15" s="7">
        <v>124</v>
      </c>
      <c r="M15" s="7">
        <v>101</v>
      </c>
      <c r="N15" s="7">
        <f t="shared" si="4"/>
        <v>153.97500000000002</v>
      </c>
      <c r="O15" s="7">
        <v>123</v>
      </c>
      <c r="P15" s="7">
        <v>116</v>
      </c>
      <c r="Q15" s="7"/>
      <c r="R15" s="7"/>
      <c r="S15" s="7"/>
      <c r="T15" s="7"/>
      <c r="U15" s="7"/>
      <c r="V15" s="7"/>
      <c r="W15" s="7">
        <v>467</v>
      </c>
      <c r="X15" s="7">
        <v>576</v>
      </c>
      <c r="Y15" s="7">
        <v>553</v>
      </c>
      <c r="Z15" s="7">
        <f>199.667+309.308</f>
        <v>508.97500000000002</v>
      </c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1" x14ac:dyDescent="0.2">
      <c r="B16" s="2" t="s">
        <v>41</v>
      </c>
      <c r="C16" s="7">
        <v>485</v>
      </c>
      <c r="D16" s="7">
        <v>580</v>
      </c>
      <c r="E16" s="7">
        <v>521</v>
      </c>
      <c r="F16" s="7">
        <f t="shared" si="2"/>
        <v>676</v>
      </c>
      <c r="G16" s="7">
        <v>492</v>
      </c>
      <c r="H16" s="7">
        <v>563</v>
      </c>
      <c r="I16" s="7">
        <v>499</v>
      </c>
      <c r="J16" s="7">
        <f t="shared" si="3"/>
        <v>687.32400000000007</v>
      </c>
      <c r="K16" s="7">
        <v>473</v>
      </c>
      <c r="L16" s="7">
        <v>542</v>
      </c>
      <c r="M16" s="7">
        <v>483</v>
      </c>
      <c r="N16" s="7">
        <f t="shared" si="4"/>
        <v>669.26200000000017</v>
      </c>
      <c r="O16" s="7">
        <v>510</v>
      </c>
      <c r="P16" s="7">
        <v>56</v>
      </c>
      <c r="Q16" s="7"/>
      <c r="R16" s="7"/>
      <c r="S16" s="7"/>
      <c r="T16" s="7"/>
      <c r="U16" s="7"/>
      <c r="V16" s="7"/>
      <c r="W16" s="7">
        <v>2016</v>
      </c>
      <c r="X16" s="7">
        <v>2262</v>
      </c>
      <c r="Y16" s="7">
        <v>2241.3240000000001</v>
      </c>
      <c r="Z16" s="7">
        <v>2167.2620000000002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2:65" x14ac:dyDescent="0.2">
      <c r="B17" s="2" t="s">
        <v>42</v>
      </c>
      <c r="C17" s="7">
        <v>282</v>
      </c>
      <c r="D17" s="7">
        <v>224</v>
      </c>
      <c r="E17" s="7">
        <v>293</v>
      </c>
      <c r="F17" s="7">
        <f t="shared" si="2"/>
        <v>234</v>
      </c>
      <c r="G17" s="7">
        <v>303</v>
      </c>
      <c r="H17" s="7">
        <v>236</v>
      </c>
      <c r="I17" s="7">
        <v>302</v>
      </c>
      <c r="J17" s="7">
        <f t="shared" si="3"/>
        <v>270.00700000000006</v>
      </c>
      <c r="K17" s="7">
        <v>296</v>
      </c>
      <c r="L17" s="7">
        <v>237</v>
      </c>
      <c r="M17" s="7">
        <v>281</v>
      </c>
      <c r="N17" s="7">
        <f t="shared" si="4"/>
        <v>294.38000000000011</v>
      </c>
      <c r="O17" s="7">
        <v>369</v>
      </c>
      <c r="P17" s="7">
        <v>320</v>
      </c>
      <c r="Q17" s="7"/>
      <c r="R17" s="7"/>
      <c r="S17" s="7"/>
      <c r="T17" s="7"/>
      <c r="U17" s="7"/>
      <c r="V17" s="7"/>
      <c r="W17" s="7">
        <v>895</v>
      </c>
      <c r="X17" s="7">
        <v>1033</v>
      </c>
      <c r="Y17" s="7">
        <v>1111.0070000000001</v>
      </c>
      <c r="Z17" s="7">
        <v>1108.3800000000001</v>
      </c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2:65" x14ac:dyDescent="0.2">
      <c r="B18" s="2" t="s">
        <v>43</v>
      </c>
      <c r="C18" s="7">
        <v>178</v>
      </c>
      <c r="D18" s="7">
        <v>196</v>
      </c>
      <c r="E18" s="7">
        <v>187</v>
      </c>
      <c r="F18" s="7">
        <f t="shared" si="2"/>
        <v>237</v>
      </c>
      <c r="G18" s="7">
        <v>195</v>
      </c>
      <c r="H18" s="7">
        <v>189</v>
      </c>
      <c r="I18" s="7">
        <v>199</v>
      </c>
      <c r="J18" s="7">
        <f t="shared" si="3"/>
        <v>262.95299999999997</v>
      </c>
      <c r="K18" s="7">
        <v>204</v>
      </c>
      <c r="L18" s="7">
        <v>199</v>
      </c>
      <c r="M18" s="7">
        <v>201</v>
      </c>
      <c r="N18" s="7">
        <f t="shared" si="4"/>
        <v>286.65200000000004</v>
      </c>
      <c r="O18" s="17" t="s">
        <v>84</v>
      </c>
      <c r="P18" s="17" t="s">
        <v>84</v>
      </c>
      <c r="Q18" s="7"/>
      <c r="R18" s="7"/>
      <c r="S18" s="7"/>
      <c r="T18" s="7"/>
      <c r="U18" s="7"/>
      <c r="V18" s="7"/>
      <c r="W18" s="7">
        <v>648</v>
      </c>
      <c r="X18" s="7">
        <v>798</v>
      </c>
      <c r="Y18" s="7">
        <v>845.95299999999997</v>
      </c>
      <c r="Z18" s="7">
        <v>890.65200000000004</v>
      </c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2:65" x14ac:dyDescent="0.2">
      <c r="B19" s="2" t="s">
        <v>40</v>
      </c>
      <c r="C19" s="7">
        <v>23</v>
      </c>
      <c r="D19" s="7">
        <v>26</v>
      </c>
      <c r="E19" s="7">
        <v>26</v>
      </c>
      <c r="F19" s="7">
        <f t="shared" si="2"/>
        <v>29</v>
      </c>
      <c r="G19" s="7">
        <v>23</v>
      </c>
      <c r="H19" s="7">
        <v>26</v>
      </c>
      <c r="I19" s="7">
        <v>29</v>
      </c>
      <c r="J19" s="7">
        <f t="shared" si="3"/>
        <v>31.064999999999998</v>
      </c>
      <c r="K19" s="7">
        <v>26</v>
      </c>
      <c r="L19" s="7">
        <v>24</v>
      </c>
      <c r="M19" s="7">
        <v>25</v>
      </c>
      <c r="N19" s="7">
        <f t="shared" si="4"/>
        <v>28.543999999999997</v>
      </c>
      <c r="O19" s="7">
        <v>26</v>
      </c>
      <c r="P19" s="7">
        <v>21</v>
      </c>
      <c r="Q19" s="7"/>
      <c r="R19" s="7"/>
      <c r="S19" s="7"/>
      <c r="T19" s="7"/>
      <c r="U19" s="7"/>
      <c r="V19" s="7"/>
      <c r="W19" s="7">
        <v>92</v>
      </c>
      <c r="X19" s="7">
        <v>104</v>
      </c>
      <c r="Y19" s="7">
        <v>109.065</v>
      </c>
      <c r="Z19" s="7">
        <v>103.544</v>
      </c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</row>
    <row r="20" spans="2:65" x14ac:dyDescent="0.2">
      <c r="B20" s="1" t="s">
        <v>19</v>
      </c>
      <c r="C20" s="8">
        <v>968</v>
      </c>
      <c r="D20" s="8">
        <v>1026</v>
      </c>
      <c r="E20" s="8">
        <v>1027</v>
      </c>
      <c r="F20" s="8">
        <f t="shared" si="2"/>
        <v>1176</v>
      </c>
      <c r="G20" s="8">
        <v>1014</v>
      </c>
      <c r="H20" s="8">
        <v>1015</v>
      </c>
      <c r="I20" s="8">
        <v>1029</v>
      </c>
      <c r="J20" s="8">
        <f t="shared" si="3"/>
        <v>1249</v>
      </c>
      <c r="K20" s="8">
        <v>999</v>
      </c>
      <c r="L20" s="8">
        <v>1002</v>
      </c>
      <c r="M20" s="8">
        <v>989</v>
      </c>
      <c r="N20" s="8">
        <f t="shared" si="4"/>
        <v>1279.8379999999997</v>
      </c>
      <c r="O20" s="8">
        <v>905</v>
      </c>
      <c r="P20" s="8">
        <v>905</v>
      </c>
      <c r="Q20" s="8"/>
      <c r="R20" s="8"/>
      <c r="S20" s="7"/>
      <c r="T20" s="7"/>
      <c r="U20" s="7"/>
      <c r="V20" s="7"/>
      <c r="W20" s="8">
        <v>3651</v>
      </c>
      <c r="X20" s="8">
        <v>4197</v>
      </c>
      <c r="Y20" s="8">
        <v>4307</v>
      </c>
      <c r="Z20" s="8">
        <v>4269.8379999999997</v>
      </c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</row>
    <row r="21" spans="2:65" x14ac:dyDescent="0.2">
      <c r="B21" s="2" t="s">
        <v>20</v>
      </c>
      <c r="C21" s="7">
        <v>374</v>
      </c>
      <c r="D21" s="7">
        <v>386</v>
      </c>
      <c r="E21" s="7">
        <v>404</v>
      </c>
      <c r="F21" s="7">
        <f t="shared" si="2"/>
        <v>453</v>
      </c>
      <c r="G21" s="7">
        <v>391</v>
      </c>
      <c r="H21" s="7">
        <v>377</v>
      </c>
      <c r="I21" s="7">
        <v>410</v>
      </c>
      <c r="J21" s="7">
        <f t="shared" si="3"/>
        <v>470</v>
      </c>
      <c r="K21" s="7">
        <v>386</v>
      </c>
      <c r="L21" s="7">
        <v>372</v>
      </c>
      <c r="M21" s="7">
        <v>384</v>
      </c>
      <c r="N21" s="7">
        <f t="shared" si="4"/>
        <v>501.45800000000008</v>
      </c>
      <c r="O21" s="7">
        <v>340</v>
      </c>
      <c r="P21" s="7">
        <v>318</v>
      </c>
      <c r="Q21" s="7"/>
      <c r="R21" s="7"/>
      <c r="S21" s="7"/>
      <c r="T21" s="7"/>
      <c r="U21" s="7"/>
      <c r="V21" s="7"/>
      <c r="W21" s="7">
        <v>1395</v>
      </c>
      <c r="X21" s="7">
        <v>1617</v>
      </c>
      <c r="Y21" s="7">
        <v>1648</v>
      </c>
      <c r="Z21" s="7">
        <v>1643.4580000000001</v>
      </c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</row>
    <row r="22" spans="2:65" x14ac:dyDescent="0.2">
      <c r="B22" s="2" t="s">
        <v>21</v>
      </c>
      <c r="C22" s="7">
        <f t="shared" ref="C22:H22" si="5">+C20-C21</f>
        <v>594</v>
      </c>
      <c r="D22" s="7">
        <f t="shared" si="5"/>
        <v>640</v>
      </c>
      <c r="E22" s="7">
        <f t="shared" si="5"/>
        <v>623</v>
      </c>
      <c r="F22" s="7">
        <f t="shared" si="5"/>
        <v>723</v>
      </c>
      <c r="G22" s="7">
        <f t="shared" si="5"/>
        <v>623</v>
      </c>
      <c r="H22" s="7">
        <f t="shared" si="5"/>
        <v>638</v>
      </c>
      <c r="I22" s="7">
        <f t="shared" ref="I22:P22" si="6">+I20-I21</f>
        <v>619</v>
      </c>
      <c r="J22" s="7">
        <f t="shared" si="6"/>
        <v>779</v>
      </c>
      <c r="K22" s="7">
        <f t="shared" si="6"/>
        <v>613</v>
      </c>
      <c r="L22" s="7">
        <f t="shared" si="6"/>
        <v>630</v>
      </c>
      <c r="M22" s="7">
        <f t="shared" si="6"/>
        <v>605</v>
      </c>
      <c r="N22" s="7">
        <f t="shared" si="6"/>
        <v>778.37999999999965</v>
      </c>
      <c r="O22" s="7">
        <f t="shared" si="6"/>
        <v>565</v>
      </c>
      <c r="P22" s="7">
        <f t="shared" si="6"/>
        <v>587</v>
      </c>
      <c r="Q22" s="7"/>
      <c r="R22" s="7"/>
      <c r="S22" s="7"/>
      <c r="T22" s="7"/>
      <c r="U22" s="7"/>
      <c r="V22" s="7"/>
      <c r="W22" s="7">
        <f>+W20-W21</f>
        <v>2256</v>
      </c>
      <c r="X22" s="7">
        <f>+X20-X21</f>
        <v>2580</v>
      </c>
      <c r="Y22" s="7">
        <f>+Y20-Y21</f>
        <v>2659</v>
      </c>
      <c r="Z22" s="7">
        <f>+Z20-Z21</f>
        <v>2626.3799999999997</v>
      </c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</row>
    <row r="23" spans="2:65" x14ac:dyDescent="0.2">
      <c r="B23" s="2" t="s">
        <v>22</v>
      </c>
      <c r="C23" s="7">
        <v>414</v>
      </c>
      <c r="D23" s="7">
        <v>410</v>
      </c>
      <c r="E23" s="7">
        <v>424</v>
      </c>
      <c r="F23" s="7">
        <f>+X23-SUM(C23:E23)</f>
        <v>497</v>
      </c>
      <c r="G23" s="7">
        <v>442</v>
      </c>
      <c r="H23" s="7">
        <v>450</v>
      </c>
      <c r="I23" s="7">
        <v>433</v>
      </c>
      <c r="J23" s="7">
        <f>+Y23-SUM(G23:I23)</f>
        <v>543</v>
      </c>
      <c r="K23" s="7">
        <v>441</v>
      </c>
      <c r="L23" s="7">
        <v>433</v>
      </c>
      <c r="M23" s="7">
        <v>420</v>
      </c>
      <c r="N23" s="7">
        <f>+Z23-SUM(K23:M23)</f>
        <v>510.63699999999994</v>
      </c>
      <c r="O23" s="7">
        <v>410</v>
      </c>
      <c r="P23" s="7">
        <v>409</v>
      </c>
      <c r="Q23" s="7"/>
      <c r="R23" s="7"/>
      <c r="S23" s="7"/>
      <c r="T23" s="7"/>
      <c r="U23" s="7"/>
      <c r="V23" s="7"/>
      <c r="W23" s="7">
        <v>1539</v>
      </c>
      <c r="X23" s="7">
        <v>1745</v>
      </c>
      <c r="Y23" s="7">
        <v>1868</v>
      </c>
      <c r="Z23" s="7">
        <v>1804.6369999999999</v>
      </c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</row>
    <row r="24" spans="2:65" x14ac:dyDescent="0.2">
      <c r="B24" s="2" t="s">
        <v>23</v>
      </c>
      <c r="C24" s="7">
        <v>114</v>
      </c>
      <c r="D24" s="7">
        <v>108</v>
      </c>
      <c r="E24" s="7">
        <v>96</v>
      </c>
      <c r="F24" s="7">
        <f>+X24-SUM(C24:E24)</f>
        <v>108</v>
      </c>
      <c r="G24" s="7">
        <v>112</v>
      </c>
      <c r="H24" s="7">
        <v>117</v>
      </c>
      <c r="I24" s="7">
        <v>91</v>
      </c>
      <c r="J24" s="7">
        <f>+Y24-SUM(G24:I24)</f>
        <v>111</v>
      </c>
      <c r="K24" s="7">
        <v>110</v>
      </c>
      <c r="L24" s="7">
        <v>116</v>
      </c>
      <c r="M24" s="7">
        <v>90</v>
      </c>
      <c r="N24" s="7">
        <f>+Z24-SUM(K24:M24)</f>
        <v>114.99000000000001</v>
      </c>
      <c r="O24" s="7">
        <v>119</v>
      </c>
      <c r="P24" s="7">
        <v>119</v>
      </c>
      <c r="Q24" s="7"/>
      <c r="R24" s="7"/>
      <c r="S24" s="7"/>
      <c r="T24" s="7"/>
      <c r="U24" s="7"/>
      <c r="V24" s="7"/>
      <c r="W24" s="7">
        <v>382</v>
      </c>
      <c r="X24" s="7">
        <v>426</v>
      </c>
      <c r="Y24" s="7">
        <v>431</v>
      </c>
      <c r="Z24" s="7">
        <v>430.99</v>
      </c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</row>
    <row r="25" spans="2:65" x14ac:dyDescent="0.2">
      <c r="B25" s="2" t="s">
        <v>24</v>
      </c>
      <c r="C25" s="7">
        <f t="shared" ref="C25:H25" si="7">+C22-SUM(C23:C24)</f>
        <v>66</v>
      </c>
      <c r="D25" s="7">
        <f t="shared" si="7"/>
        <v>122</v>
      </c>
      <c r="E25" s="7">
        <f t="shared" si="7"/>
        <v>103</v>
      </c>
      <c r="F25" s="7">
        <f t="shared" si="7"/>
        <v>118</v>
      </c>
      <c r="G25" s="7">
        <f t="shared" si="7"/>
        <v>69</v>
      </c>
      <c r="H25" s="7">
        <f t="shared" si="7"/>
        <v>71</v>
      </c>
      <c r="I25" s="7">
        <f>+I22-SUM(I23:I24)</f>
        <v>95</v>
      </c>
      <c r="J25" s="7">
        <f t="shared" ref="J25:P25" si="8">+J22-SUM(J23:J24)</f>
        <v>125</v>
      </c>
      <c r="K25" s="7">
        <f t="shared" si="8"/>
        <v>62</v>
      </c>
      <c r="L25" s="7">
        <f t="shared" si="8"/>
        <v>81</v>
      </c>
      <c r="M25" s="7">
        <f t="shared" si="8"/>
        <v>95</v>
      </c>
      <c r="N25" s="7">
        <f t="shared" si="8"/>
        <v>152.7529999999997</v>
      </c>
      <c r="O25" s="7">
        <f t="shared" si="8"/>
        <v>36</v>
      </c>
      <c r="P25" s="7">
        <f t="shared" si="8"/>
        <v>59</v>
      </c>
      <c r="Q25" s="7"/>
      <c r="R25" s="7"/>
      <c r="S25" s="7"/>
      <c r="T25" s="7"/>
      <c r="U25" s="7"/>
      <c r="V25" s="7"/>
      <c r="W25" s="7">
        <f>+W22-W23-W24</f>
        <v>335</v>
      </c>
      <c r="X25" s="7">
        <f>+X22-X23-X24</f>
        <v>409</v>
      </c>
      <c r="Y25" s="7">
        <f>+Y22-Y23-Y24</f>
        <v>360</v>
      </c>
      <c r="Z25" s="7">
        <f>+Z22-Z23-Z24</f>
        <v>390.7529999999997</v>
      </c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</row>
    <row r="26" spans="2:65" x14ac:dyDescent="0.2">
      <c r="B26" s="2" t="s">
        <v>25</v>
      </c>
      <c r="C26" s="7">
        <v>-12</v>
      </c>
      <c r="D26" s="7">
        <v>-12</v>
      </c>
      <c r="E26" s="7">
        <v>-15</v>
      </c>
      <c r="F26" s="7">
        <f>+X26-SUM(C26:E26)</f>
        <v>-14</v>
      </c>
      <c r="G26" s="7">
        <v>-12</v>
      </c>
      <c r="H26" s="7">
        <v>-16</v>
      </c>
      <c r="I26" s="7">
        <v>-18</v>
      </c>
      <c r="J26" s="7">
        <f>+Y26-SUM(G26:I26)</f>
        <v>-13</v>
      </c>
      <c r="K26" s="7">
        <v>-9</v>
      </c>
      <c r="L26" s="7">
        <v>-12</v>
      </c>
      <c r="M26" s="7">
        <v>-12</v>
      </c>
      <c r="N26" s="7">
        <f>+Z26-SUM(K26:M26)</f>
        <v>-12.901000000000003</v>
      </c>
      <c r="O26" s="7">
        <v>-10</v>
      </c>
      <c r="P26" s="7">
        <v>-12</v>
      </c>
      <c r="Q26" s="7"/>
      <c r="R26" s="7"/>
      <c r="S26" s="7"/>
      <c r="T26" s="7"/>
      <c r="U26" s="7"/>
      <c r="V26" s="7"/>
      <c r="W26" s="7">
        <v>-50</v>
      </c>
      <c r="X26" s="7">
        <v>-53</v>
      </c>
      <c r="Y26" s="7">
        <v>-59</v>
      </c>
      <c r="Z26" s="7">
        <v>-45.901000000000003</v>
      </c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</row>
    <row r="27" spans="2:65" x14ac:dyDescent="0.2">
      <c r="B27" s="2" t="s">
        <v>26</v>
      </c>
      <c r="C27" s="7">
        <f t="shared" ref="C27:H27" si="9">+C25+C26</f>
        <v>54</v>
      </c>
      <c r="D27" s="7">
        <f t="shared" si="9"/>
        <v>110</v>
      </c>
      <c r="E27" s="7">
        <f t="shared" si="9"/>
        <v>88</v>
      </c>
      <c r="F27" s="7">
        <f t="shared" si="9"/>
        <v>104</v>
      </c>
      <c r="G27" s="7">
        <f t="shared" si="9"/>
        <v>57</v>
      </c>
      <c r="H27" s="7">
        <f t="shared" si="9"/>
        <v>55</v>
      </c>
      <c r="I27" s="7">
        <f>+I25+I26</f>
        <v>77</v>
      </c>
      <c r="J27" s="7">
        <f t="shared" ref="J27:P27" si="10">+J25+J26</f>
        <v>112</v>
      </c>
      <c r="K27" s="7">
        <f t="shared" si="10"/>
        <v>53</v>
      </c>
      <c r="L27" s="7">
        <f t="shared" si="10"/>
        <v>69</v>
      </c>
      <c r="M27" s="7">
        <f t="shared" si="10"/>
        <v>83</v>
      </c>
      <c r="N27" s="7">
        <f t="shared" si="10"/>
        <v>139.85199999999969</v>
      </c>
      <c r="O27" s="7">
        <f t="shared" si="10"/>
        <v>26</v>
      </c>
      <c r="P27" s="7">
        <f t="shared" si="10"/>
        <v>47</v>
      </c>
      <c r="Q27" s="7"/>
      <c r="R27" s="7"/>
      <c r="S27" s="7"/>
      <c r="T27" s="7"/>
      <c r="U27" s="7"/>
      <c r="V27" s="7"/>
      <c r="W27" s="7">
        <f>+W25+W26</f>
        <v>285</v>
      </c>
      <c r="X27" s="7">
        <f>+X25+X26</f>
        <v>356</v>
      </c>
      <c r="Y27" s="7">
        <f>+Y25+Y26</f>
        <v>301</v>
      </c>
      <c r="Z27" s="7">
        <f>+Z25+Z26</f>
        <v>344.85199999999969</v>
      </c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</row>
    <row r="28" spans="2:65" x14ac:dyDescent="0.2">
      <c r="B28" s="2" t="s">
        <v>27</v>
      </c>
      <c r="C28" s="7">
        <v>15</v>
      </c>
      <c r="D28" s="7">
        <v>30</v>
      </c>
      <c r="E28" s="7">
        <v>25</v>
      </c>
      <c r="F28" s="7">
        <f>+X28-SUM(C28:E28)</f>
        <v>17</v>
      </c>
      <c r="G28" s="7">
        <v>16</v>
      </c>
      <c r="H28" s="7">
        <v>15</v>
      </c>
      <c r="I28" s="7">
        <v>22</v>
      </c>
      <c r="J28" s="7">
        <f>+Y28-SUM(G28:I28)</f>
        <v>25</v>
      </c>
      <c r="K28" s="7">
        <v>15</v>
      </c>
      <c r="L28" s="7">
        <v>19</v>
      </c>
      <c r="M28" s="7">
        <v>23</v>
      </c>
      <c r="N28" s="7">
        <f>+Z28-SUM(K28:M28)</f>
        <v>28.566999999999993</v>
      </c>
      <c r="O28" s="7">
        <v>7</v>
      </c>
      <c r="P28" s="7">
        <v>13</v>
      </c>
      <c r="Q28" s="7"/>
      <c r="R28" s="7"/>
      <c r="S28" s="7"/>
      <c r="T28" s="7"/>
      <c r="U28" s="7"/>
      <c r="V28" s="7"/>
      <c r="W28" s="7">
        <v>63</v>
      </c>
      <c r="X28" s="7">
        <v>87</v>
      </c>
      <c r="Y28" s="7">
        <v>78</v>
      </c>
      <c r="Z28" s="7">
        <v>85.566999999999993</v>
      </c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</row>
    <row r="29" spans="2:65" x14ac:dyDescent="0.2">
      <c r="B29" s="2" t="s">
        <v>28</v>
      </c>
      <c r="C29" s="7">
        <f t="shared" ref="C29:H29" si="11">+C27-C28</f>
        <v>39</v>
      </c>
      <c r="D29" s="7">
        <f t="shared" si="11"/>
        <v>80</v>
      </c>
      <c r="E29" s="7">
        <f t="shared" si="11"/>
        <v>63</v>
      </c>
      <c r="F29" s="7">
        <f t="shared" si="11"/>
        <v>87</v>
      </c>
      <c r="G29" s="7">
        <f t="shared" si="11"/>
        <v>41</v>
      </c>
      <c r="H29" s="7">
        <f t="shared" si="11"/>
        <v>40</v>
      </c>
      <c r="I29" s="7">
        <f>+I27-I28</f>
        <v>55</v>
      </c>
      <c r="J29" s="7">
        <f t="shared" ref="J29" si="12">+J27-J28</f>
        <v>87</v>
      </c>
      <c r="K29" s="7">
        <f t="shared" ref="K29:P29" si="13">+K27-K28</f>
        <v>38</v>
      </c>
      <c r="L29" s="7">
        <f t="shared" si="13"/>
        <v>50</v>
      </c>
      <c r="M29" s="7">
        <f t="shared" si="13"/>
        <v>60</v>
      </c>
      <c r="N29" s="7">
        <f t="shared" si="13"/>
        <v>111.2849999999997</v>
      </c>
      <c r="O29" s="7">
        <f t="shared" si="13"/>
        <v>19</v>
      </c>
      <c r="P29" s="7">
        <f t="shared" si="13"/>
        <v>34</v>
      </c>
      <c r="Q29" s="7"/>
      <c r="R29" s="7"/>
      <c r="S29" s="7"/>
      <c r="T29" s="7"/>
      <c r="U29" s="7"/>
      <c r="V29" s="7"/>
      <c r="W29" s="7">
        <f>+W27-W28</f>
        <v>222</v>
      </c>
      <c r="X29" s="7">
        <f>+X27-X28</f>
        <v>269</v>
      </c>
      <c r="Y29" s="7">
        <f>+Y27-Y28</f>
        <v>223</v>
      </c>
      <c r="Z29" s="7">
        <f>+Z27-Z28</f>
        <v>259.28499999999968</v>
      </c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</row>
    <row r="30" spans="2:65" x14ac:dyDescent="0.2">
      <c r="B30" s="2" t="s">
        <v>29</v>
      </c>
      <c r="C30" s="7">
        <v>4</v>
      </c>
      <c r="D30" s="7">
        <v>3</v>
      </c>
      <c r="E30" s="7">
        <v>0</v>
      </c>
      <c r="F30" s="7">
        <f>+X30-SUM(C30:E30)</f>
        <v>4</v>
      </c>
      <c r="G30" s="7">
        <v>3</v>
      </c>
      <c r="H30" s="7">
        <v>2</v>
      </c>
      <c r="I30" s="7">
        <v>1</v>
      </c>
      <c r="J30" s="7">
        <f>+Y30-SUM(G30:I30)</f>
        <v>4</v>
      </c>
      <c r="K30" s="7">
        <v>2</v>
      </c>
      <c r="L30" s="7">
        <v>3</v>
      </c>
      <c r="M30" s="7">
        <v>1</v>
      </c>
      <c r="N30" s="7">
        <f>+Z30-SUM(K30:M30)</f>
        <v>3.8049999999999997</v>
      </c>
      <c r="O30" s="16">
        <v>1</v>
      </c>
      <c r="P30" s="7">
        <v>1</v>
      </c>
      <c r="Q30" s="7"/>
      <c r="R30" s="7"/>
      <c r="S30" s="7"/>
      <c r="T30" s="7"/>
      <c r="U30" s="7"/>
      <c r="V30" s="7"/>
      <c r="W30" s="7">
        <v>12</v>
      </c>
      <c r="X30" s="7">
        <v>11</v>
      </c>
      <c r="Y30" s="7">
        <v>10</v>
      </c>
      <c r="Z30" s="7">
        <v>9.8049999999999997</v>
      </c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</row>
    <row r="31" spans="2:65" x14ac:dyDescent="0.2">
      <c r="B31" s="2" t="s">
        <v>30</v>
      </c>
      <c r="C31" s="7">
        <f t="shared" ref="C31:H31" si="14">+C29-C30</f>
        <v>35</v>
      </c>
      <c r="D31" s="7">
        <f t="shared" si="14"/>
        <v>77</v>
      </c>
      <c r="E31" s="7">
        <f t="shared" si="14"/>
        <v>63</v>
      </c>
      <c r="F31" s="7">
        <f t="shared" si="14"/>
        <v>83</v>
      </c>
      <c r="G31" s="7">
        <f t="shared" si="14"/>
        <v>38</v>
      </c>
      <c r="H31" s="7">
        <f t="shared" si="14"/>
        <v>38</v>
      </c>
      <c r="I31" s="7">
        <f>+I29-I30</f>
        <v>54</v>
      </c>
      <c r="J31" s="7">
        <f t="shared" ref="J31" si="15">+J29-J30</f>
        <v>83</v>
      </c>
      <c r="K31" s="7">
        <f t="shared" ref="K31:P31" si="16">+K29-K30</f>
        <v>36</v>
      </c>
      <c r="L31" s="7">
        <f t="shared" si="16"/>
        <v>47</v>
      </c>
      <c r="M31" s="7">
        <f t="shared" si="16"/>
        <v>59</v>
      </c>
      <c r="N31" s="7">
        <f t="shared" si="16"/>
        <v>107.47999999999971</v>
      </c>
      <c r="O31" s="7">
        <f t="shared" si="16"/>
        <v>18</v>
      </c>
      <c r="P31" s="7">
        <f t="shared" si="16"/>
        <v>33</v>
      </c>
      <c r="Q31" s="7"/>
      <c r="R31" s="7"/>
      <c r="S31" s="7"/>
      <c r="T31" s="7"/>
      <c r="U31" s="7"/>
      <c r="V31" s="7"/>
      <c r="W31" s="7">
        <f>+W29-W30</f>
        <v>210</v>
      </c>
      <c r="X31" s="7">
        <f>+X29-X30</f>
        <v>258</v>
      </c>
      <c r="Y31" s="7">
        <f>+Y29-Y30</f>
        <v>213</v>
      </c>
      <c r="Z31" s="7">
        <f>+Z29-Z30</f>
        <v>249.47999999999968</v>
      </c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</row>
    <row r="32" spans="2:65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</row>
    <row r="33" spans="2:65" x14ac:dyDescent="0.2">
      <c r="B33" s="2" t="s">
        <v>31</v>
      </c>
      <c r="C33" s="9">
        <f t="shared" ref="C33:D33" si="17">+C31/C34</f>
        <v>0.507127532576786</v>
      </c>
      <c r="D33" s="9">
        <f t="shared" si="17"/>
        <v>1.1156805716689291</v>
      </c>
      <c r="E33" s="9">
        <f>+E31/E34</f>
        <v>0.9128295586382148</v>
      </c>
      <c r="F33" s="9">
        <f t="shared" ref="F33:J33" si="18">+F31/F34</f>
        <v>1.2026167201106639</v>
      </c>
      <c r="G33" s="9">
        <f t="shared" si="18"/>
        <v>0.55059560679765329</v>
      </c>
      <c r="H33" s="9">
        <f t="shared" si="18"/>
        <v>0.55059560679765329</v>
      </c>
      <c r="I33" s="9">
        <f t="shared" si="18"/>
        <v>0.78242533597561259</v>
      </c>
      <c r="J33" s="9">
        <f t="shared" si="18"/>
        <v>1.2026167201106639</v>
      </c>
      <c r="K33" s="9">
        <f t="shared" ref="K33:P33" si="19">+K31/K34</f>
        <v>0.52161689065040839</v>
      </c>
      <c r="L33" s="9">
        <f t="shared" si="19"/>
        <v>0.6809998294602555</v>
      </c>
      <c r="M33" s="9">
        <f t="shared" si="19"/>
        <v>0.85487212634372489</v>
      </c>
      <c r="N33" s="9">
        <f t="shared" si="19"/>
        <v>1.5573162057529373</v>
      </c>
      <c r="O33" s="9">
        <f t="shared" si="19"/>
        <v>0.26080845666204561</v>
      </c>
      <c r="P33" s="9">
        <f t="shared" si="19"/>
        <v>0.47814883721375023</v>
      </c>
      <c r="Q33" s="9"/>
      <c r="R33" s="9"/>
      <c r="S33" s="3"/>
      <c r="T33" s="9" t="e">
        <f t="shared" ref="T33:W33" si="20">+T31/T34</f>
        <v>#DIV/0!</v>
      </c>
      <c r="U33" s="9">
        <f t="shared" si="20"/>
        <v>0</v>
      </c>
      <c r="V33" s="9">
        <f t="shared" si="20"/>
        <v>0</v>
      </c>
      <c r="W33" s="9">
        <f t="shared" si="20"/>
        <v>3.0427651954607158</v>
      </c>
      <c r="X33" s="9">
        <f>+X31/X34</f>
        <v>3.7382543829945938</v>
      </c>
      <c r="Y33" s="9">
        <f>+Y31/Y34</f>
        <v>3.0862332696815833</v>
      </c>
      <c r="Z33" s="9">
        <f>+Z31/Z34</f>
        <v>3.6148050522073256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</row>
    <row r="34" spans="2:65" x14ac:dyDescent="0.2">
      <c r="B34" s="2" t="s">
        <v>3</v>
      </c>
      <c r="C34" s="3">
        <v>69.016170000000002</v>
      </c>
      <c r="D34" s="3">
        <v>69.016170000000002</v>
      </c>
      <c r="E34" s="3">
        <v>69.016170000000002</v>
      </c>
      <c r="F34" s="3">
        <v>69.016170000000002</v>
      </c>
      <c r="G34" s="3">
        <v>69.016170000000002</v>
      </c>
      <c r="H34" s="3">
        <v>69.016170000000002</v>
      </c>
      <c r="I34" s="3">
        <v>69.016170000000002</v>
      </c>
      <c r="J34" s="3">
        <v>69.016170000000002</v>
      </c>
      <c r="K34" s="3">
        <v>69.016170000000002</v>
      </c>
      <c r="L34" s="3">
        <v>69.016170000000002</v>
      </c>
      <c r="M34" s="3">
        <v>69.016170000000002</v>
      </c>
      <c r="N34" s="3">
        <v>69.016170000000002</v>
      </c>
      <c r="O34" s="3">
        <v>69.016166999999996</v>
      </c>
      <c r="P34" s="3">
        <v>69.016166999999996</v>
      </c>
      <c r="Q34" s="3"/>
      <c r="R34" s="3"/>
      <c r="S34" s="3"/>
      <c r="T34" s="3"/>
      <c r="U34" s="3">
        <v>69.016170000000002</v>
      </c>
      <c r="V34" s="3">
        <v>69.016170000000002</v>
      </c>
      <c r="W34" s="3">
        <v>69.016170000000002</v>
      </c>
      <c r="X34" s="3">
        <v>69.016170000000002</v>
      </c>
      <c r="Y34" s="3">
        <v>69.016170000000002</v>
      </c>
      <c r="Z34" s="3">
        <v>69.016170000000002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</row>
    <row r="35" spans="2:65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</row>
    <row r="36" spans="2:65" x14ac:dyDescent="0.2">
      <c r="B36" s="2" t="s">
        <v>58</v>
      </c>
      <c r="C36" s="3"/>
      <c r="D36" s="3"/>
      <c r="E36" s="3"/>
      <c r="F36" s="3"/>
      <c r="G36" s="10">
        <f t="shared" ref="G36:K37" si="21">+G6/C6-1</f>
        <v>5.6417489421720646E-3</v>
      </c>
      <c r="H36" s="10">
        <f t="shared" si="21"/>
        <v>5.0775740479548581E-2</v>
      </c>
      <c r="I36" s="10">
        <f t="shared" si="21"/>
        <v>4.6544428772919533E-2</v>
      </c>
      <c r="J36" s="10">
        <f t="shared" si="21"/>
        <v>8.0394922425952142E-2</v>
      </c>
      <c r="K36" s="10">
        <f t="shared" si="21"/>
        <v>6.5217391304347894E-2</v>
      </c>
      <c r="L36" s="10">
        <f t="shared" ref="L36:M36" si="22">+L6/H6-1</f>
        <v>3.3557046979866278E-3</v>
      </c>
      <c r="M36" s="10">
        <f t="shared" si="22"/>
        <v>6.738544474393926E-4</v>
      </c>
      <c r="N36" s="10">
        <f t="shared" ref="N36:P37" si="23">+N6/J6-1</f>
        <v>-4.5691906005221883E-2</v>
      </c>
      <c r="O36" s="10">
        <f t="shared" si="23"/>
        <v>-7.4391046741277167E-2</v>
      </c>
      <c r="P36" s="10">
        <f t="shared" si="23"/>
        <v>-6.6889632107023367E-2</v>
      </c>
      <c r="Q36" s="10"/>
      <c r="R36" s="10"/>
      <c r="S36" s="3"/>
      <c r="T36" s="3"/>
      <c r="U36" s="10" t="e">
        <f t="shared" ref="U36:Y36" si="24">+U6/T6-1</f>
        <v>#DIV/0!</v>
      </c>
      <c r="V36" s="10" t="e">
        <f t="shared" si="24"/>
        <v>#DIV/0!</v>
      </c>
      <c r="W36" s="10" t="e">
        <f t="shared" si="24"/>
        <v>#DIV/0!</v>
      </c>
      <c r="X36" s="10">
        <f t="shared" si="24"/>
        <v>7.7507598784194442E-2</v>
      </c>
      <c r="Y36" s="10">
        <f t="shared" si="24"/>
        <v>8.0394922425952142E-2</v>
      </c>
      <c r="Z36" s="10">
        <f>+Z6/Y6-1</f>
        <v>-4.5691906005221883E-2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</row>
    <row r="37" spans="2:65" x14ac:dyDescent="0.2">
      <c r="B37" s="2" t="s">
        <v>59</v>
      </c>
      <c r="C37" s="3"/>
      <c r="D37" s="3"/>
      <c r="E37" s="3"/>
      <c r="F37" s="3"/>
      <c r="G37" s="10">
        <f t="shared" si="21"/>
        <v>2.044989775051187E-3</v>
      </c>
      <c r="H37" s="10">
        <f t="shared" si="21"/>
        <v>1.0224948875255713E-2</v>
      </c>
      <c r="I37" s="10">
        <f t="shared" si="21"/>
        <v>2.044989775051187E-3</v>
      </c>
      <c r="J37" s="10">
        <f t="shared" si="21"/>
        <v>2.249488752556239E-2</v>
      </c>
      <c r="K37" s="10">
        <f t="shared" si="21"/>
        <v>2.0408163265306145E-2</v>
      </c>
      <c r="L37" s="10">
        <f t="shared" ref="L37:M37" si="25">+L7/H7-1</f>
        <v>-6.0728744939271273E-3</v>
      </c>
      <c r="M37" s="10">
        <f t="shared" si="25"/>
        <v>-1.0204081632653073E-2</v>
      </c>
      <c r="N37" s="10">
        <f t="shared" si="23"/>
        <v>-3.0000000000000027E-2</v>
      </c>
      <c r="O37" s="10">
        <f t="shared" si="23"/>
        <v>-6.0000000000000053E-2</v>
      </c>
      <c r="P37" s="10">
        <f t="shared" si="23"/>
        <v>-5.4989816700610983E-2</v>
      </c>
      <c r="Q37" s="10"/>
      <c r="R37" s="10"/>
      <c r="S37" s="3"/>
      <c r="T37" s="3"/>
      <c r="U37" s="10" t="e">
        <f t="shared" ref="U37:Y37" si="26">+U7/T7-1</f>
        <v>#DIV/0!</v>
      </c>
      <c r="V37" s="10" t="e">
        <f t="shared" si="26"/>
        <v>#DIV/0!</v>
      </c>
      <c r="W37" s="10" t="e">
        <f t="shared" si="26"/>
        <v>#DIV/0!</v>
      </c>
      <c r="X37" s="10">
        <f t="shared" si="26"/>
        <v>4.042553191489362E-2</v>
      </c>
      <c r="Y37" s="10">
        <f t="shared" si="26"/>
        <v>2.249488752556239E-2</v>
      </c>
      <c r="Z37" s="10">
        <f>+Z7/Y7-1</f>
        <v>-3.0000000000000027E-2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</row>
    <row r="38" spans="2:65" x14ac:dyDescent="0.2">
      <c r="B38" s="2" t="s">
        <v>44</v>
      </c>
      <c r="C38" s="3"/>
      <c r="D38" s="3"/>
      <c r="E38" s="3"/>
      <c r="F38" s="3"/>
      <c r="G38" s="10">
        <f t="shared" ref="G38:J47" si="27">+G10/C10-1</f>
        <v>4.1554959785522705E-2</v>
      </c>
      <c r="H38" s="10">
        <f t="shared" si="27"/>
        <v>-1.9753086419753041E-2</v>
      </c>
      <c r="I38" s="10">
        <f t="shared" si="27"/>
        <v>-1.2722646310432406E-3</v>
      </c>
      <c r="J38" s="10">
        <f t="shared" si="27"/>
        <v>6.4551422319474749E-2</v>
      </c>
      <c r="K38" s="10">
        <f>+K10/G10-1</f>
        <v>-1.4157014157014203E-2</v>
      </c>
      <c r="L38" s="10">
        <f t="shared" ref="L38:M48" si="28">+L10/H10-1</f>
        <v>1.7632241813602123E-2</v>
      </c>
      <c r="M38" s="10">
        <f t="shared" si="28"/>
        <v>-2.6751592356687892E-2</v>
      </c>
      <c r="N38" s="10">
        <f t="shared" ref="N38:N48" si="29">+N10/J10-1</f>
        <v>3.5971223021582732E-2</v>
      </c>
      <c r="O38" s="10">
        <f t="shared" ref="O38:P48" si="30">+O10/K10-1</f>
        <v>1.6971279373368064E-2</v>
      </c>
      <c r="P38" s="10">
        <f t="shared" si="30"/>
        <v>-1.980198019801982E-2</v>
      </c>
      <c r="Q38" s="10"/>
      <c r="R38" s="10"/>
      <c r="S38" s="3"/>
      <c r="T38" s="3"/>
      <c r="U38" s="10" t="e">
        <f t="shared" ref="U38:Y48" si="31">+U10/T10-1</f>
        <v>#DIV/0!</v>
      </c>
      <c r="V38" s="10" t="e">
        <f t="shared" si="31"/>
        <v>#DIV/0!</v>
      </c>
      <c r="W38" s="10" t="e">
        <f t="shared" si="31"/>
        <v>#DIV/0!</v>
      </c>
      <c r="X38" s="10">
        <f t="shared" si="31"/>
        <v>0.13528591352859132</v>
      </c>
      <c r="Y38" s="10">
        <f t="shared" si="31"/>
        <v>2.2420147420147529E-2</v>
      </c>
      <c r="Z38" s="10">
        <f>+Z10/Y10-1</f>
        <v>5.1066386302192068E-3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</row>
    <row r="39" spans="2:65" x14ac:dyDescent="0.2">
      <c r="B39" s="2" t="s">
        <v>45</v>
      </c>
      <c r="C39" s="3"/>
      <c r="D39" s="3"/>
      <c r="E39" s="3"/>
      <c r="F39" s="3"/>
      <c r="G39" s="10">
        <f t="shared" si="27"/>
        <v>4.4776119402984982E-2</v>
      </c>
      <c r="H39" s="10">
        <f t="shared" si="27"/>
        <v>1.4925373134328401E-2</v>
      </c>
      <c r="I39" s="10">
        <f t="shared" si="27"/>
        <v>1.3698630136986356E-2</v>
      </c>
      <c r="J39" s="10">
        <f t="shared" si="27"/>
        <v>4.9382716049382713E-2</v>
      </c>
      <c r="K39" s="10">
        <f t="shared" ref="K39:K47" si="32">+K11/G11-1</f>
        <v>0</v>
      </c>
      <c r="L39" s="10">
        <f t="shared" si="28"/>
        <v>-8.8235294117647078E-2</v>
      </c>
      <c r="M39" s="10">
        <f t="shared" si="28"/>
        <v>-9.4594594594594628E-2</v>
      </c>
      <c r="N39" s="10">
        <f t="shared" si="29"/>
        <v>-4.705882352941182E-2</v>
      </c>
      <c r="O39" s="20" t="s">
        <v>84</v>
      </c>
      <c r="P39" s="20" t="s">
        <v>84</v>
      </c>
      <c r="Q39" s="10"/>
      <c r="R39" s="10"/>
      <c r="S39" s="3"/>
      <c r="T39" s="3"/>
      <c r="U39" s="10" t="e">
        <f t="shared" si="31"/>
        <v>#DIV/0!</v>
      </c>
      <c r="V39" s="10" t="e">
        <f t="shared" si="31"/>
        <v>#DIV/0!</v>
      </c>
      <c r="W39" s="10" t="e">
        <f t="shared" si="31"/>
        <v>#DIV/0!</v>
      </c>
      <c r="X39" s="10">
        <f t="shared" si="31"/>
        <v>0.20502092050209209</v>
      </c>
      <c r="Y39" s="10">
        <f t="shared" si="31"/>
        <v>3.125E-2</v>
      </c>
      <c r="Z39" s="10">
        <f t="shared" ref="Z39:Z48" si="33">+Z11/Y11-1</f>
        <v>-5.7239057239057201E-2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</row>
    <row r="40" spans="2:65" x14ac:dyDescent="0.2">
      <c r="B40" s="2" t="s">
        <v>46</v>
      </c>
      <c r="C40" s="3"/>
      <c r="D40" s="3"/>
      <c r="E40" s="3"/>
      <c r="F40" s="3"/>
      <c r="G40" s="10">
        <f t="shared" si="27"/>
        <v>7.7419354838709653E-2</v>
      </c>
      <c r="H40" s="10">
        <f t="shared" si="27"/>
        <v>2.7027027027026973E-2</v>
      </c>
      <c r="I40" s="10">
        <f t="shared" si="27"/>
        <v>1.1834319526627279E-2</v>
      </c>
      <c r="J40" s="10">
        <f t="shared" si="27"/>
        <v>6.0773480662983381E-2</v>
      </c>
      <c r="K40" s="10">
        <f t="shared" si="32"/>
        <v>-2.39520958083832E-2</v>
      </c>
      <c r="L40" s="10">
        <f t="shared" si="28"/>
        <v>-0.13157894736842102</v>
      </c>
      <c r="M40" s="10">
        <f t="shared" si="28"/>
        <v>-7.6023391812865548E-2</v>
      </c>
      <c r="N40" s="10">
        <f t="shared" si="29"/>
        <v>-5.2083333333333703E-3</v>
      </c>
      <c r="O40" s="10">
        <f t="shared" si="30"/>
        <v>-0.23312883435582821</v>
      </c>
      <c r="P40" s="10">
        <f t="shared" si="30"/>
        <v>-0.14393939393939392</v>
      </c>
      <c r="Q40" s="10"/>
      <c r="R40" s="10"/>
      <c r="S40" s="3"/>
      <c r="T40" s="3"/>
      <c r="U40" s="10" t="e">
        <f t="shared" si="31"/>
        <v>#DIV/0!</v>
      </c>
      <c r="V40" s="10" t="e">
        <f t="shared" si="31"/>
        <v>#DIV/0!</v>
      </c>
      <c r="W40" s="10" t="e">
        <f t="shared" si="31"/>
        <v>#DIV/0!</v>
      </c>
      <c r="X40" s="10">
        <f t="shared" si="31"/>
        <v>0.19816513761467891</v>
      </c>
      <c r="Y40" s="10">
        <f t="shared" si="31"/>
        <v>4.4410413476263511E-2</v>
      </c>
      <c r="Z40" s="10">
        <f t="shared" si="33"/>
        <v>-5.5718475073313734E-2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</row>
    <row r="41" spans="2:65" x14ac:dyDescent="0.2">
      <c r="B41" s="2" t="s">
        <v>47</v>
      </c>
      <c r="C41" s="3"/>
      <c r="D41" s="3"/>
      <c r="E41" s="3"/>
      <c r="F41" s="3"/>
      <c r="G41" s="10">
        <f t="shared" si="27"/>
        <v>4.1050903119868698E-2</v>
      </c>
      <c r="H41" s="10">
        <f t="shared" si="27"/>
        <v>-2.5806451612903181E-2</v>
      </c>
      <c r="I41" s="10">
        <f t="shared" si="27"/>
        <v>1.3782542113323082E-2</v>
      </c>
      <c r="J41" s="10">
        <f t="shared" si="27"/>
        <v>6.6176470588235281E-2</v>
      </c>
      <c r="K41" s="10">
        <f t="shared" si="32"/>
        <v>-4.7318611987381409E-3</v>
      </c>
      <c r="L41" s="10">
        <f t="shared" si="28"/>
        <v>2.3178807947019875E-2</v>
      </c>
      <c r="M41" s="10">
        <f t="shared" si="28"/>
        <v>-3.1722054380664666E-2</v>
      </c>
      <c r="N41" s="10">
        <f t="shared" si="29"/>
        <v>0.21125793103448309</v>
      </c>
      <c r="O41" s="10">
        <f t="shared" si="30"/>
        <v>-9.9841521394611776E-2</v>
      </c>
      <c r="P41" s="10">
        <f t="shared" si="30"/>
        <v>-0.13915857605177995</v>
      </c>
      <c r="Q41" s="10"/>
      <c r="R41" s="10"/>
      <c r="S41" s="3"/>
      <c r="T41" s="3"/>
      <c r="U41" s="10" t="e">
        <f t="shared" si="31"/>
        <v>#DIV/0!</v>
      </c>
      <c r="V41" s="10" t="e">
        <f t="shared" si="31"/>
        <v>#DIV/0!</v>
      </c>
      <c r="W41" s="10" t="e">
        <f t="shared" si="31"/>
        <v>#DIV/0!</v>
      </c>
      <c r="X41" s="10">
        <f t="shared" si="31"/>
        <v>0.11246200607902734</v>
      </c>
      <c r="Y41" s="10">
        <f t="shared" si="31"/>
        <v>2.4590163934426146E-2</v>
      </c>
      <c r="Z41" s="10">
        <f t="shared" si="33"/>
        <v>5.4537904761904787E-2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</row>
    <row r="42" spans="2:65" x14ac:dyDescent="0.2">
      <c r="B42" s="2" t="s">
        <v>48</v>
      </c>
      <c r="C42" s="3"/>
      <c r="D42" s="3"/>
      <c r="E42" s="3"/>
      <c r="F42" s="3"/>
      <c r="G42" s="10">
        <f t="shared" si="27"/>
        <v>0.11794871794871797</v>
      </c>
      <c r="H42" s="10">
        <f t="shared" si="27"/>
        <v>5.9322033898305149E-2</v>
      </c>
      <c r="I42" s="10">
        <f t="shared" si="27"/>
        <v>0</v>
      </c>
      <c r="J42" s="10">
        <f t="shared" si="27"/>
        <v>9.4594594594594517E-2</v>
      </c>
      <c r="K42" s="10">
        <f t="shared" si="32"/>
        <v>-2.752293577981646E-2</v>
      </c>
      <c r="L42" s="10">
        <f t="shared" si="28"/>
        <v>-5.600000000000005E-2</v>
      </c>
      <c r="M42" s="10">
        <f t="shared" si="28"/>
        <v>-2.1929824561403466E-2</v>
      </c>
      <c r="N42" s="10">
        <f t="shared" si="29"/>
        <v>-7.0987654320986415E-3</v>
      </c>
      <c r="O42" s="10">
        <f t="shared" si="30"/>
        <v>-0.1132075471698113</v>
      </c>
      <c r="P42" s="10">
        <f t="shared" si="30"/>
        <v>0</v>
      </c>
      <c r="Q42" s="10"/>
      <c r="R42" s="10"/>
      <c r="S42" s="3"/>
      <c r="T42" s="3"/>
      <c r="U42" s="10" t="e">
        <f t="shared" si="31"/>
        <v>#DIV/0!</v>
      </c>
      <c r="V42" s="10" t="e">
        <f t="shared" si="31"/>
        <v>#DIV/0!</v>
      </c>
      <c r="W42" s="10" t="e">
        <f t="shared" si="31"/>
        <v>#DIV/0!</v>
      </c>
      <c r="X42" s="10">
        <f t="shared" si="31"/>
        <v>0.21039290240811148</v>
      </c>
      <c r="Y42" s="10">
        <f t="shared" si="31"/>
        <v>6.8062827225130906E-2</v>
      </c>
      <c r="Z42" s="10">
        <f t="shared" si="33"/>
        <v>-2.6764705882352913E-2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</row>
    <row r="43" spans="2:65" x14ac:dyDescent="0.2">
      <c r="B43" s="2" t="s">
        <v>49</v>
      </c>
      <c r="C43" s="3"/>
      <c r="D43" s="3"/>
      <c r="E43" s="3"/>
      <c r="F43" s="3"/>
      <c r="G43" s="10">
        <f t="shared" si="27"/>
        <v>-1.4184397163120588E-2</v>
      </c>
      <c r="H43" s="10">
        <f t="shared" si="27"/>
        <v>-6.944444444444442E-2</v>
      </c>
      <c r="I43" s="10">
        <f t="shared" si="27"/>
        <v>-8.333333333333337E-2</v>
      </c>
      <c r="J43" s="10">
        <f t="shared" si="27"/>
        <v>-5.8479532163743242E-3</v>
      </c>
      <c r="K43" s="10">
        <f t="shared" si="32"/>
        <v>-6.4748201438848962E-2</v>
      </c>
      <c r="L43" s="10">
        <f t="shared" si="28"/>
        <v>-7.4626865671641784E-2</v>
      </c>
      <c r="M43" s="10">
        <f t="shared" si="28"/>
        <v>-8.181818181818179E-2</v>
      </c>
      <c r="N43" s="10">
        <f t="shared" si="29"/>
        <v>-9.4264705882352806E-2</v>
      </c>
      <c r="O43" s="10">
        <f t="shared" si="30"/>
        <v>-5.3846153846153877E-2</v>
      </c>
      <c r="P43" s="10">
        <f t="shared" si="30"/>
        <v>-6.4516129032258118E-2</v>
      </c>
      <c r="Q43" s="10"/>
      <c r="R43" s="10"/>
      <c r="S43" s="3"/>
      <c r="T43" s="3"/>
      <c r="U43" s="10" t="e">
        <f t="shared" si="31"/>
        <v>#DIV/0!</v>
      </c>
      <c r="V43" s="10" t="e">
        <f t="shared" si="31"/>
        <v>#DIV/0!</v>
      </c>
      <c r="W43" s="10" t="e">
        <f t="shared" si="31"/>
        <v>#DIV/0!</v>
      </c>
      <c r="X43" s="10">
        <f t="shared" si="31"/>
        <v>0.23340471092077086</v>
      </c>
      <c r="Y43" s="10">
        <f t="shared" si="31"/>
        <v>-3.993055555555558E-2</v>
      </c>
      <c r="Z43" s="10">
        <f t="shared" si="33"/>
        <v>-7.9611211573236806E-2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</row>
    <row r="44" spans="2:65" x14ac:dyDescent="0.2">
      <c r="B44" s="2" t="s">
        <v>50</v>
      </c>
      <c r="C44" s="3"/>
      <c r="D44" s="3"/>
      <c r="E44" s="3"/>
      <c r="F44" s="3"/>
      <c r="G44" s="10">
        <f t="shared" si="27"/>
        <v>1.4432989690721598E-2</v>
      </c>
      <c r="H44" s="10">
        <f t="shared" si="27"/>
        <v>-2.931034482758621E-2</v>
      </c>
      <c r="I44" s="10">
        <f t="shared" si="27"/>
        <v>-4.2226487523992273E-2</v>
      </c>
      <c r="J44" s="10">
        <f t="shared" si="27"/>
        <v>1.6751479289941029E-2</v>
      </c>
      <c r="K44" s="10">
        <f t="shared" si="32"/>
        <v>-3.8617886178861749E-2</v>
      </c>
      <c r="L44" s="10">
        <f t="shared" si="28"/>
        <v>-3.730017761989346E-2</v>
      </c>
      <c r="M44" s="10">
        <f t="shared" si="28"/>
        <v>-3.2064128256513058E-2</v>
      </c>
      <c r="N44" s="10">
        <f t="shared" si="29"/>
        <v>-2.6278727354202558E-2</v>
      </c>
      <c r="O44" s="10">
        <f t="shared" si="30"/>
        <v>7.8224101479915431E-2</v>
      </c>
      <c r="P44" s="10">
        <f t="shared" si="30"/>
        <v>-0.89667896678966785</v>
      </c>
      <c r="Q44" s="10"/>
      <c r="R44" s="10"/>
      <c r="S44" s="3"/>
      <c r="T44" s="3"/>
      <c r="U44" s="10" t="e">
        <f t="shared" si="31"/>
        <v>#DIV/0!</v>
      </c>
      <c r="V44" s="10" t="e">
        <f t="shared" si="31"/>
        <v>#DIV/0!</v>
      </c>
      <c r="W44" s="10" t="e">
        <f t="shared" si="31"/>
        <v>#DIV/0!</v>
      </c>
      <c r="X44" s="10">
        <f t="shared" si="31"/>
        <v>0.12202380952380953</v>
      </c>
      <c r="Y44" s="10">
        <f t="shared" si="31"/>
        <v>-9.1405835543766356E-3</v>
      </c>
      <c r="Z44" s="10">
        <f t="shared" si="33"/>
        <v>-3.3043861574676314E-2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spans="2:65" x14ac:dyDescent="0.2">
      <c r="B45" s="2" t="s">
        <v>51</v>
      </c>
      <c r="C45" s="3"/>
      <c r="D45" s="3"/>
      <c r="E45" s="3"/>
      <c r="F45" s="3"/>
      <c r="G45" s="10">
        <f t="shared" si="27"/>
        <v>7.4468085106383031E-2</v>
      </c>
      <c r="H45" s="10">
        <f t="shared" si="27"/>
        <v>5.3571428571428603E-2</v>
      </c>
      <c r="I45" s="10">
        <f t="shared" si="27"/>
        <v>3.0716723549488067E-2</v>
      </c>
      <c r="J45" s="10">
        <f t="shared" si="27"/>
        <v>0.15387606837606871</v>
      </c>
      <c r="K45" s="10">
        <f t="shared" si="32"/>
        <v>-2.3102310231023049E-2</v>
      </c>
      <c r="L45" s="10">
        <f t="shared" si="28"/>
        <v>4.237288135593209E-3</v>
      </c>
      <c r="M45" s="10">
        <f t="shared" si="28"/>
        <v>-6.9536423841059625E-2</v>
      </c>
      <c r="N45" s="10">
        <f t="shared" si="29"/>
        <v>9.0268030088108908E-2</v>
      </c>
      <c r="O45" s="10">
        <f t="shared" si="30"/>
        <v>0.24662162162162171</v>
      </c>
      <c r="P45" s="10">
        <f t="shared" si="30"/>
        <v>0.35021097046413496</v>
      </c>
      <c r="Q45" s="10"/>
      <c r="R45" s="10"/>
      <c r="S45" s="3"/>
      <c r="T45" s="3"/>
      <c r="U45" s="10" t="e">
        <f t="shared" si="31"/>
        <v>#DIV/0!</v>
      </c>
      <c r="V45" s="10" t="e">
        <f t="shared" si="31"/>
        <v>#DIV/0!</v>
      </c>
      <c r="W45" s="10" t="e">
        <f t="shared" si="31"/>
        <v>#DIV/0!</v>
      </c>
      <c r="X45" s="10">
        <f t="shared" si="31"/>
        <v>0.15418994413407816</v>
      </c>
      <c r="Y45" s="10">
        <f t="shared" si="31"/>
        <v>7.5515004840271072E-2</v>
      </c>
      <c r="Z45" s="10">
        <f t="shared" si="33"/>
        <v>-2.3645215556696852E-3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spans="2:65" x14ac:dyDescent="0.2">
      <c r="B46" s="2" t="s">
        <v>52</v>
      </c>
      <c r="C46" s="3"/>
      <c r="D46" s="3"/>
      <c r="E46" s="3"/>
      <c r="F46" s="3"/>
      <c r="G46" s="10">
        <f t="shared" si="27"/>
        <v>9.550561797752799E-2</v>
      </c>
      <c r="H46" s="10">
        <f t="shared" si="27"/>
        <v>-3.5714285714285698E-2</v>
      </c>
      <c r="I46" s="10">
        <f t="shared" si="27"/>
        <v>6.4171122994652441E-2</v>
      </c>
      <c r="J46" s="10">
        <f t="shared" si="27"/>
        <v>0.10950632911392399</v>
      </c>
      <c r="K46" s="10">
        <f t="shared" si="32"/>
        <v>4.6153846153846212E-2</v>
      </c>
      <c r="L46" s="10">
        <f t="shared" si="28"/>
        <v>5.2910052910053018E-2</v>
      </c>
      <c r="M46" s="10">
        <f t="shared" si="28"/>
        <v>1.0050251256281451E-2</v>
      </c>
      <c r="N46" s="10">
        <f t="shared" si="29"/>
        <v>9.0126372393545928E-2</v>
      </c>
      <c r="O46" s="20" t="s">
        <v>84</v>
      </c>
      <c r="P46" s="20" t="s">
        <v>84</v>
      </c>
      <c r="Q46" s="10"/>
      <c r="R46" s="10"/>
      <c r="S46" s="3"/>
      <c r="T46" s="3"/>
      <c r="U46" s="10" t="e">
        <f t="shared" si="31"/>
        <v>#DIV/0!</v>
      </c>
      <c r="V46" s="10" t="e">
        <f t="shared" si="31"/>
        <v>#DIV/0!</v>
      </c>
      <c r="W46" s="10" t="e">
        <f t="shared" si="31"/>
        <v>#DIV/0!</v>
      </c>
      <c r="X46" s="10">
        <f t="shared" si="31"/>
        <v>0.2314814814814814</v>
      </c>
      <c r="Y46" s="10">
        <f t="shared" si="31"/>
        <v>6.0091478696741918E-2</v>
      </c>
      <c r="Z46" s="10">
        <f t="shared" si="33"/>
        <v>5.2838632879131708E-2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spans="2:65" x14ac:dyDescent="0.2">
      <c r="B47" s="2" t="s">
        <v>53</v>
      </c>
      <c r="C47" s="3"/>
      <c r="D47" s="3"/>
      <c r="E47" s="3"/>
      <c r="F47" s="3"/>
      <c r="G47" s="10">
        <f t="shared" si="27"/>
        <v>0</v>
      </c>
      <c r="H47" s="10">
        <f t="shared" si="27"/>
        <v>0</v>
      </c>
      <c r="I47" s="10">
        <f t="shared" si="27"/>
        <v>0.11538461538461542</v>
      </c>
      <c r="J47" s="10">
        <f t="shared" si="27"/>
        <v>7.1206896551724075E-2</v>
      </c>
      <c r="K47" s="10">
        <f t="shared" si="32"/>
        <v>0.13043478260869557</v>
      </c>
      <c r="L47" s="10">
        <f t="shared" si="28"/>
        <v>-7.6923076923076872E-2</v>
      </c>
      <c r="M47" s="10">
        <f t="shared" si="28"/>
        <v>-0.13793103448275867</v>
      </c>
      <c r="N47" s="10">
        <f t="shared" si="29"/>
        <v>-8.1152422340254327E-2</v>
      </c>
      <c r="O47" s="10">
        <f t="shared" si="30"/>
        <v>0</v>
      </c>
      <c r="P47" s="10">
        <f t="shared" si="30"/>
        <v>-0.125</v>
      </c>
      <c r="Q47" s="10"/>
      <c r="R47" s="10"/>
      <c r="S47" s="3"/>
      <c r="T47" s="3"/>
      <c r="U47" s="10" t="e">
        <f t="shared" si="31"/>
        <v>#DIV/0!</v>
      </c>
      <c r="V47" s="10" t="e">
        <f t="shared" si="31"/>
        <v>#DIV/0!</v>
      </c>
      <c r="W47" s="10" t="e">
        <f t="shared" si="31"/>
        <v>#DIV/0!</v>
      </c>
      <c r="X47" s="10">
        <f t="shared" si="31"/>
        <v>0.13043478260869557</v>
      </c>
      <c r="Y47" s="10">
        <f t="shared" si="31"/>
        <v>4.8701923076923004E-2</v>
      </c>
      <c r="Z47" s="10">
        <f t="shared" si="33"/>
        <v>-5.0621189199101413E-2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spans="2:65" x14ac:dyDescent="0.2">
      <c r="B48" s="1" t="s">
        <v>54</v>
      </c>
      <c r="C48" s="11"/>
      <c r="D48" s="11"/>
      <c r="E48" s="11"/>
      <c r="F48" s="11"/>
      <c r="G48" s="12">
        <f t="shared" ref="G48:H48" si="34">+G20/C20-1</f>
        <v>4.7520661157024691E-2</v>
      </c>
      <c r="H48" s="12">
        <f t="shared" si="34"/>
        <v>-1.0721247563352798E-2</v>
      </c>
      <c r="I48" s="12">
        <f>+I20/E20-1</f>
        <v>1.9474196689386325E-3</v>
      </c>
      <c r="J48" s="12">
        <f t="shared" ref="J48:K48" si="35">+J20/F20-1</f>
        <v>6.2074829931972886E-2</v>
      </c>
      <c r="K48" s="12">
        <f t="shared" si="35"/>
        <v>-1.4792899408283988E-2</v>
      </c>
      <c r="L48" s="12">
        <f t="shared" si="28"/>
        <v>-1.2807881773398977E-2</v>
      </c>
      <c r="M48" s="12">
        <f t="shared" si="28"/>
        <v>-3.8872691933916403E-2</v>
      </c>
      <c r="N48" s="12">
        <f t="shared" si="29"/>
        <v>2.4690152121697118E-2</v>
      </c>
      <c r="O48" s="12">
        <f t="shared" si="30"/>
        <v>-9.4094094094094083E-2</v>
      </c>
      <c r="P48" s="12">
        <f t="shared" si="30"/>
        <v>-9.6806387225548907E-2</v>
      </c>
      <c r="Q48" s="12"/>
      <c r="R48" s="12"/>
      <c r="S48" s="11"/>
      <c r="T48" s="11"/>
      <c r="U48" s="12" t="e">
        <f t="shared" si="31"/>
        <v>#DIV/0!</v>
      </c>
      <c r="V48" s="12" t="e">
        <f t="shared" si="31"/>
        <v>#DIV/0!</v>
      </c>
      <c r="W48" s="12" t="e">
        <f t="shared" si="31"/>
        <v>#DIV/0!</v>
      </c>
      <c r="X48" s="12">
        <f t="shared" si="31"/>
        <v>0.14954806902218576</v>
      </c>
      <c r="Y48" s="12">
        <f t="shared" si="31"/>
        <v>2.6209197045508725E-2</v>
      </c>
      <c r="Z48" s="12">
        <f t="shared" si="33"/>
        <v>-8.6282795449269534E-3</v>
      </c>
      <c r="AA48" s="11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 spans="2:65" x14ac:dyDescent="0.2">
      <c r="B49" s="2" t="s">
        <v>55</v>
      </c>
      <c r="C49" s="10">
        <f t="shared" ref="C49:H49" si="36">+C22/C20</f>
        <v>0.61363636363636365</v>
      </c>
      <c r="D49" s="10">
        <f t="shared" si="36"/>
        <v>0.62378167641325533</v>
      </c>
      <c r="E49" s="10">
        <f t="shared" si="36"/>
        <v>0.60662122687439146</v>
      </c>
      <c r="F49" s="10">
        <f t="shared" si="36"/>
        <v>0.61479591836734693</v>
      </c>
      <c r="G49" s="10">
        <f t="shared" si="36"/>
        <v>0.61439842209072981</v>
      </c>
      <c r="H49" s="10">
        <f t="shared" si="36"/>
        <v>0.62857142857142856</v>
      </c>
      <c r="I49" s="10">
        <f>+I22/I20</f>
        <v>0.60155490767735664</v>
      </c>
      <c r="J49" s="10">
        <f>+J22/J20</f>
        <v>0.62369895916733387</v>
      </c>
      <c r="K49" s="10">
        <f>+K22/K20</f>
        <v>0.61361361361361366</v>
      </c>
      <c r="L49" s="10">
        <f t="shared" ref="L49:N49" si="37">+L22/L20</f>
        <v>0.62874251497005984</v>
      </c>
      <c r="M49" s="10">
        <f t="shared" si="37"/>
        <v>0.61172901921132461</v>
      </c>
      <c r="N49" s="10">
        <f t="shared" si="37"/>
        <v>0.60818634858474263</v>
      </c>
      <c r="O49" s="10">
        <f t="shared" ref="O49:P49" si="38">+O22/O20</f>
        <v>0.62430939226519333</v>
      </c>
      <c r="P49" s="10">
        <f t="shared" si="38"/>
        <v>0.64861878453038679</v>
      </c>
      <c r="Q49" s="10"/>
      <c r="R49" s="10"/>
      <c r="S49" s="3"/>
      <c r="T49" s="10" t="e">
        <f t="shared" ref="T49:W49" si="39">+T22/T20</f>
        <v>#DIV/0!</v>
      </c>
      <c r="U49" s="10" t="e">
        <f t="shared" si="39"/>
        <v>#DIV/0!</v>
      </c>
      <c r="V49" s="10" t="e">
        <f t="shared" si="39"/>
        <v>#DIV/0!</v>
      </c>
      <c r="W49" s="10">
        <f t="shared" si="39"/>
        <v>0.61791290057518489</v>
      </c>
      <c r="X49" s="10">
        <f>+X22/X20</f>
        <v>0.6147248034310222</v>
      </c>
      <c r="Y49" s="10">
        <f>+Y22/Y20</f>
        <v>0.61736707685163683</v>
      </c>
      <c r="Z49" s="10">
        <f>+Z22/Z20</f>
        <v>0.61510061974248198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 spans="2:65" x14ac:dyDescent="0.2">
      <c r="B50" s="2" t="s">
        <v>56</v>
      </c>
      <c r="C50" s="10">
        <f t="shared" ref="C50:H50" si="40">+C25/C20</f>
        <v>6.8181818181818177E-2</v>
      </c>
      <c r="D50" s="10">
        <f t="shared" si="40"/>
        <v>0.1189083820662768</v>
      </c>
      <c r="E50" s="10">
        <f t="shared" si="40"/>
        <v>0.10029211295034079</v>
      </c>
      <c r="F50" s="10">
        <f t="shared" si="40"/>
        <v>0.10034013605442177</v>
      </c>
      <c r="G50" s="10">
        <f t="shared" si="40"/>
        <v>6.8047337278106509E-2</v>
      </c>
      <c r="H50" s="10">
        <f t="shared" si="40"/>
        <v>6.9950738916256153E-2</v>
      </c>
      <c r="I50" s="10">
        <f>+I25/I20</f>
        <v>9.23226433430515E-2</v>
      </c>
      <c r="J50" s="10">
        <f>+J25/J20</f>
        <v>0.10008006405124099</v>
      </c>
      <c r="K50" s="10">
        <f>+K25/K20</f>
        <v>6.2062062062062065E-2</v>
      </c>
      <c r="L50" s="10">
        <f t="shared" ref="L50:N50" si="41">+L25/L20</f>
        <v>8.0838323353293412E-2</v>
      </c>
      <c r="M50" s="10">
        <f t="shared" si="41"/>
        <v>9.6056622851365014E-2</v>
      </c>
      <c r="N50" s="10">
        <f t="shared" si="41"/>
        <v>0.11935338691303098</v>
      </c>
      <c r="O50" s="10">
        <f t="shared" ref="O50:P50" si="42">+O25/O20</f>
        <v>3.9779005524861875E-2</v>
      </c>
      <c r="P50" s="10">
        <f t="shared" si="42"/>
        <v>6.5193370165745862E-2</v>
      </c>
      <c r="Q50" s="10"/>
      <c r="R50" s="10"/>
      <c r="S50" s="3"/>
      <c r="T50" s="10" t="e">
        <f t="shared" ref="T50:W50" si="43">+T25/T20</f>
        <v>#DIV/0!</v>
      </c>
      <c r="U50" s="10" t="e">
        <f t="shared" si="43"/>
        <v>#DIV/0!</v>
      </c>
      <c r="V50" s="10" t="e">
        <f t="shared" si="43"/>
        <v>#DIV/0!</v>
      </c>
      <c r="W50" s="10">
        <f t="shared" si="43"/>
        <v>9.1755683374417973E-2</v>
      </c>
      <c r="X50" s="10">
        <f>+X25/X20</f>
        <v>9.7450559923755065E-2</v>
      </c>
      <c r="Y50" s="10">
        <f>+Y25/Y20</f>
        <v>8.3584861852797773E-2</v>
      </c>
      <c r="Z50" s="10">
        <f>+Z25/Z20</f>
        <v>9.1514713204575854E-2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 spans="2:65" x14ac:dyDescent="0.2">
      <c r="B51" s="2" t="s">
        <v>57</v>
      </c>
      <c r="C51" s="10">
        <f t="shared" ref="C51:H51" si="44">+C28/C27</f>
        <v>0.27777777777777779</v>
      </c>
      <c r="D51" s="10">
        <f t="shared" si="44"/>
        <v>0.27272727272727271</v>
      </c>
      <c r="E51" s="10">
        <f t="shared" si="44"/>
        <v>0.28409090909090912</v>
      </c>
      <c r="F51" s="10">
        <f t="shared" si="44"/>
        <v>0.16346153846153846</v>
      </c>
      <c r="G51" s="10">
        <f t="shared" si="44"/>
        <v>0.2807017543859649</v>
      </c>
      <c r="H51" s="10">
        <f t="shared" si="44"/>
        <v>0.27272727272727271</v>
      </c>
      <c r="I51" s="10">
        <f>+I28/I27</f>
        <v>0.2857142857142857</v>
      </c>
      <c r="J51" s="10">
        <f>+J28/J27</f>
        <v>0.22321428571428573</v>
      </c>
      <c r="K51" s="10">
        <f>+K28/K27</f>
        <v>0.28301886792452829</v>
      </c>
      <c r="L51" s="10">
        <f t="shared" ref="L51:N51" si="45">+L28/L27</f>
        <v>0.27536231884057971</v>
      </c>
      <c r="M51" s="10">
        <f t="shared" si="45"/>
        <v>0.27710843373493976</v>
      </c>
      <c r="N51" s="10">
        <f t="shared" si="45"/>
        <v>0.20426593827760817</v>
      </c>
      <c r="O51" s="10">
        <f t="shared" ref="O51:P51" si="46">+O28/O27</f>
        <v>0.26923076923076922</v>
      </c>
      <c r="P51" s="10">
        <f t="shared" si="46"/>
        <v>0.27659574468085107</v>
      </c>
      <c r="Q51" s="10"/>
      <c r="R51" s="10"/>
      <c r="S51" s="3"/>
      <c r="T51" s="10" t="e">
        <f t="shared" ref="T51:W51" si="47">+T28/T27</f>
        <v>#DIV/0!</v>
      </c>
      <c r="U51" s="10" t="e">
        <f t="shared" si="47"/>
        <v>#DIV/0!</v>
      </c>
      <c r="V51" s="10" t="e">
        <f t="shared" si="47"/>
        <v>#DIV/0!</v>
      </c>
      <c r="W51" s="10">
        <f t="shared" si="47"/>
        <v>0.22105263157894736</v>
      </c>
      <c r="X51" s="10">
        <f>+X28/X27</f>
        <v>0.2443820224719101</v>
      </c>
      <c r="Y51" s="10">
        <f>+Y28/Y27</f>
        <v>0.25913621262458469</v>
      </c>
      <c r="Z51" s="10">
        <f>+Z28/Z27</f>
        <v>0.24812673262733018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 spans="2:65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 spans="2:65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 spans="2:65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 spans="2:65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 spans="2:65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 spans="2:65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 spans="2:65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 spans="2:65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 spans="2:65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 spans="2:65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 spans="2:65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 spans="2:65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 spans="2:65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 spans="3:65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 spans="3:65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 spans="3:65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 spans="3:65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 spans="3:65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 spans="3:65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 spans="3:65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 spans="3:65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 spans="3:65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 spans="3:65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 spans="3:65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 spans="3:65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 spans="3:65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 spans="3:65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 spans="3:65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 spans="3:65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 spans="3:65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 spans="3:65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 spans="3:65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 spans="3:65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 spans="3:65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 spans="3:65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 spans="3:65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 spans="3:6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 spans="3:6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 spans="3:6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 spans="3:6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 spans="3:6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 spans="3:6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 spans="3:6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 spans="3:6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 spans="3:6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 spans="3:6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 spans="3:6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 spans="3:6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 spans="3:6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 spans="3:6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 spans="3:6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 spans="3:6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 spans="3:6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 spans="3:6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 spans="3:6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 spans="3:6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 spans="3:6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 spans="3:6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 spans="3:6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 spans="3:6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 spans="3:6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 spans="3:6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 spans="3:6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 spans="3:6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 spans="3:6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 spans="3:6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 spans="3:6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 spans="3:6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 spans="3:6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 spans="3:6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 spans="3:6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 spans="3:6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 spans="3:6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 spans="3:6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 spans="3:6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 spans="3:6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 spans="3:6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 spans="3:6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 spans="3:6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 spans="3:6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 spans="3:6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 spans="3:6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 spans="3:6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 spans="3:6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 spans="3:6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 spans="3:6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 spans="3:6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 spans="3:6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 spans="3:6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 spans="3:6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 spans="3:6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 spans="3:6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 spans="3:6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 spans="3:6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 spans="3:6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 spans="3:6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 spans="3:6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 spans="3:6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 spans="3:6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 spans="3:6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 spans="3:6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 spans="3:6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 spans="3:6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 spans="3:6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 spans="3:6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 spans="3:6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 spans="3:6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 spans="3:6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 spans="3:6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 spans="3:6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 spans="3:6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 spans="3:6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 spans="3:6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 spans="3:6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 spans="3:6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 spans="3:6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 spans="3:6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 spans="3:6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 spans="3:6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 spans="3:6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 spans="3:6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 spans="3:6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 spans="3:6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 spans="3:6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 spans="3:6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 spans="3:6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 spans="3:6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 spans="3:6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 spans="3:6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 spans="3:6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 spans="3:6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 spans="3:6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 spans="3:6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 spans="3:6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 spans="3:6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 spans="3:6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 spans="3:6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 spans="3:6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 spans="3:6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 spans="3:6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 spans="3:6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 spans="3:6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 spans="3:6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 spans="3:6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 spans="3:6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 spans="3:6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 spans="3:6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 spans="3:6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 spans="3:6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 spans="3:6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 spans="3:6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 spans="3:6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 spans="3:6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 spans="3:6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 spans="3:6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 spans="3:6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 spans="3:6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 spans="3:6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 spans="3:6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 spans="3:6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 spans="3:6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 spans="3:6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 spans="3:6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 spans="3:6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 spans="3:6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 spans="3:6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</sheetData>
  <hyperlinks>
    <hyperlink ref="A1" location="Main!A1" display="Main" xr:uid="{848A9855-F722-423E-95DB-AE2621A9CE62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2025-02-04T13:52:09Z</dcterms:created>
  <dcterms:modified xsi:type="dcterms:W3CDTF">2026-08-06T08:55:27Z</dcterms:modified>
</cp:coreProperties>
</file>