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900D946-E6BC-45D1-BBF3-8E7C07BC477F}" xr6:coauthVersionLast="47" xr6:coauthVersionMax="47" xr10:uidLastSave="{00000000-0000-0000-0000-000000000000}"/>
  <bookViews>
    <workbookView xWindow="19095" yWindow="0" windowWidth="19410" windowHeight="20985" xr2:uid="{BF6AB992-A367-41FE-B952-7A79782DC4D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L34" i="2"/>
  <c r="L33" i="2"/>
  <c r="L32" i="2"/>
  <c r="L31" i="2"/>
  <c r="L30" i="2"/>
  <c r="L29" i="2"/>
  <c r="L28" i="2"/>
  <c r="L27" i="2"/>
  <c r="L24" i="2"/>
  <c r="L22" i="2"/>
  <c r="L20" i="2"/>
  <c r="L18" i="2"/>
  <c r="L15" i="2"/>
  <c r="L10" i="2"/>
  <c r="K35" i="2"/>
  <c r="K34" i="2"/>
  <c r="K33" i="2"/>
  <c r="K32" i="2"/>
  <c r="K31" i="2"/>
  <c r="K30" i="2"/>
  <c r="K29" i="2"/>
  <c r="K28" i="2"/>
  <c r="K27" i="2"/>
  <c r="K7" i="2"/>
  <c r="K24" i="2"/>
  <c r="K22" i="2"/>
  <c r="K20" i="2"/>
  <c r="K18" i="2"/>
  <c r="K15" i="2"/>
  <c r="K10" i="2"/>
  <c r="J7" i="2"/>
  <c r="U7" i="2"/>
  <c r="U32" i="2"/>
  <c r="U29" i="2"/>
  <c r="U28" i="2"/>
  <c r="U27" i="2"/>
  <c r="U10" i="2"/>
  <c r="J32" i="2"/>
  <c r="I32" i="2"/>
  <c r="J31" i="2"/>
  <c r="I31" i="2"/>
  <c r="J30" i="2"/>
  <c r="I30" i="2"/>
  <c r="J29" i="2"/>
  <c r="I29" i="2"/>
  <c r="J28" i="2"/>
  <c r="I28" i="2"/>
  <c r="J27" i="2"/>
  <c r="I27" i="2"/>
  <c r="G31" i="2"/>
  <c r="G30" i="2"/>
  <c r="G29" i="2"/>
  <c r="G28" i="2"/>
  <c r="G27" i="2"/>
  <c r="H30" i="2"/>
  <c r="H29" i="2"/>
  <c r="H28" i="2"/>
  <c r="H27" i="2"/>
  <c r="H31" i="2"/>
  <c r="G32" i="2"/>
  <c r="H32" i="2"/>
  <c r="J10" i="2"/>
  <c r="I10" i="2"/>
  <c r="I15" i="2" s="1"/>
  <c r="H10" i="2"/>
  <c r="G10" i="2"/>
  <c r="F10" i="2"/>
  <c r="E10" i="2"/>
  <c r="E15" i="2" s="1"/>
  <c r="E34" i="2" s="1"/>
  <c r="D10" i="2"/>
  <c r="C10" i="2"/>
  <c r="P35" i="2"/>
  <c r="P34" i="2"/>
  <c r="P33" i="2"/>
  <c r="Q31" i="2"/>
  <c r="P31" i="2"/>
  <c r="Q30" i="2"/>
  <c r="P30" i="2"/>
  <c r="S29" i="2"/>
  <c r="R29" i="2"/>
  <c r="Q29" i="2"/>
  <c r="P29" i="2"/>
  <c r="S28" i="2"/>
  <c r="R28" i="2"/>
  <c r="Q28" i="2"/>
  <c r="P28" i="2"/>
  <c r="S27" i="2"/>
  <c r="R27" i="2"/>
  <c r="Q27" i="2"/>
  <c r="P27" i="2"/>
  <c r="S32" i="2"/>
  <c r="R32" i="2"/>
  <c r="Q32" i="2"/>
  <c r="T29" i="2"/>
  <c r="T28" i="2"/>
  <c r="T27" i="2"/>
  <c r="T32" i="2"/>
  <c r="R7" i="2"/>
  <c r="R31" i="2" s="1"/>
  <c r="R6" i="2"/>
  <c r="R30" i="2" s="1"/>
  <c r="S7" i="2"/>
  <c r="S6" i="2"/>
  <c r="T7" i="2"/>
  <c r="U31" i="2" s="1"/>
  <c r="T6" i="2"/>
  <c r="U30" i="2" s="1"/>
  <c r="S10" i="2"/>
  <c r="S15" i="2" s="1"/>
  <c r="S18" i="2" s="1"/>
  <c r="S20" i="2" s="1"/>
  <c r="S22" i="2" s="1"/>
  <c r="S24" i="2" s="1"/>
  <c r="R10" i="2"/>
  <c r="R15" i="2" s="1"/>
  <c r="R18" i="2" s="1"/>
  <c r="R20" i="2" s="1"/>
  <c r="R22" i="2" s="1"/>
  <c r="R24" i="2" s="1"/>
  <c r="Q10" i="2"/>
  <c r="Q15" i="2" s="1"/>
  <c r="Q18" i="2" s="1"/>
  <c r="Q20" i="2" s="1"/>
  <c r="Q22" i="2" s="1"/>
  <c r="Q24" i="2" s="1"/>
  <c r="T10" i="2"/>
  <c r="T15" i="2" s="1"/>
  <c r="T18" i="2" s="1"/>
  <c r="T20" i="2" s="1"/>
  <c r="T22" i="2" s="1"/>
  <c r="T24" i="2" s="1"/>
  <c r="J4" i="1"/>
  <c r="T30" i="2" l="1"/>
  <c r="U33" i="2"/>
  <c r="U15" i="2"/>
  <c r="J15" i="2"/>
  <c r="J33" i="2"/>
  <c r="H33" i="2"/>
  <c r="H15" i="2"/>
  <c r="G15" i="2"/>
  <c r="G33" i="2"/>
  <c r="F33" i="2"/>
  <c r="F15" i="2"/>
  <c r="D15" i="2"/>
  <c r="D33" i="2"/>
  <c r="C33" i="2"/>
  <c r="C15" i="2"/>
  <c r="E33" i="2"/>
  <c r="E18" i="2"/>
  <c r="I33" i="2"/>
  <c r="I34" i="2"/>
  <c r="I18" i="2"/>
  <c r="J7" i="1"/>
  <c r="S30" i="2"/>
  <c r="S31" i="2"/>
  <c r="T31" i="2"/>
  <c r="R33" i="2"/>
  <c r="S33" i="2"/>
  <c r="R34" i="2"/>
  <c r="S34" i="2"/>
  <c r="S35" i="2"/>
  <c r="R35" i="2"/>
  <c r="T33" i="2"/>
  <c r="Q33" i="2"/>
  <c r="T34" i="2"/>
  <c r="Q34" i="2"/>
  <c r="T35" i="2"/>
  <c r="Q35" i="2"/>
  <c r="J34" i="2" l="1"/>
  <c r="J18" i="2"/>
  <c r="U18" i="2"/>
  <c r="U34" i="2"/>
  <c r="H18" i="2"/>
  <c r="H34" i="2"/>
  <c r="G34" i="2"/>
  <c r="G18" i="2"/>
  <c r="F18" i="2"/>
  <c r="F34" i="2"/>
  <c r="D34" i="2"/>
  <c r="D18" i="2"/>
  <c r="C34" i="2"/>
  <c r="C18" i="2"/>
  <c r="E35" i="2"/>
  <c r="E20" i="2"/>
  <c r="E22" i="2" s="1"/>
  <c r="E24" i="2" s="1"/>
  <c r="I35" i="2"/>
  <c r="I20" i="2"/>
  <c r="I22" i="2" s="1"/>
  <c r="I24" i="2" s="1"/>
  <c r="J20" i="2" l="1"/>
  <c r="J22" i="2" s="1"/>
  <c r="J24" i="2" s="1"/>
  <c r="J35" i="2"/>
  <c r="G20" i="2"/>
  <c r="G22" i="2" s="1"/>
  <c r="G24" i="2" s="1"/>
  <c r="G35" i="2"/>
  <c r="U20" i="2"/>
  <c r="U22" i="2" s="1"/>
  <c r="U24" i="2" s="1"/>
  <c r="U35" i="2"/>
  <c r="H20" i="2"/>
  <c r="H22" i="2" s="1"/>
  <c r="H24" i="2" s="1"/>
  <c r="H35" i="2"/>
  <c r="F20" i="2"/>
  <c r="F22" i="2" s="1"/>
  <c r="F24" i="2" s="1"/>
  <c r="F35" i="2"/>
  <c r="D35" i="2"/>
  <c r="D20" i="2"/>
  <c r="D22" i="2" s="1"/>
  <c r="D24" i="2" s="1"/>
  <c r="C35" i="2"/>
  <c r="C20" i="2"/>
  <c r="C22" i="2" s="1"/>
  <c r="C24" i="2" s="1"/>
</calcChain>
</file>

<file path=xl/sharedStrings.xml><?xml version="1.0" encoding="utf-8"?>
<sst xmlns="http://schemas.openxmlformats.org/spreadsheetml/2006/main" count="66" uniqueCount="61">
  <si>
    <t>Wolverine World Wide</t>
  </si>
  <si>
    <t>numbers in mio USD</t>
  </si>
  <si>
    <t>Price</t>
  </si>
  <si>
    <t>Shares</t>
  </si>
  <si>
    <t>MC</t>
  </si>
  <si>
    <t>Cash</t>
  </si>
  <si>
    <t>Debt</t>
  </si>
  <si>
    <t>EV</t>
  </si>
  <si>
    <t>Q424</t>
  </si>
  <si>
    <t>Notes</t>
  </si>
  <si>
    <t>casual footwear &amp; appereal, performance outdoor, athletic footwear</t>
  </si>
  <si>
    <t>Brands: Bates, Cat, Chaco, Harley-Davidson, Hush Puppies, Hytest</t>
  </si>
  <si>
    <t>Merrell, Saucony, Sweaty Betty and Wolverine</t>
  </si>
  <si>
    <t>Bought Brooks in 1981 but sold to Berkshire Hathaway in 1992 for 21 mio</t>
  </si>
  <si>
    <t>Main</t>
  </si>
  <si>
    <t>FY20</t>
  </si>
  <si>
    <t>FY21</t>
  </si>
  <si>
    <t>FY22</t>
  </si>
  <si>
    <t>FY23</t>
  </si>
  <si>
    <t>FY24</t>
  </si>
  <si>
    <t>Active Group</t>
  </si>
  <si>
    <t>Work Group</t>
  </si>
  <si>
    <t>Other</t>
  </si>
  <si>
    <t>Revenue</t>
  </si>
  <si>
    <t>COGS</t>
  </si>
  <si>
    <t>Gross Profit</t>
  </si>
  <si>
    <t>SG&amp;A</t>
  </si>
  <si>
    <t>Sales of businesses</t>
  </si>
  <si>
    <t>Asset impairments</t>
  </si>
  <si>
    <t>Operating Income</t>
  </si>
  <si>
    <t>Interest Expense</t>
  </si>
  <si>
    <t>Other Expenses</t>
  </si>
  <si>
    <t>Pretax Income</t>
  </si>
  <si>
    <t>Tax Expense</t>
  </si>
  <si>
    <t>Net Income</t>
  </si>
  <si>
    <t>Minority Share</t>
  </si>
  <si>
    <t>Net Income to Company</t>
  </si>
  <si>
    <t>EPS</t>
  </si>
  <si>
    <t>DTC</t>
  </si>
  <si>
    <t>Wholesale</t>
  </si>
  <si>
    <t>Active Group Growth</t>
  </si>
  <si>
    <t>Work Group Growth</t>
  </si>
  <si>
    <t>Other Growth</t>
  </si>
  <si>
    <t>DTC Growth</t>
  </si>
  <si>
    <t>Wholseale Growth</t>
  </si>
  <si>
    <t>Revenue Growth</t>
  </si>
  <si>
    <t>Gross Margin</t>
  </si>
  <si>
    <t>Operating Margin</t>
  </si>
  <si>
    <t>Tax Rate</t>
  </si>
  <si>
    <t>Q124</t>
  </si>
  <si>
    <t>Q224</t>
  </si>
  <si>
    <t>Q324</t>
  </si>
  <si>
    <t>Q125</t>
  </si>
  <si>
    <t>Q225</t>
  </si>
  <si>
    <t>Q325</t>
  </si>
  <si>
    <t>Q425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</si>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</sst>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8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2" applyFont="1"/>
    <xf numFmtId="164" fontId="8" fillId="0" borderId="0" xfId="0" applyNumberFormat="1" applyFont="1"/>
    <xf numFmtId="165" fontId="5" fillId="0" borderId="0" xfId="0" applyNumberFormat="1" applyFont="1"/>
    <xf numFmtId="9" fontId="5" fillId="0" borderId="0" xfId="1" applyFont="1"/>
    <xf numFmtId="9" fontId="8" fillId="0" borderId="0" xfId="1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9" fontId="4" fillId="0" borderId="0" xfId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AD25-1E48-44DA-AE3E-8B8EB044DCF3}">
  <dimension ref="A1:K14"/>
  <sheetViews>
    <sheetView tabSelected="1" topLeftCell="C1" zoomScale="200" zoomScaleNormal="200" workbookViewId="0">
      <selection activeCell="J7" sqref="J7"/>
    </sheetView>
  </sheetViews>
  <sheetFormatPr defaultRowHeight="12.75" x14ac:dyDescent="0.2"/>
  <cols>
    <col min="1" max="1" width="4.4257812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1</v>
      </c>
      <c r="I2" s="2" t="s">
        <v>2</v>
      </c>
      <c r="J2" s="2">
        <v>19.989999999999998</v>
      </c>
    </row>
    <row r="3" spans="1:11" x14ac:dyDescent="0.2">
      <c r="I3" s="2" t="s">
        <v>3</v>
      </c>
      <c r="J3" s="3">
        <v>82.066338999999999</v>
      </c>
      <c r="K3" s="16" t="s">
        <v>58</v>
      </c>
    </row>
    <row r="4" spans="1:11" x14ac:dyDescent="0.2">
      <c r="I4" s="2" t="s">
        <v>4</v>
      </c>
      <c r="J4" s="3">
        <f>+J2*J3</f>
        <v>1640.5061166099999</v>
      </c>
    </row>
    <row r="5" spans="1:11" x14ac:dyDescent="0.2">
      <c r="I5" s="2" t="s">
        <v>5</v>
      </c>
      <c r="J5" s="3">
        <v>158.5</v>
      </c>
      <c r="K5" s="16" t="s">
        <v>58</v>
      </c>
    </row>
    <row r="6" spans="1:11" x14ac:dyDescent="0.2">
      <c r="I6" s="2" t="s">
        <v>6</v>
      </c>
      <c r="J6" s="3">
        <v>547.1</v>
      </c>
      <c r="K6" s="16" t="s">
        <v>58</v>
      </c>
    </row>
    <row r="7" spans="1:11" x14ac:dyDescent="0.2">
      <c r="I7" s="2" t="s">
        <v>7</v>
      </c>
      <c r="J7" s="3">
        <f>+J4-J5+J6</f>
        <v>2029.1061166099998</v>
      </c>
    </row>
    <row r="10" spans="1:11" x14ac:dyDescent="0.2">
      <c r="B10" s="5" t="s">
        <v>9</v>
      </c>
    </row>
    <row r="11" spans="1:11" x14ac:dyDescent="0.2">
      <c r="B11" s="2" t="s">
        <v>10</v>
      </c>
    </row>
    <row r="12" spans="1:11" x14ac:dyDescent="0.2">
      <c r="B12" s="2" t="s">
        <v>11</v>
      </c>
    </row>
    <row r="13" spans="1:11" x14ac:dyDescent="0.2">
      <c r="B13" s="2" t="s">
        <v>12</v>
      </c>
    </row>
    <row r="14" spans="1:11" x14ac:dyDescent="0.2">
      <c r="B14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E483-AC6A-456C-A62D-6F90DD190CC4}">
  <dimension ref="A1:BE515"/>
  <sheetViews>
    <sheetView zoomScale="200" zoomScaleNormal="20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L8" sqref="L8"/>
    </sheetView>
  </sheetViews>
  <sheetFormatPr defaultRowHeight="12.75" x14ac:dyDescent="0.2"/>
  <cols>
    <col min="1" max="1" width="5.42578125" style="2" bestFit="1" customWidth="1"/>
    <col min="2" max="2" width="32.7109375" style="2" customWidth="1"/>
    <col min="3" max="16384" width="9.140625" style="2"/>
  </cols>
  <sheetData>
    <row r="1" spans="1:57" x14ac:dyDescent="0.2">
      <c r="A1" s="6" t="s">
        <v>14</v>
      </c>
    </row>
    <row r="2" spans="1:57" x14ac:dyDescent="0.2">
      <c r="C2" s="11" t="s">
        <v>49</v>
      </c>
      <c r="D2" s="11" t="s">
        <v>50</v>
      </c>
      <c r="E2" s="11" t="s">
        <v>51</v>
      </c>
      <c r="F2" s="11" t="s">
        <v>8</v>
      </c>
      <c r="G2" s="11" t="s">
        <v>52</v>
      </c>
      <c r="H2" s="11" t="s">
        <v>53</v>
      </c>
      <c r="I2" s="11" t="s">
        <v>54</v>
      </c>
      <c r="J2" s="11" t="s">
        <v>55</v>
      </c>
      <c r="K2" s="15" t="s">
        <v>57</v>
      </c>
      <c r="L2" s="15" t="s">
        <v>58</v>
      </c>
      <c r="M2" s="15" t="s">
        <v>59</v>
      </c>
      <c r="N2" s="15" t="s">
        <v>60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14" t="s">
        <v>56</v>
      </c>
    </row>
    <row r="3" spans="1:57" x14ac:dyDescent="0.2">
      <c r="B3" s="2" t="s">
        <v>20</v>
      </c>
      <c r="C3" s="3">
        <v>289.8</v>
      </c>
      <c r="D3" s="3">
        <v>305.89999999999998</v>
      </c>
      <c r="E3" s="3">
        <v>318.7</v>
      </c>
      <c r="F3" s="3"/>
      <c r="G3" s="3">
        <v>326.7</v>
      </c>
      <c r="H3" s="3">
        <v>355.5</v>
      </c>
      <c r="I3" s="3">
        <v>352.8</v>
      </c>
      <c r="J3" s="3">
        <v>372.7</v>
      </c>
      <c r="K3" s="3">
        <v>371.6</v>
      </c>
      <c r="L3" s="3">
        <v>388.4</v>
      </c>
      <c r="M3" s="3"/>
      <c r="N3" s="3"/>
      <c r="O3" s="3"/>
      <c r="P3" s="3"/>
      <c r="Q3" s="3"/>
      <c r="R3" s="3"/>
      <c r="S3" s="3">
        <v>1439.1</v>
      </c>
      <c r="T3" s="3">
        <v>1246.0999999999999</v>
      </c>
      <c r="U3" s="3">
        <v>1407.8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x14ac:dyDescent="0.2">
      <c r="B4" s="2" t="s">
        <v>21</v>
      </c>
      <c r="C4" s="3">
        <v>90.1</v>
      </c>
      <c r="D4" s="3">
        <v>105</v>
      </c>
      <c r="E4" s="3">
        <v>109.1</v>
      </c>
      <c r="F4" s="3"/>
      <c r="G4" s="3">
        <v>74.8</v>
      </c>
      <c r="H4" s="3">
        <v>107.5</v>
      </c>
      <c r="I4" s="3">
        <v>105.9</v>
      </c>
      <c r="J4" s="3">
        <v>134</v>
      </c>
      <c r="K4" s="3">
        <v>75.7</v>
      </c>
      <c r="L4" s="3">
        <v>105.8</v>
      </c>
      <c r="M4" s="3"/>
      <c r="N4" s="3"/>
      <c r="O4" s="3"/>
      <c r="P4" s="3"/>
      <c r="Q4" s="3"/>
      <c r="R4" s="3"/>
      <c r="S4" s="3">
        <v>480.6</v>
      </c>
      <c r="T4" s="3">
        <v>455.3</v>
      </c>
      <c r="U4" s="3">
        <v>422.2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x14ac:dyDescent="0.2">
      <c r="B5" s="2" t="s">
        <v>22</v>
      </c>
      <c r="C5" s="3">
        <v>15</v>
      </c>
      <c r="D5" s="3">
        <v>14.3</v>
      </c>
      <c r="E5" s="3">
        <v>12.4</v>
      </c>
      <c r="F5" s="3"/>
      <c r="G5" s="3">
        <v>10.8</v>
      </c>
      <c r="H5" s="3">
        <v>11.2</v>
      </c>
      <c r="I5" s="3">
        <v>11.6</v>
      </c>
      <c r="J5" s="3">
        <v>10.8</v>
      </c>
      <c r="K5" s="3">
        <v>10.3</v>
      </c>
      <c r="L5" s="3">
        <v>12.2</v>
      </c>
      <c r="M5" s="3"/>
      <c r="N5" s="3"/>
      <c r="O5" s="3"/>
      <c r="P5" s="3"/>
      <c r="Q5" s="3"/>
      <c r="R5" s="3"/>
      <c r="S5" s="3">
        <v>323.2</v>
      </c>
      <c r="T5" s="3">
        <v>53.6</v>
      </c>
      <c r="U5" s="3">
        <v>44.3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x14ac:dyDescent="0.2">
      <c r="B6" s="2" t="s">
        <v>38</v>
      </c>
      <c r="C6" s="3">
        <v>288.5</v>
      </c>
      <c r="D6" s="3">
        <v>311.8</v>
      </c>
      <c r="E6" s="3">
        <v>327.8</v>
      </c>
      <c r="F6" s="3"/>
      <c r="G6" s="3">
        <v>315.89999999999998</v>
      </c>
      <c r="H6" s="12">
        <v>362.6</v>
      </c>
      <c r="I6" s="3">
        <v>363.5</v>
      </c>
      <c r="J6" s="3">
        <v>160.69999999999999</v>
      </c>
      <c r="K6" s="3">
        <v>99.1</v>
      </c>
      <c r="L6" s="3">
        <v>111.7</v>
      </c>
      <c r="M6" s="3"/>
      <c r="N6" s="3"/>
      <c r="O6" s="3"/>
      <c r="P6" s="3"/>
      <c r="Q6" s="3"/>
      <c r="R6" s="3">
        <f>483.6+58.5+149.7</f>
        <v>691.8</v>
      </c>
      <c r="S6" s="3">
        <f>440+52+90.4</f>
        <v>582.4</v>
      </c>
      <c r="T6" s="3">
        <f>430.4+45.4+8.1</f>
        <v>483.9</v>
      </c>
      <c r="U6" s="3">
        <v>475.5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 x14ac:dyDescent="0.2">
      <c r="B7" s="2" t="s">
        <v>39</v>
      </c>
      <c r="C7" s="3">
        <v>106.4</v>
      </c>
      <c r="D7" s="3">
        <v>113.4</v>
      </c>
      <c r="E7" s="3">
        <v>112.4</v>
      </c>
      <c r="F7" s="3"/>
      <c r="G7" s="3">
        <v>96.4</v>
      </c>
      <c r="H7" s="3">
        <v>111.6</v>
      </c>
      <c r="I7" s="3">
        <v>106.8</v>
      </c>
      <c r="J7" s="3">
        <f>+J8-J6</f>
        <v>356.8</v>
      </c>
      <c r="K7" s="3">
        <f>+K8-K6</f>
        <v>358.5</v>
      </c>
      <c r="L7" s="3">
        <v>394.7</v>
      </c>
      <c r="M7" s="3"/>
      <c r="N7" s="3"/>
      <c r="O7" s="3"/>
      <c r="P7" s="3"/>
      <c r="Q7" s="3"/>
      <c r="R7" s="3">
        <f>1086.6+532+374.4</f>
        <v>1993</v>
      </c>
      <c r="S7" s="3">
        <f>999.1+428.6+232.8</f>
        <v>1660.5</v>
      </c>
      <c r="T7" s="3">
        <f>815.7+409.9+45.5</f>
        <v>1271.0999999999999</v>
      </c>
      <c r="U7" s="3">
        <f>+U8-U6</f>
        <v>1398.8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 x14ac:dyDescent="0.2">
      <c r="B8" s="1" t="s">
        <v>23</v>
      </c>
      <c r="C8" s="7">
        <v>394.9</v>
      </c>
      <c r="D8" s="7">
        <v>425.2</v>
      </c>
      <c r="E8" s="7">
        <v>440.2</v>
      </c>
      <c r="F8" s="3"/>
      <c r="G8" s="7">
        <v>412.3</v>
      </c>
      <c r="H8" s="7">
        <v>474.2</v>
      </c>
      <c r="I8" s="7">
        <v>470.3</v>
      </c>
      <c r="J8" s="7">
        <v>517.5</v>
      </c>
      <c r="K8" s="7">
        <v>457.6</v>
      </c>
      <c r="L8" s="7">
        <v>506.4</v>
      </c>
      <c r="M8" s="7"/>
      <c r="N8" s="7"/>
      <c r="O8" s="3"/>
      <c r="P8" s="7"/>
      <c r="Q8" s="7"/>
      <c r="R8" s="7">
        <v>2684.8</v>
      </c>
      <c r="S8" s="7">
        <v>2242.9</v>
      </c>
      <c r="T8" s="7">
        <v>1755</v>
      </c>
      <c r="U8" s="7">
        <v>1874.3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 x14ac:dyDescent="0.2">
      <c r="B9" s="2" t="s">
        <v>24</v>
      </c>
      <c r="C9" s="3">
        <v>213.5</v>
      </c>
      <c r="D9" s="3">
        <v>242</v>
      </c>
      <c r="E9" s="3">
        <v>241.5</v>
      </c>
      <c r="F9" s="3"/>
      <c r="G9" s="3">
        <v>217.5</v>
      </c>
      <c r="H9" s="3">
        <v>250.2</v>
      </c>
      <c r="I9" s="3">
        <v>247.1</v>
      </c>
      <c r="J9" s="3">
        <v>274.10000000000002</v>
      </c>
      <c r="K9" s="3">
        <v>239.8</v>
      </c>
      <c r="L9" s="3">
        <v>271.10000000000002</v>
      </c>
      <c r="M9" s="3"/>
      <c r="N9" s="3"/>
      <c r="O9" s="3"/>
      <c r="P9" s="3"/>
      <c r="Q9" s="3"/>
      <c r="R9" s="3">
        <v>1614.4</v>
      </c>
      <c r="S9" s="3">
        <v>1370.4</v>
      </c>
      <c r="T9" s="3">
        <v>973.5</v>
      </c>
      <c r="U9" s="3">
        <v>987.6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 x14ac:dyDescent="0.2">
      <c r="B10" s="2" t="s">
        <v>25</v>
      </c>
      <c r="C10" s="3">
        <f t="shared" ref="C10:L10" si="0">+C8-C9</f>
        <v>181.39999999999998</v>
      </c>
      <c r="D10" s="3">
        <f t="shared" si="0"/>
        <v>183.2</v>
      </c>
      <c r="E10" s="3">
        <f t="shared" si="0"/>
        <v>198.7</v>
      </c>
      <c r="F10" s="3">
        <f t="shared" si="0"/>
        <v>0</v>
      </c>
      <c r="G10" s="3">
        <f t="shared" si="0"/>
        <v>194.8</v>
      </c>
      <c r="H10" s="3">
        <f t="shared" si="0"/>
        <v>224</v>
      </c>
      <c r="I10" s="3">
        <f t="shared" si="0"/>
        <v>223.20000000000002</v>
      </c>
      <c r="J10" s="3">
        <f t="shared" si="0"/>
        <v>243.39999999999998</v>
      </c>
      <c r="K10" s="3">
        <f t="shared" si="0"/>
        <v>217.8</v>
      </c>
      <c r="L10" s="3">
        <f t="shared" si="0"/>
        <v>235.29999999999995</v>
      </c>
      <c r="M10" s="3"/>
      <c r="N10" s="3"/>
      <c r="O10" s="3"/>
      <c r="P10" s="3"/>
      <c r="Q10" s="3">
        <f t="shared" ref="Q10:S10" si="1">+Q8-Q9</f>
        <v>0</v>
      </c>
      <c r="R10" s="3">
        <f t="shared" si="1"/>
        <v>1070.4000000000001</v>
      </c>
      <c r="S10" s="3">
        <f t="shared" si="1"/>
        <v>872.5</v>
      </c>
      <c r="T10" s="3">
        <f>+T8-T9</f>
        <v>781.5</v>
      </c>
      <c r="U10" s="3">
        <f>+U8-U9</f>
        <v>886.69999999999993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 x14ac:dyDescent="0.2">
      <c r="B11" s="2" t="s">
        <v>26</v>
      </c>
      <c r="C11" s="3">
        <v>176.8</v>
      </c>
      <c r="D11" s="3">
        <v>166.6</v>
      </c>
      <c r="E11" s="3">
        <v>171.2</v>
      </c>
      <c r="F11" s="3"/>
      <c r="G11" s="3">
        <v>172</v>
      </c>
      <c r="H11" s="3">
        <v>182.4</v>
      </c>
      <c r="I11" s="3">
        <v>183.1</v>
      </c>
      <c r="J11" s="3">
        <v>192.4</v>
      </c>
      <c r="K11" s="3">
        <v>182.7</v>
      </c>
      <c r="L11" s="3">
        <v>187.4</v>
      </c>
      <c r="M11" s="3"/>
      <c r="N11" s="3"/>
      <c r="O11" s="3"/>
      <c r="P11" s="3"/>
      <c r="Q11" s="3"/>
      <c r="R11" s="3">
        <v>906.4</v>
      </c>
      <c r="S11" s="3">
        <v>856.2</v>
      </c>
      <c r="T11" s="3">
        <v>690</v>
      </c>
      <c r="U11" s="3">
        <v>729.9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 x14ac:dyDescent="0.2">
      <c r="B12" s="2" t="s">
        <v>27</v>
      </c>
      <c r="C12" s="3">
        <v>0</v>
      </c>
      <c r="D12" s="3">
        <v>3.2</v>
      </c>
      <c r="E12" s="3">
        <v>-8.5</v>
      </c>
      <c r="F12" s="3"/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0.6</v>
      </c>
      <c r="M12" s="3"/>
      <c r="N12" s="3"/>
      <c r="O12" s="3"/>
      <c r="P12" s="3"/>
      <c r="Q12" s="3"/>
      <c r="R12" s="3">
        <v>-90</v>
      </c>
      <c r="S12" s="3">
        <v>-90.4</v>
      </c>
      <c r="T12" s="3">
        <v>-8.5</v>
      </c>
      <c r="U12" s="3">
        <v>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 x14ac:dyDescent="0.2">
      <c r="B13" s="2" t="s">
        <v>28</v>
      </c>
      <c r="C13" s="3">
        <v>6.1</v>
      </c>
      <c r="D13" s="3">
        <v>0</v>
      </c>
      <c r="E13" s="3">
        <v>0</v>
      </c>
      <c r="F13" s="3"/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/>
      <c r="P13" s="3"/>
      <c r="Q13" s="3"/>
      <c r="R13" s="3">
        <v>428.7</v>
      </c>
      <c r="S13" s="3">
        <v>185.3</v>
      </c>
      <c r="T13" s="3">
        <v>9.3000000000000007</v>
      </c>
      <c r="U13" s="3">
        <v>0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 x14ac:dyDescent="0.2">
      <c r="B14" s="2" t="s">
        <v>22</v>
      </c>
      <c r="C14" s="3">
        <v>1.6</v>
      </c>
      <c r="D14" s="3">
        <v>-15.7</v>
      </c>
      <c r="E14" s="3">
        <v>1.3</v>
      </c>
      <c r="F14" s="3"/>
      <c r="G14" s="3">
        <v>3.1</v>
      </c>
      <c r="H14" s="3">
        <v>0.9</v>
      </c>
      <c r="I14" s="3">
        <v>0.5</v>
      </c>
      <c r="J14" s="3">
        <v>2.1</v>
      </c>
      <c r="K14" s="3">
        <v>1.2</v>
      </c>
      <c r="L14" s="3">
        <v>0</v>
      </c>
      <c r="M14" s="3"/>
      <c r="N14" s="3"/>
      <c r="O14" s="3"/>
      <c r="P14" s="3"/>
      <c r="Q14" s="3"/>
      <c r="R14" s="3">
        <v>33.700000000000003</v>
      </c>
      <c r="S14" s="3">
        <v>-10.4</v>
      </c>
      <c r="T14" s="3">
        <v>-10.3</v>
      </c>
      <c r="U14" s="3">
        <v>6.6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 x14ac:dyDescent="0.2">
      <c r="B15" s="2" t="s">
        <v>29</v>
      </c>
      <c r="C15" s="3">
        <f t="shared" ref="C15:I15" si="2">+C10-SUM(C11:C14)</f>
        <v>-3.1000000000000227</v>
      </c>
      <c r="D15" s="3">
        <f t="shared" si="2"/>
        <v>29.099999999999994</v>
      </c>
      <c r="E15" s="3">
        <f t="shared" si="2"/>
        <v>34.699999999999989</v>
      </c>
      <c r="F15" s="3">
        <f t="shared" si="2"/>
        <v>0</v>
      </c>
      <c r="G15" s="3">
        <f t="shared" si="2"/>
        <v>19.700000000000017</v>
      </c>
      <c r="H15" s="3">
        <f t="shared" si="2"/>
        <v>40.699999999999989</v>
      </c>
      <c r="I15" s="3">
        <f t="shared" si="2"/>
        <v>39.600000000000023</v>
      </c>
      <c r="J15" s="3">
        <f>+J10-SUM(J11:J14)</f>
        <v>48.899999999999977</v>
      </c>
      <c r="K15" s="3">
        <f>+K10-SUM(K11:K14)</f>
        <v>33.900000000000034</v>
      </c>
      <c r="L15" s="3">
        <f>+L10-SUM(L11:L14)</f>
        <v>47.299999999999955</v>
      </c>
      <c r="M15" s="3"/>
      <c r="N15" s="3"/>
      <c r="O15" s="3"/>
      <c r="P15" s="3"/>
      <c r="Q15" s="3">
        <f t="shared" ref="Q15:S15" si="3">+Q10-SUM(Q11:Q14)</f>
        <v>0</v>
      </c>
      <c r="R15" s="3">
        <f t="shared" si="3"/>
        <v>-208.39999999999986</v>
      </c>
      <c r="S15" s="3">
        <f t="shared" si="3"/>
        <v>-68.200000000000159</v>
      </c>
      <c r="T15" s="3">
        <f>+T10-SUM(T11:T14)</f>
        <v>101</v>
      </c>
      <c r="U15" s="3">
        <f>+U10-SUM(U11:U14)</f>
        <v>150.19999999999993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6" spans="1:57" x14ac:dyDescent="0.2">
      <c r="B16" s="2" t="s">
        <v>30</v>
      </c>
      <c r="C16" s="3">
        <v>12</v>
      </c>
      <c r="D16" s="3">
        <v>11.9</v>
      </c>
      <c r="E16" s="3">
        <v>9.6</v>
      </c>
      <c r="F16" s="3"/>
      <c r="G16" s="3">
        <v>8</v>
      </c>
      <c r="H16" s="3">
        <v>8.5</v>
      </c>
      <c r="I16" s="3">
        <v>8.1</v>
      </c>
      <c r="J16" s="3">
        <v>8.1999999999999993</v>
      </c>
      <c r="K16" s="3">
        <v>6.5</v>
      </c>
      <c r="L16" s="3">
        <v>7.1</v>
      </c>
      <c r="M16" s="3"/>
      <c r="N16" s="3"/>
      <c r="O16" s="3"/>
      <c r="P16" s="3"/>
      <c r="Q16" s="3"/>
      <c r="R16" s="3">
        <v>47.3</v>
      </c>
      <c r="S16" s="3">
        <v>63.5</v>
      </c>
      <c r="T16" s="3">
        <v>42.7</v>
      </c>
      <c r="U16" s="3">
        <v>32.799999999999997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2:57" x14ac:dyDescent="0.2">
      <c r="B17" s="2" t="s">
        <v>31</v>
      </c>
      <c r="C17" s="3">
        <v>-0.8</v>
      </c>
      <c r="D17" s="3">
        <v>-0.8</v>
      </c>
      <c r="E17" s="3">
        <v>-3.8</v>
      </c>
      <c r="F17" s="3"/>
      <c r="G17" s="3">
        <v>-1.5</v>
      </c>
      <c r="H17" s="3">
        <v>-1.4</v>
      </c>
      <c r="I17" s="3">
        <v>-1.6</v>
      </c>
      <c r="J17" s="3">
        <v>0.4</v>
      </c>
      <c r="K17" s="3">
        <v>-0.2</v>
      </c>
      <c r="L17" s="3">
        <v>-0.6</v>
      </c>
      <c r="M17" s="3"/>
      <c r="N17" s="3"/>
      <c r="O17" s="3"/>
      <c r="P17" s="3"/>
      <c r="Q17" s="3"/>
      <c r="R17" s="3">
        <v>-2.8</v>
      </c>
      <c r="S17" s="3">
        <v>2.5</v>
      </c>
      <c r="T17" s="3">
        <v>-3.3</v>
      </c>
      <c r="U17" s="3">
        <v>-4.0999999999999996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2:57" x14ac:dyDescent="0.2">
      <c r="B18" s="2" t="s">
        <v>32</v>
      </c>
      <c r="C18" s="3">
        <f t="shared" ref="C18:I18" si="4">+C15-SUM(C16:C17)</f>
        <v>-14.300000000000022</v>
      </c>
      <c r="D18" s="3">
        <f t="shared" si="4"/>
        <v>17.999999999999993</v>
      </c>
      <c r="E18" s="3">
        <f t="shared" si="4"/>
        <v>28.899999999999988</v>
      </c>
      <c r="F18" s="3">
        <f t="shared" si="4"/>
        <v>0</v>
      </c>
      <c r="G18" s="3">
        <f t="shared" si="4"/>
        <v>13.200000000000017</v>
      </c>
      <c r="H18" s="3">
        <f t="shared" si="4"/>
        <v>33.599999999999987</v>
      </c>
      <c r="I18" s="3">
        <f t="shared" si="4"/>
        <v>33.100000000000023</v>
      </c>
      <c r="J18" s="3">
        <f>+J15-SUM(J16:J17)</f>
        <v>40.299999999999976</v>
      </c>
      <c r="K18" s="3">
        <f>+K15-SUM(K16:K17)</f>
        <v>27.600000000000033</v>
      </c>
      <c r="L18" s="3">
        <f>+L15-SUM(L16:L17)</f>
        <v>40.799999999999955</v>
      </c>
      <c r="M18" s="3"/>
      <c r="N18" s="3"/>
      <c r="O18" s="3"/>
      <c r="P18" s="3"/>
      <c r="Q18" s="3">
        <f t="shared" ref="Q18:S18" si="5">+Q15-SUM(Q16:Q17)</f>
        <v>0</v>
      </c>
      <c r="R18" s="3">
        <f t="shared" si="5"/>
        <v>-252.89999999999986</v>
      </c>
      <c r="S18" s="3">
        <f t="shared" si="5"/>
        <v>-134.20000000000016</v>
      </c>
      <c r="T18" s="3">
        <f>+T15-SUM(T16:T17)</f>
        <v>61.599999999999994</v>
      </c>
      <c r="U18" s="3">
        <f>+U15-SUM(U16:U17)</f>
        <v>121.49999999999994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2:57" x14ac:dyDescent="0.2">
      <c r="B19" s="2" t="s">
        <v>33</v>
      </c>
      <c r="C19" s="3">
        <v>-0.6</v>
      </c>
      <c r="D19" s="3">
        <v>2.4</v>
      </c>
      <c r="E19" s="3">
        <v>5</v>
      </c>
      <c r="F19" s="3"/>
      <c r="G19" s="3">
        <v>1</v>
      </c>
      <c r="H19" s="3">
        <v>4.5999999999999996</v>
      </c>
      <c r="I19" s="3">
        <v>6.8</v>
      </c>
      <c r="J19" s="3">
        <v>7.8</v>
      </c>
      <c r="K19" s="3">
        <v>5.2</v>
      </c>
      <c r="L19" s="3">
        <v>7.9</v>
      </c>
      <c r="M19" s="3"/>
      <c r="N19" s="3"/>
      <c r="O19" s="3"/>
      <c r="P19" s="3"/>
      <c r="Q19" s="3"/>
      <c r="R19" s="3">
        <v>-63.8</v>
      </c>
      <c r="S19" s="3">
        <v>-95</v>
      </c>
      <c r="T19" s="3">
        <v>10.1</v>
      </c>
      <c r="U19" s="3">
        <v>20.5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2:57" x14ac:dyDescent="0.2">
      <c r="B20" s="2" t="s">
        <v>34</v>
      </c>
      <c r="C20" s="3">
        <f t="shared" ref="C20:L20" si="6">+C18-C19</f>
        <v>-13.700000000000022</v>
      </c>
      <c r="D20" s="3">
        <f t="shared" si="6"/>
        <v>15.599999999999993</v>
      </c>
      <c r="E20" s="3">
        <f t="shared" si="6"/>
        <v>23.899999999999988</v>
      </c>
      <c r="F20" s="3">
        <f t="shared" si="6"/>
        <v>0</v>
      </c>
      <c r="G20" s="3">
        <f t="shared" si="6"/>
        <v>12.200000000000017</v>
      </c>
      <c r="H20" s="3">
        <f t="shared" si="6"/>
        <v>28.999999999999986</v>
      </c>
      <c r="I20" s="3">
        <f t="shared" si="6"/>
        <v>26.300000000000022</v>
      </c>
      <c r="J20" s="3">
        <f t="shared" si="6"/>
        <v>32.499999999999979</v>
      </c>
      <c r="K20" s="3">
        <f t="shared" si="6"/>
        <v>22.400000000000034</v>
      </c>
      <c r="L20" s="3">
        <f t="shared" si="6"/>
        <v>32.899999999999956</v>
      </c>
      <c r="M20" s="3"/>
      <c r="N20" s="3"/>
      <c r="O20" s="3"/>
      <c r="P20" s="3"/>
      <c r="Q20" s="3">
        <f t="shared" ref="Q20:S20" si="7">+Q18-Q19</f>
        <v>0</v>
      </c>
      <c r="R20" s="3">
        <f t="shared" si="7"/>
        <v>-189.09999999999985</v>
      </c>
      <c r="S20" s="3">
        <f t="shared" si="7"/>
        <v>-39.200000000000159</v>
      </c>
      <c r="T20" s="3">
        <f>+T18-T19</f>
        <v>51.499999999999993</v>
      </c>
      <c r="U20" s="3">
        <f>+U18-U19</f>
        <v>100.99999999999994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2:57" x14ac:dyDescent="0.2">
      <c r="B21" s="2" t="s">
        <v>35</v>
      </c>
      <c r="C21" s="3">
        <v>0.8</v>
      </c>
      <c r="D21" s="3">
        <v>1.4</v>
      </c>
      <c r="E21" s="3">
        <v>0.7</v>
      </c>
      <c r="F21" s="3"/>
      <c r="G21" s="3">
        <v>1.1000000000000001</v>
      </c>
      <c r="H21" s="3">
        <v>2.2000000000000002</v>
      </c>
      <c r="I21" s="3">
        <v>1.2</v>
      </c>
      <c r="J21" s="3">
        <v>0.7</v>
      </c>
      <c r="K21" s="3">
        <v>2.2000000000000002</v>
      </c>
      <c r="L21" s="3">
        <v>1.7</v>
      </c>
      <c r="M21" s="3"/>
      <c r="N21" s="3"/>
      <c r="O21" s="3"/>
      <c r="P21" s="3"/>
      <c r="Q21" s="3"/>
      <c r="R21" s="3">
        <v>-0.8</v>
      </c>
      <c r="S21" s="3">
        <v>0.4</v>
      </c>
      <c r="T21" s="3">
        <v>3.6</v>
      </c>
      <c r="U21" s="3">
        <v>5.2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2:57" x14ac:dyDescent="0.2">
      <c r="B22" s="2" t="s">
        <v>36</v>
      </c>
      <c r="C22" s="3">
        <f t="shared" ref="C22:L22" si="8">+C20-C21</f>
        <v>-14.500000000000023</v>
      </c>
      <c r="D22" s="3">
        <f t="shared" si="8"/>
        <v>14.199999999999992</v>
      </c>
      <c r="E22" s="3">
        <f t="shared" si="8"/>
        <v>23.199999999999989</v>
      </c>
      <c r="F22" s="3">
        <f t="shared" si="8"/>
        <v>0</v>
      </c>
      <c r="G22" s="3">
        <f t="shared" si="8"/>
        <v>11.100000000000017</v>
      </c>
      <c r="H22" s="3">
        <f t="shared" si="8"/>
        <v>26.799999999999986</v>
      </c>
      <c r="I22" s="3">
        <f t="shared" si="8"/>
        <v>25.100000000000023</v>
      </c>
      <c r="J22" s="3">
        <f t="shared" si="8"/>
        <v>31.799999999999979</v>
      </c>
      <c r="K22" s="3">
        <f t="shared" si="8"/>
        <v>20.200000000000035</v>
      </c>
      <c r="L22" s="3">
        <f t="shared" si="8"/>
        <v>31.199999999999957</v>
      </c>
      <c r="M22" s="3"/>
      <c r="N22" s="3"/>
      <c r="O22" s="3"/>
      <c r="P22" s="3"/>
      <c r="Q22" s="3">
        <f t="shared" ref="Q22:S22" si="9">+Q20-Q21</f>
        <v>0</v>
      </c>
      <c r="R22" s="3">
        <f t="shared" si="9"/>
        <v>-188.29999999999984</v>
      </c>
      <c r="S22" s="3">
        <f t="shared" si="9"/>
        <v>-39.600000000000158</v>
      </c>
      <c r="T22" s="3">
        <f>+T20-T21</f>
        <v>47.899999999999991</v>
      </c>
      <c r="U22" s="3">
        <f>+U20-U21</f>
        <v>95.79999999999994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2:57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2:57" x14ac:dyDescent="0.2">
      <c r="B24" s="2" t="s">
        <v>37</v>
      </c>
      <c r="C24" s="8">
        <f t="shared" ref="C24:L24" si="10">+C22/C25</f>
        <v>-0.18170426065162937</v>
      </c>
      <c r="D24" s="8">
        <f t="shared" si="10"/>
        <v>0.17749999999999991</v>
      </c>
      <c r="E24" s="8">
        <f t="shared" si="10"/>
        <v>0.28999999999999987</v>
      </c>
      <c r="F24" s="8" t="e">
        <f t="shared" si="10"/>
        <v>#DIV/0!</v>
      </c>
      <c r="G24" s="8">
        <f t="shared" si="10"/>
        <v>0.13875000000000021</v>
      </c>
      <c r="H24" s="8">
        <f t="shared" si="10"/>
        <v>0.33045622688039444</v>
      </c>
      <c r="I24" s="8">
        <f t="shared" si="10"/>
        <v>0.30759803921568657</v>
      </c>
      <c r="J24" s="8">
        <f t="shared" si="10"/>
        <v>0.38827838827838801</v>
      </c>
      <c r="K24" s="8">
        <f t="shared" si="10"/>
        <v>0.24724602203182416</v>
      </c>
      <c r="L24" s="8">
        <f t="shared" si="10"/>
        <v>0.38048780487804823</v>
      </c>
      <c r="M24" s="8"/>
      <c r="N24" s="8"/>
      <c r="O24" s="3"/>
      <c r="P24" s="3"/>
      <c r="Q24" s="8" t="e">
        <f t="shared" ref="Q24:S24" si="11">+Q22/Q25</f>
        <v>#DIV/0!</v>
      </c>
      <c r="R24" s="8">
        <f t="shared" si="11"/>
        <v>-2.3626097867001232</v>
      </c>
      <c r="S24" s="8">
        <f t="shared" si="11"/>
        <v>-0.49874055415617324</v>
      </c>
      <c r="T24" s="8">
        <f>+T22/T25</f>
        <v>0.59874999999999989</v>
      </c>
      <c r="U24" s="8">
        <f>+U22/U25</f>
        <v>1.1725826193390445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2:57" x14ac:dyDescent="0.2">
      <c r="B25" s="2" t="s">
        <v>3</v>
      </c>
      <c r="C25" s="3">
        <v>79.8</v>
      </c>
      <c r="D25" s="3">
        <v>80</v>
      </c>
      <c r="E25" s="3">
        <v>80</v>
      </c>
      <c r="F25" s="3"/>
      <c r="G25" s="3">
        <v>80</v>
      </c>
      <c r="H25" s="3">
        <v>81.099999999999994</v>
      </c>
      <c r="I25" s="3">
        <v>81.599999999999994</v>
      </c>
      <c r="J25" s="3">
        <v>81.900000000000006</v>
      </c>
      <c r="K25" s="3">
        <v>81.7</v>
      </c>
      <c r="L25" s="3">
        <v>82</v>
      </c>
      <c r="M25" s="3"/>
      <c r="N25" s="3"/>
      <c r="O25" s="3"/>
      <c r="P25" s="3"/>
      <c r="Q25" s="3"/>
      <c r="R25" s="3">
        <v>79.7</v>
      </c>
      <c r="S25" s="3">
        <v>79.400000000000006</v>
      </c>
      <c r="T25" s="3">
        <v>80</v>
      </c>
      <c r="U25" s="3">
        <v>81.7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2:57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2:57" x14ac:dyDescent="0.2">
      <c r="B27" s="2" t="s">
        <v>40</v>
      </c>
      <c r="C27" s="3"/>
      <c r="D27" s="3"/>
      <c r="E27" s="3"/>
      <c r="F27" s="3"/>
      <c r="G27" s="13">
        <f t="shared" ref="G27:G31" si="12">+G3/C3-1</f>
        <v>0.12732919254658381</v>
      </c>
      <c r="H27" s="13">
        <f t="shared" ref="H27:H30" si="13">+H3/D3-1</f>
        <v>0.16214449166394251</v>
      </c>
      <c r="I27" s="13">
        <f t="shared" ref="I27:I32" si="14">+I3/E3-1</f>
        <v>0.10699717602761227</v>
      </c>
      <c r="J27" s="13" t="e">
        <f t="shared" ref="J27:L32" si="15">+J3/F3-1</f>
        <v>#DIV/0!</v>
      </c>
      <c r="K27" s="13">
        <f t="shared" si="15"/>
        <v>0.13743495561677399</v>
      </c>
      <c r="L27" s="13">
        <f t="shared" si="15"/>
        <v>9.2545710267229131E-2</v>
      </c>
      <c r="M27" s="13"/>
      <c r="N27" s="13"/>
      <c r="O27" s="3"/>
      <c r="P27" s="9">
        <f>+P3/C3-1</f>
        <v>-1</v>
      </c>
      <c r="Q27" s="9" t="e">
        <f t="shared" ref="Q27:S31" si="16">+Q3/P3-1</f>
        <v>#DIV/0!</v>
      </c>
      <c r="R27" s="9" t="e">
        <f t="shared" si="16"/>
        <v>#DIV/0!</v>
      </c>
      <c r="S27" s="9" t="e">
        <f t="shared" si="16"/>
        <v>#DIV/0!</v>
      </c>
      <c r="T27" s="9">
        <f t="shared" ref="T27:U31" si="17">+T3/S3-1</f>
        <v>-0.1341115975262317</v>
      </c>
      <c r="U27" s="9">
        <f t="shared" si="17"/>
        <v>0.12976486638311546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2:57" x14ac:dyDescent="0.2">
      <c r="B28" s="2" t="s">
        <v>41</v>
      </c>
      <c r="C28" s="3"/>
      <c r="D28" s="3"/>
      <c r="E28" s="3"/>
      <c r="F28" s="3"/>
      <c r="G28" s="13">
        <f t="shared" si="12"/>
        <v>-0.16981132075471694</v>
      </c>
      <c r="H28" s="13">
        <f t="shared" si="13"/>
        <v>2.3809523809523725E-2</v>
      </c>
      <c r="I28" s="13">
        <f t="shared" si="14"/>
        <v>-2.9330889092575529E-2</v>
      </c>
      <c r="J28" s="13" t="e">
        <f t="shared" si="15"/>
        <v>#DIV/0!</v>
      </c>
      <c r="K28" s="13">
        <f t="shared" si="15"/>
        <v>1.2032085561497485E-2</v>
      </c>
      <c r="L28" s="13">
        <f t="shared" si="15"/>
        <v>-1.5813953488372112E-2</v>
      </c>
      <c r="M28" s="13"/>
      <c r="N28" s="13"/>
      <c r="O28" s="3"/>
      <c r="P28" s="9">
        <f>+P4/C4-1</f>
        <v>-1</v>
      </c>
      <c r="Q28" s="9" t="e">
        <f t="shared" si="16"/>
        <v>#DIV/0!</v>
      </c>
      <c r="R28" s="9" t="e">
        <f t="shared" si="16"/>
        <v>#DIV/0!</v>
      </c>
      <c r="S28" s="9" t="e">
        <f t="shared" si="16"/>
        <v>#DIV/0!</v>
      </c>
      <c r="T28" s="9">
        <f t="shared" si="17"/>
        <v>-5.2642530170620039E-2</v>
      </c>
      <c r="U28" s="9">
        <f t="shared" si="17"/>
        <v>-7.2699319130243856E-2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2:57" x14ac:dyDescent="0.2">
      <c r="B29" s="2" t="s">
        <v>42</v>
      </c>
      <c r="C29" s="3"/>
      <c r="D29" s="3"/>
      <c r="E29" s="3"/>
      <c r="F29" s="3"/>
      <c r="G29" s="13">
        <f t="shared" si="12"/>
        <v>-0.27999999999999992</v>
      </c>
      <c r="H29" s="13">
        <f t="shared" si="13"/>
        <v>-0.21678321678321688</v>
      </c>
      <c r="I29" s="13">
        <f t="shared" si="14"/>
        <v>-6.4516129032258118E-2</v>
      </c>
      <c r="J29" s="13" t="e">
        <f t="shared" si="15"/>
        <v>#DIV/0!</v>
      </c>
      <c r="K29" s="13">
        <f t="shared" si="15"/>
        <v>-4.629629629629628E-2</v>
      </c>
      <c r="L29" s="13">
        <f t="shared" si="15"/>
        <v>8.9285714285714191E-2</v>
      </c>
      <c r="M29" s="13"/>
      <c r="N29" s="13"/>
      <c r="O29" s="3"/>
      <c r="P29" s="9">
        <f>+P5/C5-1</f>
        <v>-1</v>
      </c>
      <c r="Q29" s="9" t="e">
        <f t="shared" si="16"/>
        <v>#DIV/0!</v>
      </c>
      <c r="R29" s="9" t="e">
        <f t="shared" si="16"/>
        <v>#DIV/0!</v>
      </c>
      <c r="S29" s="9" t="e">
        <f t="shared" si="16"/>
        <v>#DIV/0!</v>
      </c>
      <c r="T29" s="9">
        <f t="shared" si="17"/>
        <v>-0.83415841584158412</v>
      </c>
      <c r="U29" s="9">
        <f t="shared" si="17"/>
        <v>-0.17350746268656725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2:57" x14ac:dyDescent="0.2">
      <c r="B30" s="2" t="s">
        <v>43</v>
      </c>
      <c r="C30" s="3"/>
      <c r="D30" s="3"/>
      <c r="E30" s="3"/>
      <c r="F30" s="3"/>
      <c r="G30" s="13">
        <f t="shared" si="12"/>
        <v>9.4974003466204326E-2</v>
      </c>
      <c r="H30" s="13">
        <f t="shared" si="13"/>
        <v>0.16292495189223866</v>
      </c>
      <c r="I30" s="13">
        <f t="shared" si="14"/>
        <v>0.10890787065283702</v>
      </c>
      <c r="J30" s="13" t="e">
        <f t="shared" si="15"/>
        <v>#DIV/0!</v>
      </c>
      <c r="K30" s="13">
        <f t="shared" si="15"/>
        <v>-0.68629313073757525</v>
      </c>
      <c r="L30" s="13">
        <f t="shared" si="15"/>
        <v>-0.69194704908990623</v>
      </c>
      <c r="M30" s="13"/>
      <c r="N30" s="13"/>
      <c r="O30" s="3"/>
      <c r="P30" s="9">
        <f>+P6/C6-1</f>
        <v>-1</v>
      </c>
      <c r="Q30" s="9" t="e">
        <f t="shared" si="16"/>
        <v>#DIV/0!</v>
      </c>
      <c r="R30" s="9" t="e">
        <f t="shared" si="16"/>
        <v>#DIV/0!</v>
      </c>
      <c r="S30" s="9">
        <f t="shared" si="16"/>
        <v>-0.15813819022838971</v>
      </c>
      <c r="T30" s="9">
        <f t="shared" si="17"/>
        <v>-0.16912774725274726</v>
      </c>
      <c r="U30" s="9">
        <f t="shared" si="17"/>
        <v>-1.7358958462492247E-2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2:57" x14ac:dyDescent="0.2">
      <c r="B31" s="2" t="s">
        <v>44</v>
      </c>
      <c r="C31" s="3"/>
      <c r="D31" s="3"/>
      <c r="E31" s="3"/>
      <c r="F31" s="3"/>
      <c r="G31" s="13">
        <f t="shared" si="12"/>
        <v>-9.398496240601506E-2</v>
      </c>
      <c r="H31" s="13">
        <f>+H7/D7-1</f>
        <v>-1.5873015873015928E-2</v>
      </c>
      <c r="I31" s="13">
        <f t="shared" si="14"/>
        <v>-4.9822064056939563E-2</v>
      </c>
      <c r="J31" s="13" t="e">
        <f t="shared" si="15"/>
        <v>#DIV/0!</v>
      </c>
      <c r="K31" s="13">
        <f t="shared" si="15"/>
        <v>2.7188796680497922</v>
      </c>
      <c r="L31" s="13">
        <f t="shared" si="15"/>
        <v>2.5367383512544803</v>
      </c>
      <c r="M31" s="13"/>
      <c r="N31" s="13"/>
      <c r="O31" s="3"/>
      <c r="P31" s="9">
        <f>+P7/C7-1</f>
        <v>-1</v>
      </c>
      <c r="Q31" s="9" t="e">
        <f t="shared" si="16"/>
        <v>#DIV/0!</v>
      </c>
      <c r="R31" s="9" t="e">
        <f t="shared" si="16"/>
        <v>#DIV/0!</v>
      </c>
      <c r="S31" s="9">
        <f t="shared" si="16"/>
        <v>-0.16683391871550424</v>
      </c>
      <c r="T31" s="9">
        <f t="shared" si="17"/>
        <v>-0.23450767841011744</v>
      </c>
      <c r="U31" s="9">
        <f t="shared" si="17"/>
        <v>0.1004641648965463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2:57" x14ac:dyDescent="0.2">
      <c r="B32" s="1" t="s">
        <v>45</v>
      </c>
      <c r="C32" s="7"/>
      <c r="D32" s="7"/>
      <c r="E32" s="7"/>
      <c r="F32" s="7"/>
      <c r="G32" s="10">
        <f t="shared" ref="G32" si="18">+G8/C8-1</f>
        <v>4.4061787794378304E-2</v>
      </c>
      <c r="H32" s="10">
        <f>+H8/D8-1</f>
        <v>0.11523988711194733</v>
      </c>
      <c r="I32" s="10">
        <f t="shared" si="14"/>
        <v>6.8378009995456734E-2</v>
      </c>
      <c r="J32" s="10" t="e">
        <f t="shared" si="15"/>
        <v>#DIV/0!</v>
      </c>
      <c r="K32" s="10">
        <f t="shared" si="15"/>
        <v>0.10987145282561239</v>
      </c>
      <c r="L32" s="10">
        <f t="shared" si="15"/>
        <v>6.7903838043019693E-2</v>
      </c>
      <c r="M32" s="10"/>
      <c r="N32" s="10"/>
      <c r="O32" s="7"/>
      <c r="P32" s="7"/>
      <c r="Q32" s="10" t="e">
        <f t="shared" ref="Q32:S32" si="19">+Q8/P8-1</f>
        <v>#DIV/0!</v>
      </c>
      <c r="R32" s="10" t="e">
        <f t="shared" si="19"/>
        <v>#DIV/0!</v>
      </c>
      <c r="S32" s="10">
        <f t="shared" si="19"/>
        <v>-0.16459326579261024</v>
      </c>
      <c r="T32" s="10">
        <f>+T8/S8-1</f>
        <v>-0.21753087520620629</v>
      </c>
      <c r="U32" s="10">
        <f>+U8/T8-1</f>
        <v>6.7977207977207854E-2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2:57" x14ac:dyDescent="0.2">
      <c r="B33" s="2" t="s">
        <v>46</v>
      </c>
      <c r="C33" s="9">
        <f t="shared" ref="C33:J33" si="20">+C10/C8</f>
        <v>0.45935679918966826</v>
      </c>
      <c r="D33" s="9">
        <f t="shared" si="20"/>
        <v>0.43085606773283158</v>
      </c>
      <c r="E33" s="9">
        <f t="shared" si="20"/>
        <v>0.451385733757383</v>
      </c>
      <c r="F33" s="9" t="e">
        <f t="shared" si="20"/>
        <v>#DIV/0!</v>
      </c>
      <c r="G33" s="9">
        <f t="shared" si="20"/>
        <v>0.47247150133398014</v>
      </c>
      <c r="H33" s="9">
        <f t="shared" si="20"/>
        <v>0.47237452551665965</v>
      </c>
      <c r="I33" s="9">
        <f t="shared" si="20"/>
        <v>0.47459068679566235</v>
      </c>
      <c r="J33" s="9">
        <f t="shared" si="20"/>
        <v>0.47033816425120767</v>
      </c>
      <c r="K33" s="9">
        <f t="shared" ref="K33:L33" si="21">+K10/K8</f>
        <v>0.47596153846153844</v>
      </c>
      <c r="L33" s="9">
        <f t="shared" si="21"/>
        <v>0.46465244865718791</v>
      </c>
      <c r="M33" s="9"/>
      <c r="N33" s="9"/>
      <c r="O33" s="3"/>
      <c r="P33" s="9" t="e">
        <f t="shared" ref="P33:S33" si="22">+P10/P8</f>
        <v>#DIV/0!</v>
      </c>
      <c r="Q33" s="9" t="e">
        <f t="shared" si="22"/>
        <v>#DIV/0!</v>
      </c>
      <c r="R33" s="9">
        <f t="shared" si="22"/>
        <v>0.39868891537544698</v>
      </c>
      <c r="S33" s="9">
        <f t="shared" si="22"/>
        <v>0.38900530563110258</v>
      </c>
      <c r="T33" s="9">
        <f>+T10/T8</f>
        <v>0.44529914529914527</v>
      </c>
      <c r="U33" s="9">
        <f>+U10/U8</f>
        <v>0.47308328442618575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2:57" x14ac:dyDescent="0.2">
      <c r="B34" s="2" t="s">
        <v>47</v>
      </c>
      <c r="C34" s="9">
        <f t="shared" ref="C34:I34" si="23">+C15/C8</f>
        <v>-7.850088630032977E-3</v>
      </c>
      <c r="D34" s="9">
        <f t="shared" si="23"/>
        <v>6.843838193791156E-2</v>
      </c>
      <c r="E34" s="9">
        <f t="shared" si="23"/>
        <v>7.8827805542935003E-2</v>
      </c>
      <c r="F34" s="9" t="e">
        <f t="shared" si="23"/>
        <v>#DIV/0!</v>
      </c>
      <c r="G34" s="9">
        <f t="shared" si="23"/>
        <v>4.7780742178025748E-2</v>
      </c>
      <c r="H34" s="9">
        <f t="shared" si="23"/>
        <v>8.5828764234500185E-2</v>
      </c>
      <c r="I34" s="9">
        <f t="shared" si="23"/>
        <v>8.4201573463746585E-2</v>
      </c>
      <c r="J34" s="9">
        <f>+J15/J8</f>
        <v>9.4492753623188361E-2</v>
      </c>
      <c r="K34" s="9">
        <f>+K15/K8</f>
        <v>7.4082167832167908E-2</v>
      </c>
      <c r="L34" s="9">
        <f>+L15/L8</f>
        <v>9.3404423380726617E-2</v>
      </c>
      <c r="M34" s="9"/>
      <c r="N34" s="9"/>
      <c r="O34" s="3"/>
      <c r="P34" s="9" t="e">
        <f t="shared" ref="P34:S34" si="24">+P15/P8</f>
        <v>#DIV/0!</v>
      </c>
      <c r="Q34" s="9" t="e">
        <f t="shared" si="24"/>
        <v>#DIV/0!</v>
      </c>
      <c r="R34" s="9">
        <f t="shared" si="24"/>
        <v>-7.7622169249106018E-2</v>
      </c>
      <c r="S34" s="9">
        <f t="shared" si="24"/>
        <v>-3.0407062285434105E-2</v>
      </c>
      <c r="T34" s="9">
        <f>+T15/T8</f>
        <v>5.7549857549857551E-2</v>
      </c>
      <c r="U34" s="9">
        <f>+U15/U8</f>
        <v>8.0136584324814561E-2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2:57" x14ac:dyDescent="0.2">
      <c r="B35" s="2" t="s">
        <v>48</v>
      </c>
      <c r="C35" s="9">
        <f t="shared" ref="C35:J35" si="25">+C19/C18</f>
        <v>4.195804195804189E-2</v>
      </c>
      <c r="D35" s="9">
        <f t="shared" si="25"/>
        <v>0.13333333333333339</v>
      </c>
      <c r="E35" s="9">
        <f t="shared" si="25"/>
        <v>0.17301038062283744</v>
      </c>
      <c r="F35" s="9" t="e">
        <f t="shared" si="25"/>
        <v>#DIV/0!</v>
      </c>
      <c r="G35" s="9">
        <f t="shared" si="25"/>
        <v>7.5757575757575663E-2</v>
      </c>
      <c r="H35" s="9">
        <f t="shared" si="25"/>
        <v>0.13690476190476195</v>
      </c>
      <c r="I35" s="9">
        <f t="shared" si="25"/>
        <v>0.20543806646525664</v>
      </c>
      <c r="J35" s="9">
        <f t="shared" si="25"/>
        <v>0.1935483870967743</v>
      </c>
      <c r="K35" s="9">
        <f t="shared" ref="K35:L35" si="26">+K19/K18</f>
        <v>0.18840579710144906</v>
      </c>
      <c r="L35" s="9">
        <f t="shared" si="26"/>
        <v>0.19362745098039238</v>
      </c>
      <c r="M35" s="9"/>
      <c r="N35" s="9"/>
      <c r="O35" s="3"/>
      <c r="P35" s="9" t="e">
        <f t="shared" ref="P35:S35" si="27">+P19/P18</f>
        <v>#DIV/0!</v>
      </c>
      <c r="Q35" s="9" t="e">
        <f t="shared" si="27"/>
        <v>#DIV/0!</v>
      </c>
      <c r="R35" s="9">
        <f t="shared" si="27"/>
        <v>0.25227362593910652</v>
      </c>
      <c r="S35" s="9">
        <f t="shared" si="27"/>
        <v>0.70789865871833002</v>
      </c>
      <c r="T35" s="9">
        <f>+T19/T18</f>
        <v>0.16396103896103897</v>
      </c>
      <c r="U35" s="9">
        <f>+U19/U18</f>
        <v>0.16872427983539104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2:57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2:57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2:57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2:57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2:57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2:57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2:57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2:57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2:57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2:57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2:57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2:57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2:57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3:57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3:57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3:57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3:57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3:57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3:57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3:57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3:57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3:57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3:57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3:57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3:57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3:57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3:57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3:57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3:57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3:57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3:57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3:57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3:57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3:57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3:57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3:57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3:57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3:57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3:57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3:57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3:57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3:57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3:57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3:57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3:57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3:57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3:57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3:57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3:57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3:57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3:57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3:57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3:57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3:57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3:57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3:57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3:57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3:57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3:57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3:57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3:57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3:57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3:57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3:57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3:57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3:57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3:57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3:57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3:57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3:57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3:57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3:57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3:57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3:57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3:57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3:57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3:57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3:57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3:57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3:57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3:57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3:57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3:57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3:57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3:57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3:57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3:57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3:57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3:57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3:57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3:57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3:57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3:57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3:57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3:57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3:57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3:57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3:57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3:57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3:57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3:57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3:57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3:57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3:57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3:57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3:57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3:57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3:57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3:57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3:57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3:57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3:57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3:57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3:57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3:57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3:57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3:57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3:57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3:57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3:57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3:57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3:57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3:57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3:57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3:57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3:57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3:57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3:57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3:57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3:57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3:57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3:57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3:57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3:57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3:57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3:57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3:57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3:57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3:57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3:57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3:57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3:57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3:57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3:57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3:57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3:57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3:57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3:57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3:57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3:57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3:57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3:57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3:57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3:57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3:57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3:57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3:57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3:57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3:57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3:57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3:57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3:57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3:57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3:57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3:57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3:57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3:57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3:57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3:57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3:57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3:57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3:57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3:57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3:57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3:57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3:57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3:57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3:57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3:57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3:57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3:57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3:57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3:57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3:57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3:57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3:57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3:57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3:57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3:57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3:57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3:57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3:57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3:57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3:57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3:57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3:57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3:57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3:57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3:57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3:57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3:57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3:57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3:57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3:57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0" spans="3:57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3:57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3:57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3:57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3:57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3:57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3:57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3:57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3:57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3:57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3:57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3:57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3:57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3:57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3:57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3:57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6" spans="3:57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</row>
    <row r="257" spans="3:57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3:57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3:57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3:57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3:57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3:57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3:57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3:57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3:57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3:57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3:57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3:57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3:57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3:57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3:57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2" spans="3:57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</row>
    <row r="273" spans="3:57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</row>
    <row r="274" spans="3:57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3:57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3:57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3:57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3:57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3:57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3:57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3:57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3:57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3:57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3:57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3:57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3:57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3:57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3:57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  <row r="289" spans="3:57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</row>
    <row r="290" spans="3:57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</row>
    <row r="291" spans="3:57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</row>
    <row r="292" spans="3:57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</row>
    <row r="293" spans="3:57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</row>
    <row r="294" spans="3:57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</row>
    <row r="295" spans="3:57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</row>
    <row r="296" spans="3:57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</row>
    <row r="297" spans="3:57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</row>
    <row r="298" spans="3:57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</row>
    <row r="299" spans="3:57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</row>
    <row r="300" spans="3:57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</row>
    <row r="301" spans="3:57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</row>
    <row r="302" spans="3:57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</row>
    <row r="303" spans="3:57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</row>
    <row r="304" spans="3:57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</row>
    <row r="305" spans="3:57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</row>
    <row r="306" spans="3:57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</row>
    <row r="307" spans="3:57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</row>
    <row r="308" spans="3:57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</row>
    <row r="309" spans="3:57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</row>
    <row r="310" spans="3:57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</row>
    <row r="311" spans="3:57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</row>
    <row r="312" spans="3:57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</row>
    <row r="313" spans="3:57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</row>
    <row r="314" spans="3:57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</row>
    <row r="315" spans="3:57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</row>
    <row r="316" spans="3:57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</row>
    <row r="317" spans="3:57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</row>
    <row r="318" spans="3:57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</row>
    <row r="319" spans="3:57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spans="3:57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spans="3:57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spans="3:57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spans="3:57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spans="3:57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spans="3:57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3:57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spans="3:57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3:57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spans="3:57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3:57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spans="3:57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3:57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spans="3:57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3:57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spans="3:57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3:57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spans="3:57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3:57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spans="3:57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spans="3:57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spans="3:57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spans="3:57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spans="3:57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spans="3:57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spans="3:57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spans="3:57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spans="3:57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spans="3:57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spans="3:57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spans="3:57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spans="3:57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3:57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spans="3:57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spans="3:57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spans="3:57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spans="3:57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spans="3:57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spans="3:57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spans="3:57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spans="3:57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spans="3:57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spans="3:57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spans="3:57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spans="3:57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spans="3:57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spans="3:57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spans="3:57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spans="3:57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spans="3:57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spans="3:57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spans="3:57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spans="3:57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spans="3:57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spans="3:57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spans="3:57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spans="3:57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spans="3:57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spans="3:57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spans="3:57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spans="3:57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spans="3:57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spans="3:57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spans="3:57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spans="3:57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spans="3:57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spans="3:57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spans="3:57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spans="3:57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spans="3:57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spans="3:57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spans="3:57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spans="3:57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spans="3:57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spans="3:57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spans="3:57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spans="3:57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spans="3:57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spans="3:57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spans="3:57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spans="3:57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spans="3:57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spans="3:57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spans="3:57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spans="3:57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spans="3:57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spans="3:57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spans="3:57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spans="3:57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spans="3:57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spans="3:57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spans="3:57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spans="3:57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spans="3:57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spans="3:57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spans="3:57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spans="3:57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spans="3:57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spans="3:57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spans="3:57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spans="3:57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spans="3:57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spans="3:57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spans="3:57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spans="3:57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spans="3:57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spans="3:57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spans="3:57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spans="3:57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spans="3:57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spans="3:57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spans="3:57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spans="3:57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spans="3:57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spans="3:57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spans="3:57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spans="3:57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spans="3:57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spans="3:57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spans="3:57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spans="3:57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spans="3:57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spans="3:57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spans="3:57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spans="3:57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spans="3:57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spans="3:57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spans="3:57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spans="3:57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spans="3:57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spans="3:57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spans="3:57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spans="3:57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spans="3:57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spans="3:57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spans="3:57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spans="3:57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spans="3:57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spans="3:57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spans="3:57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spans="3:57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spans="3:57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spans="3:57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spans="3:57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spans="3:57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spans="3:57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spans="3:57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spans="3:57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spans="3:57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spans="3:57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spans="3:57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spans="3:57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spans="3:57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spans="3:57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spans="3:57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spans="3:57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spans="3:57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spans="3:57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spans="3:57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spans="3:57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spans="3:57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spans="3:57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spans="3:57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spans="3:57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spans="3:57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spans="3:57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spans="3:57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spans="3:57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spans="3:57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spans="3:57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spans="3:57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spans="3:57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spans="3:57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spans="3:57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spans="3:57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spans="3:57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spans="3:57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spans="3:57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spans="3:57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spans="3:57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3:57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spans="3:57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spans="3:57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spans="3:57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spans="3:57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3:57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3:57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spans="3:57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3:57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spans="3:57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spans="3:57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spans="3:57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spans="3:57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spans="3:57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spans="3:57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spans="3:57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</sheetData>
  <hyperlinks>
    <hyperlink ref="A1" location="Main!A1" display="Main" xr:uid="{874DA63B-47B1-40DF-BE5C-A0C1545A25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2025-05-04T12:38:26Z</dcterms:created>
  <dcterms:modified xsi:type="dcterms:W3CDTF">2026-08-14T09:50:14Z</dcterms:modified>
</cp:coreProperties>
</file>