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422B9E20-1377-4BEE-B074-91CC11EFCCF4}" xr6:coauthVersionLast="47" xr6:coauthVersionMax="47" xr10:uidLastSave="{00000000-0000-0000-0000-000000000000}"/>
  <bookViews>
    <workbookView xWindow="19095" yWindow="0" windowWidth="19410" windowHeight="20985" xr2:uid="{E3433EC9-BF81-49D2-893F-3D58E7E5951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K44" i="2"/>
  <c r="K43" i="2"/>
  <c r="K42" i="2"/>
  <c r="K41" i="2"/>
  <c r="K40" i="2"/>
  <c r="K39" i="2"/>
  <c r="K38" i="2"/>
  <c r="K37" i="2"/>
  <c r="K36" i="2"/>
  <c r="K31" i="2"/>
  <c r="K33" i="2" s="1"/>
  <c r="K29" i="2"/>
  <c r="K27" i="2"/>
  <c r="K22" i="2"/>
  <c r="K19" i="2"/>
  <c r="J2" i="1"/>
  <c r="J4" i="1" s="1"/>
  <c r="H30" i="2"/>
  <c r="H28" i="2"/>
  <c r="H26" i="2"/>
  <c r="H25" i="2"/>
  <c r="H24" i="2"/>
  <c r="H23" i="2"/>
  <c r="H21" i="2"/>
  <c r="H20" i="2"/>
  <c r="H18" i="2"/>
  <c r="J30" i="2"/>
  <c r="J28" i="2"/>
  <c r="J26" i="2"/>
  <c r="J25" i="2"/>
  <c r="J24" i="2"/>
  <c r="J23" i="2"/>
  <c r="J21" i="2"/>
  <c r="J20" i="2"/>
  <c r="J18" i="2"/>
  <c r="J17" i="2"/>
  <c r="J16" i="2"/>
  <c r="J40" i="2" s="1"/>
  <c r="J15" i="2"/>
  <c r="J14" i="2"/>
  <c r="J13" i="2"/>
  <c r="J12" i="2"/>
  <c r="U10" i="2"/>
  <c r="U6" i="2"/>
  <c r="R31" i="2"/>
  <c r="Q31" i="2"/>
  <c r="R27" i="2"/>
  <c r="Q27" i="2"/>
  <c r="P27" i="2"/>
  <c r="O27" i="2"/>
  <c r="N27" i="2"/>
  <c r="U19" i="2"/>
  <c r="U42" i="2" s="1"/>
  <c r="I42" i="2"/>
  <c r="I41" i="2"/>
  <c r="I40" i="2"/>
  <c r="I39" i="2"/>
  <c r="I38" i="2"/>
  <c r="I37" i="2"/>
  <c r="H37" i="2"/>
  <c r="I36" i="2"/>
  <c r="H36" i="2"/>
  <c r="F16" i="2"/>
  <c r="H40" i="2" s="1"/>
  <c r="F15" i="2"/>
  <c r="H39" i="2" s="1"/>
  <c r="F14" i="2"/>
  <c r="F13" i="2"/>
  <c r="F12" i="2"/>
  <c r="H16" i="2"/>
  <c r="H15" i="2"/>
  <c r="H14" i="2"/>
  <c r="H13" i="2"/>
  <c r="H12" i="2"/>
  <c r="I19" i="2"/>
  <c r="I22" i="2" s="1"/>
  <c r="I27" i="2" s="1"/>
  <c r="I29" i="2" s="1"/>
  <c r="I31" i="2" s="1"/>
  <c r="I33" i="2" s="1"/>
  <c r="P44" i="2"/>
  <c r="O44" i="2"/>
  <c r="P40" i="2"/>
  <c r="O40" i="2"/>
  <c r="P39" i="2"/>
  <c r="O39" i="2"/>
  <c r="P38" i="2"/>
  <c r="O38" i="2"/>
  <c r="P37" i="2"/>
  <c r="O37" i="2"/>
  <c r="P36" i="2"/>
  <c r="O36" i="2"/>
  <c r="R40" i="2"/>
  <c r="Q40" i="2"/>
  <c r="R39" i="2"/>
  <c r="Q39" i="2"/>
  <c r="R38" i="2"/>
  <c r="Q38" i="2"/>
  <c r="R37" i="2"/>
  <c r="Q37" i="2"/>
  <c r="R36" i="2"/>
  <c r="Q36" i="2"/>
  <c r="U40" i="2"/>
  <c r="T40" i="2"/>
  <c r="U39" i="2"/>
  <c r="T39" i="2"/>
  <c r="U38" i="2"/>
  <c r="T38" i="2"/>
  <c r="U37" i="2"/>
  <c r="T37" i="2"/>
  <c r="U36" i="2"/>
  <c r="T36" i="2"/>
  <c r="S40" i="2"/>
  <c r="S39" i="2"/>
  <c r="S38" i="2"/>
  <c r="S37" i="2"/>
  <c r="S36" i="2"/>
  <c r="R44" i="2"/>
  <c r="Q44" i="2"/>
  <c r="N44" i="2"/>
  <c r="G41" i="2"/>
  <c r="G40" i="2"/>
  <c r="G39" i="2"/>
  <c r="G38" i="2"/>
  <c r="G37" i="2"/>
  <c r="G36" i="2"/>
  <c r="E19" i="2"/>
  <c r="E22" i="2" s="1"/>
  <c r="E27" i="2" s="1"/>
  <c r="D19" i="2"/>
  <c r="D22" i="2" s="1"/>
  <c r="D27" i="2" s="1"/>
  <c r="D29" i="2" s="1"/>
  <c r="D31" i="2" s="1"/>
  <c r="D33" i="2" s="1"/>
  <c r="C19" i="2"/>
  <c r="C22" i="2" s="1"/>
  <c r="C27" i="2" s="1"/>
  <c r="C29" i="2" s="1"/>
  <c r="C31" i="2" s="1"/>
  <c r="C33" i="2" s="1"/>
  <c r="G19" i="2"/>
  <c r="G22" i="2" s="1"/>
  <c r="G27" i="2" s="1"/>
  <c r="G29" i="2" s="1"/>
  <c r="G31" i="2" s="1"/>
  <c r="G33" i="2" s="1"/>
  <c r="S17" i="2"/>
  <c r="S19" i="2" s="1"/>
  <c r="S22" i="2" s="1"/>
  <c r="S27" i="2" s="1"/>
  <c r="S29" i="2" s="1"/>
  <c r="R17" i="2"/>
  <c r="R19" i="2" s="1"/>
  <c r="Q17" i="2"/>
  <c r="P17" i="2"/>
  <c r="P42" i="2" s="1"/>
  <c r="O17" i="2"/>
  <c r="O42" i="2" s="1"/>
  <c r="N17" i="2"/>
  <c r="N42" i="2" s="1"/>
  <c r="T17" i="2"/>
  <c r="U41" i="2" s="1"/>
  <c r="J36" i="2" l="1"/>
  <c r="T19" i="2"/>
  <c r="T22" i="2" s="1"/>
  <c r="T27" i="2" s="1"/>
  <c r="T29" i="2" s="1"/>
  <c r="H38" i="2"/>
  <c r="S44" i="2"/>
  <c r="S31" i="2"/>
  <c r="T44" i="2"/>
  <c r="T31" i="2"/>
  <c r="T33" i="2" s="1"/>
  <c r="S42" i="2"/>
  <c r="I43" i="2"/>
  <c r="I44" i="2"/>
  <c r="U22" i="2"/>
  <c r="J37" i="2"/>
  <c r="J38" i="2"/>
  <c r="J39" i="2"/>
  <c r="J19" i="2"/>
  <c r="U43" i="2"/>
  <c r="U27" i="2"/>
  <c r="U29" i="2" s="1"/>
  <c r="H17" i="2"/>
  <c r="F17" i="2"/>
  <c r="F19" i="2" s="1"/>
  <c r="F22" i="2" s="1"/>
  <c r="F27" i="2" s="1"/>
  <c r="F29" i="2" s="1"/>
  <c r="F31" i="2" s="1"/>
  <c r="F33" i="2" s="1"/>
  <c r="J7" i="1"/>
  <c r="O43" i="2"/>
  <c r="C43" i="2"/>
  <c r="P43" i="2"/>
  <c r="E43" i="2"/>
  <c r="O41" i="2"/>
  <c r="P41" i="2"/>
  <c r="D43" i="2"/>
  <c r="N43" i="2"/>
  <c r="T42" i="2"/>
  <c r="Q41" i="2"/>
  <c r="R41" i="2"/>
  <c r="Q43" i="2"/>
  <c r="R43" i="2"/>
  <c r="S43" i="2"/>
  <c r="T43" i="2"/>
  <c r="G42" i="2"/>
  <c r="G43" i="2"/>
  <c r="G44" i="2"/>
  <c r="C42" i="2"/>
  <c r="D42" i="2"/>
  <c r="E42" i="2"/>
  <c r="T41" i="2"/>
  <c r="C44" i="2"/>
  <c r="D44" i="2"/>
  <c r="S41" i="2"/>
  <c r="Q42" i="2"/>
  <c r="R42" i="2"/>
  <c r="E29" i="2"/>
  <c r="H19" i="2" l="1"/>
  <c r="H41" i="2"/>
  <c r="U44" i="2"/>
  <c r="U31" i="2"/>
  <c r="U33" i="2" s="1"/>
  <c r="J41" i="2"/>
  <c r="H22" i="2"/>
  <c r="H42" i="2"/>
  <c r="J42" i="2"/>
  <c r="J22" i="2"/>
  <c r="F43" i="2"/>
  <c r="F42" i="2"/>
  <c r="F44" i="2"/>
  <c r="E31" i="2"/>
  <c r="E33" i="2" s="1"/>
  <c r="E44" i="2"/>
  <c r="J43" i="2" l="1"/>
  <c r="J27" i="2"/>
  <c r="J29" i="2" s="1"/>
  <c r="H43" i="2"/>
  <c r="H27" i="2"/>
  <c r="H29" i="2" s="1"/>
  <c r="J31" i="2" l="1"/>
  <c r="J33" i="2" s="1"/>
  <c r="J44" i="2"/>
  <c r="H44" i="2"/>
  <c r="H31" i="2"/>
  <c r="H33" i="2" s="1"/>
</calcChain>
</file>

<file path=xl/sharedStrings.xml><?xml version="1.0" encoding="utf-8"?>
<sst xmlns="http://schemas.openxmlformats.org/spreadsheetml/2006/main" count="83" uniqueCount="80">
  <si>
    <t>Ermenegildo Zegna</t>
  </si>
  <si>
    <t>numbers in mio EUR</t>
  </si>
  <si>
    <t>Price</t>
  </si>
  <si>
    <t>Shares</t>
  </si>
  <si>
    <t>MC</t>
  </si>
  <si>
    <t>Cash</t>
  </si>
  <si>
    <t>Debt</t>
  </si>
  <si>
    <t>EV</t>
  </si>
  <si>
    <t>Main</t>
  </si>
  <si>
    <t>FY18</t>
  </si>
  <si>
    <t>FY19</t>
  </si>
  <si>
    <t>FY20</t>
  </si>
  <si>
    <t>FY21</t>
  </si>
  <si>
    <t>FY22</t>
  </si>
  <si>
    <t>FY24</t>
  </si>
  <si>
    <t>FY23</t>
  </si>
  <si>
    <t>FY25</t>
  </si>
  <si>
    <t>Zegna Revenue</t>
  </si>
  <si>
    <t>Thom Brown Revenue</t>
  </si>
  <si>
    <t>Tom Ford Fashion Revenue</t>
  </si>
  <si>
    <t>Revenues</t>
  </si>
  <si>
    <t>Textile</t>
  </si>
  <si>
    <t>Other</t>
  </si>
  <si>
    <t>Zegna Stores</t>
  </si>
  <si>
    <t>Thom Brown Stores</t>
  </si>
  <si>
    <t>Tom Ford Stores</t>
  </si>
  <si>
    <t>Group Stores</t>
  </si>
  <si>
    <t>Zegna Wholesale Stores</t>
  </si>
  <si>
    <t>Thom Brown Wholesale Stores</t>
  </si>
  <si>
    <t>Tom Ford Wholesale Stores</t>
  </si>
  <si>
    <t>Group Wholesale Stores</t>
  </si>
  <si>
    <t>Segments</t>
  </si>
  <si>
    <t>% of Rev</t>
  </si>
  <si>
    <t>Products</t>
  </si>
  <si>
    <t>CD</t>
  </si>
  <si>
    <t>Competitors</t>
  </si>
  <si>
    <t>Zegna</t>
  </si>
  <si>
    <t>Thom Brown</t>
  </si>
  <si>
    <t>Tom Ford</t>
  </si>
  <si>
    <t>Notes</t>
  </si>
  <si>
    <t>x</t>
  </si>
  <si>
    <t>Tom Ford appoints Haider Ackermann as Creative Director</t>
  </si>
  <si>
    <t>H122</t>
  </si>
  <si>
    <t>H222</t>
  </si>
  <si>
    <t>H123</t>
  </si>
  <si>
    <t>H223</t>
  </si>
  <si>
    <t>H124</t>
  </si>
  <si>
    <t>H224</t>
  </si>
  <si>
    <t>COGS</t>
  </si>
  <si>
    <t>Gross Profit</t>
  </si>
  <si>
    <t>SGA</t>
  </si>
  <si>
    <t>Marketing Expense</t>
  </si>
  <si>
    <t>Operating Income</t>
  </si>
  <si>
    <t>Financial Income</t>
  </si>
  <si>
    <t>Financial Expense</t>
  </si>
  <si>
    <t>Foreign Exchange Loss</t>
  </si>
  <si>
    <t>Earnings from subsidaries</t>
  </si>
  <si>
    <t>Pretax Income</t>
  </si>
  <si>
    <t>Tax Expense</t>
  </si>
  <si>
    <t>Net Income</t>
  </si>
  <si>
    <t>Minority Interest</t>
  </si>
  <si>
    <t>Net Income to Company</t>
  </si>
  <si>
    <t>Zegna Growth</t>
  </si>
  <si>
    <t>Thom Brown Growth</t>
  </si>
  <si>
    <t>Tom Ford Fashion Growth</t>
  </si>
  <si>
    <t>Textile Growth</t>
  </si>
  <si>
    <t>Other Growth</t>
  </si>
  <si>
    <t>Revenue Growth</t>
  </si>
  <si>
    <t xml:space="preserve">Gross Margin </t>
  </si>
  <si>
    <t xml:space="preserve">Operating Margin </t>
  </si>
  <si>
    <t>Tax Rate</t>
  </si>
  <si>
    <t>EPS</t>
  </si>
  <si>
    <t>IR</t>
  </si>
  <si>
    <t>ZGN</t>
  </si>
  <si>
    <t>H125</t>
  </si>
  <si>
    <t>H225</t>
  </si>
  <si>
    <t>H126</t>
  </si>
  <si>
    <t>H226</t>
  </si>
  <si>
    <t>USD/EUR</t>
  </si>
  <si>
    <t>Q226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</si>
</sst>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;\(#,##0.0\)"/>
    <numFmt numFmtId="167" formatCode="0.0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8" fillId="0" borderId="0" xfId="2" applyFont="1"/>
    <xf numFmtId="0" fontId="4" fillId="0" borderId="0" xfId="0" applyFont="1"/>
    <xf numFmtId="0" fontId="4" fillId="0" borderId="0" xfId="0" applyFont="1" applyAlignment="1">
      <alignment horizontal="right"/>
    </xf>
    <xf numFmtId="3" fontId="4" fillId="0" borderId="0" xfId="0" applyNumberFormat="1" applyFont="1"/>
    <xf numFmtId="164" fontId="4" fillId="0" borderId="0" xfId="0" applyNumberFormat="1" applyFont="1"/>
    <xf numFmtId="0" fontId="7" fillId="0" borderId="0" xfId="0" applyFont="1"/>
    <xf numFmtId="3" fontId="7" fillId="0" borderId="0" xfId="0" applyNumberFormat="1" applyFont="1"/>
    <xf numFmtId="164" fontId="7" fillId="0" borderId="0" xfId="0" applyNumberFormat="1" applyFont="1"/>
    <xf numFmtId="9" fontId="4" fillId="0" borderId="0" xfId="1" applyFont="1"/>
    <xf numFmtId="0" fontId="9" fillId="0" borderId="1" xfId="0" applyFont="1" applyBorder="1"/>
    <xf numFmtId="0" fontId="9" fillId="0" borderId="2" xfId="0" applyFont="1" applyBorder="1"/>
    <xf numFmtId="0" fontId="9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0" xfId="0" applyFont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right"/>
    </xf>
    <xf numFmtId="4" fontId="4" fillId="0" borderId="0" xfId="0" applyNumberFormat="1" applyFont="1"/>
    <xf numFmtId="165" fontId="4" fillId="0" borderId="0" xfId="0" applyNumberFormat="1" applyFont="1"/>
    <xf numFmtId="165" fontId="7" fillId="0" borderId="0" xfId="0" applyNumberFormat="1" applyFont="1"/>
    <xf numFmtId="9" fontId="7" fillId="0" borderId="0" xfId="1" applyFont="1"/>
    <xf numFmtId="165" fontId="2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/>
    <xf numFmtId="167" fontId="4" fillId="0" borderId="0" xfId="0" applyNumberFormat="1" applyFont="1"/>
    <xf numFmtId="165" fontId="1" fillId="0" borderId="0" xfId="0" applyNumberFormat="1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r.zegnagroup.com/overview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F810-AD0B-4C96-BAF8-DBD6E1A11EAF}">
  <dimension ref="A1:K13"/>
  <sheetViews>
    <sheetView tabSelected="1" zoomScale="200" zoomScaleNormal="200" workbookViewId="0">
      <selection activeCell="A7" sqref="A7"/>
    </sheetView>
  </sheetViews>
  <sheetFormatPr defaultRowHeight="12.75" x14ac:dyDescent="0.2"/>
  <cols>
    <col min="1" max="1" width="3.7109375" style="2" customWidth="1"/>
    <col min="2" max="2" width="12" style="2" customWidth="1"/>
    <col min="3" max="3" width="8.140625" style="2" bestFit="1" customWidth="1"/>
    <col min="4" max="5" width="9.140625" style="2"/>
    <col min="6" max="6" width="11.7109375" style="2" bestFit="1" customWidth="1"/>
    <col min="7" max="16384" width="9.140625" style="2"/>
  </cols>
  <sheetData>
    <row r="1" spans="1:11" x14ac:dyDescent="0.2">
      <c r="A1" s="6" t="s">
        <v>0</v>
      </c>
    </row>
    <row r="2" spans="1:11" x14ac:dyDescent="0.2">
      <c r="A2" s="2" t="s">
        <v>1</v>
      </c>
      <c r="I2" s="2" t="s">
        <v>2</v>
      </c>
      <c r="J2" s="31">
        <f>12.86*J9</f>
        <v>11.0596</v>
      </c>
    </row>
    <row r="3" spans="1:11" x14ac:dyDescent="0.2">
      <c r="I3" s="2" t="s">
        <v>3</v>
      </c>
      <c r="J3" s="25">
        <v>253.02378999999999</v>
      </c>
      <c r="K3" s="29" t="s">
        <v>79</v>
      </c>
    </row>
    <row r="4" spans="1:11" x14ac:dyDescent="0.2">
      <c r="B4" s="1" t="s">
        <v>72</v>
      </c>
      <c r="I4" s="2" t="s">
        <v>4</v>
      </c>
      <c r="J4" s="25">
        <f>+J2*J3</f>
        <v>2798.3419078839997</v>
      </c>
    </row>
    <row r="5" spans="1:11" x14ac:dyDescent="0.2">
      <c r="B5" s="2" t="s">
        <v>73</v>
      </c>
      <c r="I5" s="2" t="s">
        <v>5</v>
      </c>
      <c r="J5" s="25">
        <v>226.715</v>
      </c>
      <c r="K5" s="29" t="s">
        <v>79</v>
      </c>
    </row>
    <row r="6" spans="1:11" x14ac:dyDescent="0.2">
      <c r="I6" s="2" t="s">
        <v>6</v>
      </c>
      <c r="J6" s="25">
        <f>96.653+128.144</f>
        <v>224.79700000000003</v>
      </c>
      <c r="K6" s="29" t="s">
        <v>79</v>
      </c>
    </row>
    <row r="7" spans="1:11" x14ac:dyDescent="0.2">
      <c r="B7" s="10" t="s">
        <v>31</v>
      </c>
      <c r="C7" s="11" t="s">
        <v>32</v>
      </c>
      <c r="D7" s="11" t="s">
        <v>33</v>
      </c>
      <c r="E7" s="11" t="s">
        <v>34</v>
      </c>
      <c r="F7" s="12" t="s">
        <v>35</v>
      </c>
      <c r="I7" s="2" t="s">
        <v>7</v>
      </c>
      <c r="J7" s="25">
        <f>+J4-J5+J6</f>
        <v>2796.4239078839996</v>
      </c>
    </row>
    <row r="8" spans="1:11" x14ac:dyDescent="0.2">
      <c r="B8" s="13" t="s">
        <v>36</v>
      </c>
      <c r="C8" s="14"/>
      <c r="D8" s="14"/>
      <c r="E8" s="14"/>
      <c r="F8" s="15"/>
    </row>
    <row r="9" spans="1:11" x14ac:dyDescent="0.2">
      <c r="B9" s="16" t="s">
        <v>37</v>
      </c>
      <c r="F9" s="17"/>
      <c r="I9" s="30" t="s">
        <v>78</v>
      </c>
      <c r="J9" s="2">
        <v>0.86</v>
      </c>
    </row>
    <row r="10" spans="1:11" x14ac:dyDescent="0.2">
      <c r="B10" s="18" t="s">
        <v>38</v>
      </c>
      <c r="C10" s="19"/>
      <c r="D10" s="19"/>
      <c r="E10" s="19"/>
      <c r="F10" s="20"/>
    </row>
    <row r="12" spans="1:11" x14ac:dyDescent="0.2">
      <c r="A12" s="21" t="s">
        <v>40</v>
      </c>
      <c r="B12" s="22" t="s">
        <v>39</v>
      </c>
    </row>
    <row r="13" spans="1:11" x14ac:dyDescent="0.2">
      <c r="B13" s="2" t="s">
        <v>41</v>
      </c>
    </row>
  </sheetData>
  <hyperlinks>
    <hyperlink ref="B4" r:id="rId1" xr:uid="{9B0857C7-22C5-4A87-BE3A-867FE9B9CC7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A18FB-3A62-490B-BC1A-A7EA583225D9}">
  <dimension ref="A1:CA348"/>
  <sheetViews>
    <sheetView zoomScale="200" zoomScaleNormal="200" workbookViewId="0">
      <pane xSplit="2" ySplit="2" topLeftCell="I16" activePane="bottomRight" state="frozen"/>
      <selection pane="topRight" activeCell="C1" sqref="C1"/>
      <selection pane="bottomLeft" activeCell="A3" sqref="A3"/>
      <selection pane="bottomRight" activeCell="L36" sqref="L36"/>
    </sheetView>
  </sheetViews>
  <sheetFormatPr defaultRowHeight="12.75" x14ac:dyDescent="0.2"/>
  <cols>
    <col min="1" max="1" width="5.42578125" style="2" bestFit="1" customWidth="1"/>
    <col min="2" max="2" width="28.140625" style="2" customWidth="1"/>
    <col min="3" max="16384" width="9.140625" style="2"/>
  </cols>
  <sheetData>
    <row r="1" spans="1:79" x14ac:dyDescent="0.2">
      <c r="A1" s="1" t="s">
        <v>8</v>
      </c>
    </row>
    <row r="2" spans="1:79" x14ac:dyDescent="0.2"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23" t="s">
        <v>74</v>
      </c>
      <c r="J2" s="23" t="s">
        <v>75</v>
      </c>
      <c r="K2" s="29" t="s">
        <v>76</v>
      </c>
      <c r="L2" s="29" t="s">
        <v>77</v>
      </c>
      <c r="N2" s="3" t="s">
        <v>9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15</v>
      </c>
      <c r="T2" s="3" t="s">
        <v>14</v>
      </c>
      <c r="U2" s="3" t="s">
        <v>16</v>
      </c>
    </row>
    <row r="3" spans="1:79" x14ac:dyDescent="0.2">
      <c r="B3" s="2" t="s">
        <v>23</v>
      </c>
      <c r="C3" s="4"/>
      <c r="D3" s="4"/>
      <c r="E3" s="4"/>
      <c r="F3" s="4"/>
      <c r="G3" s="4"/>
      <c r="H3" s="4"/>
      <c r="I3" s="4">
        <v>286</v>
      </c>
      <c r="J3" s="4"/>
      <c r="K3" s="4">
        <v>279</v>
      </c>
      <c r="L3" s="4"/>
      <c r="M3" s="4"/>
      <c r="N3" s="4"/>
      <c r="O3" s="4"/>
      <c r="P3" s="4"/>
      <c r="Q3" s="4"/>
      <c r="R3" s="4"/>
      <c r="S3" s="4">
        <v>285</v>
      </c>
      <c r="T3" s="4">
        <v>281</v>
      </c>
      <c r="U3" s="4">
        <v>282</v>
      </c>
    </row>
    <row r="4" spans="1:79" x14ac:dyDescent="0.2">
      <c r="B4" s="2" t="s">
        <v>24</v>
      </c>
      <c r="C4" s="4"/>
      <c r="D4" s="4"/>
      <c r="E4" s="4"/>
      <c r="F4" s="4"/>
      <c r="G4" s="4"/>
      <c r="H4" s="4"/>
      <c r="I4" s="4">
        <v>120</v>
      </c>
      <c r="J4" s="4"/>
      <c r="K4" s="4">
        <v>128</v>
      </c>
      <c r="L4" s="4"/>
      <c r="M4" s="4"/>
      <c r="N4" s="4"/>
      <c r="O4" s="4"/>
      <c r="P4" s="4"/>
      <c r="Q4" s="4"/>
      <c r="R4" s="4"/>
      <c r="S4" s="4">
        <v>106</v>
      </c>
      <c r="T4" s="4">
        <v>116</v>
      </c>
      <c r="U4" s="4">
        <v>123</v>
      </c>
    </row>
    <row r="5" spans="1:79" x14ac:dyDescent="0.2">
      <c r="B5" s="2" t="s">
        <v>25</v>
      </c>
      <c r="C5" s="4"/>
      <c r="D5" s="4"/>
      <c r="E5" s="4"/>
      <c r="F5" s="4"/>
      <c r="G5" s="4"/>
      <c r="H5" s="4"/>
      <c r="I5" s="4">
        <v>66</v>
      </c>
      <c r="J5" s="4"/>
      <c r="K5" s="4">
        <v>67</v>
      </c>
      <c r="L5" s="4"/>
      <c r="M5" s="4"/>
      <c r="N5" s="4"/>
      <c r="O5" s="4"/>
      <c r="P5" s="4"/>
      <c r="Q5" s="4"/>
      <c r="R5" s="4"/>
      <c r="S5" s="4">
        <v>62</v>
      </c>
      <c r="T5" s="4">
        <v>64</v>
      </c>
      <c r="U5" s="4">
        <v>66</v>
      </c>
    </row>
    <row r="6" spans="1:79" x14ac:dyDescent="0.2">
      <c r="B6" s="6" t="s">
        <v>26</v>
      </c>
      <c r="C6" s="7"/>
      <c r="D6" s="7"/>
      <c r="E6" s="7"/>
      <c r="F6" s="7"/>
      <c r="G6" s="7"/>
      <c r="H6" s="7"/>
      <c r="I6" s="7">
        <v>472</v>
      </c>
      <c r="J6" s="7"/>
      <c r="K6" s="7">
        <v>474</v>
      </c>
      <c r="L6" s="7"/>
      <c r="M6" s="7"/>
      <c r="N6" s="7"/>
      <c r="O6" s="7"/>
      <c r="P6" s="7"/>
      <c r="Q6" s="7"/>
      <c r="R6" s="7"/>
      <c r="S6" s="7">
        <v>453</v>
      </c>
      <c r="T6" s="7">
        <v>461</v>
      </c>
      <c r="U6" s="7">
        <f>+SUM(U3:U5)</f>
        <v>471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79" x14ac:dyDescent="0.2">
      <c r="B7" s="2" t="s">
        <v>27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>
        <v>120</v>
      </c>
      <c r="T7" s="4">
        <v>118</v>
      </c>
      <c r="U7" s="4">
        <v>112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79" x14ac:dyDescent="0.2">
      <c r="B8" s="2" t="s">
        <v>28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>
        <v>24</v>
      </c>
      <c r="T8" s="4">
        <v>21</v>
      </c>
      <c r="U8" s="4">
        <v>18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79" x14ac:dyDescent="0.2">
      <c r="B9" s="2" t="s">
        <v>29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>
        <v>67</v>
      </c>
      <c r="T9" s="4">
        <v>64</v>
      </c>
      <c r="U9" s="4">
        <v>65</v>
      </c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</row>
    <row r="10" spans="1:79" x14ac:dyDescent="0.2">
      <c r="B10" s="2" t="s">
        <v>30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>
        <v>211</v>
      </c>
      <c r="T10" s="4">
        <v>203</v>
      </c>
      <c r="U10" s="4">
        <f>+SUM(U7:U9)</f>
        <v>195</v>
      </c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</row>
    <row r="11" spans="1:79" x14ac:dyDescent="0.2"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</row>
    <row r="12" spans="1:79" x14ac:dyDescent="0.2">
      <c r="B12" s="2" t="s">
        <v>17</v>
      </c>
      <c r="C12" s="25"/>
      <c r="D12" s="25"/>
      <c r="E12" s="25">
        <v>541.31899999999996</v>
      </c>
      <c r="F12" s="25">
        <f>+S12-E12</f>
        <v>568.17200000000003</v>
      </c>
      <c r="G12" s="25">
        <v>566.06700000000001</v>
      </c>
      <c r="H12" s="25">
        <f>+T12-G12</f>
        <v>597.65499999999997</v>
      </c>
      <c r="I12" s="25">
        <v>570.40899999999999</v>
      </c>
      <c r="J12" s="25">
        <f t="shared" ref="J12:J18" si="0">+U12-I12</f>
        <v>611.17400000000009</v>
      </c>
      <c r="K12" s="25">
        <v>724.26499999999999</v>
      </c>
      <c r="L12" s="25"/>
      <c r="M12" s="25"/>
      <c r="N12" s="25"/>
      <c r="O12" s="25"/>
      <c r="P12" s="25"/>
      <c r="Q12" s="25"/>
      <c r="R12" s="25"/>
      <c r="S12" s="25">
        <v>1109.491</v>
      </c>
      <c r="T12" s="25">
        <v>1163.722</v>
      </c>
      <c r="U12" s="25">
        <v>1181.5830000000001</v>
      </c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</row>
    <row r="13" spans="1:79" x14ac:dyDescent="0.2">
      <c r="B13" s="2" t="s">
        <v>18</v>
      </c>
      <c r="C13" s="25"/>
      <c r="D13" s="25"/>
      <c r="E13" s="25">
        <v>206.95099999999999</v>
      </c>
      <c r="F13" s="25">
        <f t="shared" ref="F13:F17" si="1">+S13-E13</f>
        <v>171.45900000000003</v>
      </c>
      <c r="G13" s="25">
        <v>166.721</v>
      </c>
      <c r="H13" s="25">
        <f t="shared" ref="H13:H30" si="2">+T13-G13</f>
        <v>147.99099999999999</v>
      </c>
      <c r="I13" s="25">
        <v>129.154</v>
      </c>
      <c r="J13" s="25">
        <f t="shared" si="0"/>
        <v>139.315</v>
      </c>
      <c r="K13" s="32">
        <v>123.10599999999999</v>
      </c>
      <c r="L13" s="25"/>
      <c r="M13" s="25"/>
      <c r="N13" s="25"/>
      <c r="O13" s="25"/>
      <c r="P13" s="25"/>
      <c r="Q13" s="25"/>
      <c r="R13" s="25"/>
      <c r="S13" s="25">
        <v>378.41</v>
      </c>
      <c r="T13" s="25">
        <v>314.71199999999999</v>
      </c>
      <c r="U13" s="25">
        <v>268.46899999999999</v>
      </c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</row>
    <row r="14" spans="1:79" x14ac:dyDescent="0.2">
      <c r="B14" s="2" t="s">
        <v>19</v>
      </c>
      <c r="C14" s="25"/>
      <c r="D14" s="25"/>
      <c r="E14" s="25">
        <v>64.015000000000001</v>
      </c>
      <c r="F14" s="25">
        <f t="shared" si="1"/>
        <v>171.51600000000002</v>
      </c>
      <c r="G14" s="25">
        <v>148.49299999999999</v>
      </c>
      <c r="H14" s="25">
        <f t="shared" si="2"/>
        <v>166.02100000000002</v>
      </c>
      <c r="I14" s="25">
        <v>152.715</v>
      </c>
      <c r="J14" s="25">
        <f t="shared" si="0"/>
        <v>164.34099999999998</v>
      </c>
      <c r="K14" s="25">
        <v>156.81700000000001</v>
      </c>
      <c r="L14" s="25"/>
      <c r="M14" s="25"/>
      <c r="N14" s="25"/>
      <c r="O14" s="25"/>
      <c r="P14" s="25"/>
      <c r="Q14" s="25"/>
      <c r="R14" s="25"/>
      <c r="S14" s="25">
        <v>235.53100000000001</v>
      </c>
      <c r="T14" s="25">
        <v>314.51400000000001</v>
      </c>
      <c r="U14" s="25">
        <v>317.05599999999998</v>
      </c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</row>
    <row r="15" spans="1:79" x14ac:dyDescent="0.2">
      <c r="B15" s="2" t="s">
        <v>21</v>
      </c>
      <c r="C15" s="25"/>
      <c r="D15" s="25"/>
      <c r="E15" s="25">
        <v>73.072000000000003</v>
      </c>
      <c r="F15" s="25">
        <f t="shared" si="1"/>
        <v>77.913999999999987</v>
      </c>
      <c r="G15" s="25">
        <v>71.835999999999999</v>
      </c>
      <c r="H15" s="25">
        <f t="shared" si="2"/>
        <v>66.316999999999993</v>
      </c>
      <c r="I15" s="25">
        <v>67.061000000000007</v>
      </c>
      <c r="J15" s="25">
        <f t="shared" si="0"/>
        <v>67.168000000000006</v>
      </c>
      <c r="K15" s="25">
        <v>67.012</v>
      </c>
      <c r="L15" s="25"/>
      <c r="M15" s="25"/>
      <c r="N15" s="25"/>
      <c r="O15" s="25"/>
      <c r="P15" s="25"/>
      <c r="Q15" s="25"/>
      <c r="R15" s="25"/>
      <c r="S15" s="25">
        <v>150.98599999999999</v>
      </c>
      <c r="T15" s="25">
        <v>138.15299999999999</v>
      </c>
      <c r="U15" s="25">
        <v>134.22900000000001</v>
      </c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</row>
    <row r="16" spans="1:79" x14ac:dyDescent="0.2">
      <c r="B16" s="2" t="s">
        <v>22</v>
      </c>
      <c r="C16" s="25"/>
      <c r="D16" s="25"/>
      <c r="E16" s="25">
        <v>17.702000000000002</v>
      </c>
      <c r="F16" s="25">
        <f t="shared" si="1"/>
        <v>12.428999999999998</v>
      </c>
      <c r="G16" s="25">
        <v>7.0049999999999999</v>
      </c>
      <c r="H16" s="25">
        <f t="shared" si="2"/>
        <v>8.5410000000000004</v>
      </c>
      <c r="I16" s="25">
        <v>8.3510000000000009</v>
      </c>
      <c r="J16" s="25">
        <f t="shared" si="0"/>
        <v>7.2589999999999986</v>
      </c>
      <c r="K16" s="25">
        <v>5.782</v>
      </c>
      <c r="L16" s="25"/>
      <c r="M16" s="25"/>
      <c r="N16" s="25"/>
      <c r="O16" s="25"/>
      <c r="P16" s="25"/>
      <c r="Q16" s="25"/>
      <c r="R16" s="25"/>
      <c r="S16" s="25">
        <v>30.131</v>
      </c>
      <c r="T16" s="25">
        <v>15.545999999999999</v>
      </c>
      <c r="U16" s="25">
        <v>15.61</v>
      </c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</row>
    <row r="17" spans="2:79" x14ac:dyDescent="0.2">
      <c r="B17" s="6" t="s">
        <v>20</v>
      </c>
      <c r="C17" s="26"/>
      <c r="D17" s="26"/>
      <c r="E17" s="26">
        <v>903.05899999999997</v>
      </c>
      <c r="F17" s="26">
        <f t="shared" si="1"/>
        <v>1001.4900000000002</v>
      </c>
      <c r="G17" s="26">
        <v>960.11199999999997</v>
      </c>
      <c r="H17" s="26">
        <f t="shared" si="2"/>
        <v>986.53499999999997</v>
      </c>
      <c r="I17" s="26">
        <v>927.69</v>
      </c>
      <c r="J17" s="26">
        <f t="shared" si="0"/>
        <v>989.25699999999983</v>
      </c>
      <c r="K17" s="26">
        <v>987.29</v>
      </c>
      <c r="L17" s="26"/>
      <c r="M17" s="25"/>
      <c r="N17" s="26">
        <f t="shared" ref="N17:S17" si="3">+SUM(N12:N16)</f>
        <v>0</v>
      </c>
      <c r="O17" s="26">
        <f t="shared" si="3"/>
        <v>0</v>
      </c>
      <c r="P17" s="26">
        <f t="shared" si="3"/>
        <v>0</v>
      </c>
      <c r="Q17" s="26">
        <f t="shared" si="3"/>
        <v>0</v>
      </c>
      <c r="R17" s="26">
        <f t="shared" si="3"/>
        <v>0</v>
      </c>
      <c r="S17" s="26">
        <f t="shared" si="3"/>
        <v>1904.5490000000002</v>
      </c>
      <c r="T17" s="26">
        <f>+SUM(T12:T16)</f>
        <v>1946.6469999999999</v>
      </c>
      <c r="U17" s="26">
        <v>1916.9469999999999</v>
      </c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</row>
    <row r="18" spans="2:79" x14ac:dyDescent="0.2">
      <c r="B18" s="2" t="s">
        <v>48</v>
      </c>
      <c r="C18" s="25"/>
      <c r="D18" s="25"/>
      <c r="E18" s="25">
        <v>323.22800000000001</v>
      </c>
      <c r="F18" s="25"/>
      <c r="G18" s="25">
        <v>322.678</v>
      </c>
      <c r="H18" s="25">
        <f t="shared" si="2"/>
        <v>327.40899999999999</v>
      </c>
      <c r="I18" s="25">
        <v>301.65800000000002</v>
      </c>
      <c r="J18" s="25">
        <f t="shared" si="0"/>
        <v>321.25199999999995</v>
      </c>
      <c r="K18" s="25">
        <v>319.47500000000002</v>
      </c>
      <c r="L18" s="25"/>
      <c r="M18" s="25"/>
      <c r="N18" s="25"/>
      <c r="O18" s="25"/>
      <c r="P18" s="25"/>
      <c r="Q18" s="25"/>
      <c r="R18" s="25"/>
      <c r="S18" s="25"/>
      <c r="T18" s="28">
        <v>650.08699999999999</v>
      </c>
      <c r="U18" s="25">
        <v>622.91</v>
      </c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</row>
    <row r="19" spans="2:79" x14ac:dyDescent="0.2">
      <c r="B19" s="2" t="s">
        <v>49</v>
      </c>
      <c r="C19" s="25">
        <f t="shared" ref="C19:F19" si="4">+C17-C18</f>
        <v>0</v>
      </c>
      <c r="D19" s="25">
        <f t="shared" si="4"/>
        <v>0</v>
      </c>
      <c r="E19" s="25">
        <f t="shared" si="4"/>
        <v>579.8309999999999</v>
      </c>
      <c r="F19" s="25">
        <f t="shared" si="4"/>
        <v>1001.4900000000002</v>
      </c>
      <c r="G19" s="25">
        <f>+G17-G18</f>
        <v>637.43399999999997</v>
      </c>
      <c r="H19" s="25">
        <f t="shared" ref="H19:K19" si="5">+H17-H18</f>
        <v>659.12599999999998</v>
      </c>
      <c r="I19" s="25">
        <f t="shared" si="5"/>
        <v>626.03200000000004</v>
      </c>
      <c r="J19" s="25">
        <f t="shared" si="5"/>
        <v>668.00499999999988</v>
      </c>
      <c r="K19" s="25">
        <f t="shared" si="5"/>
        <v>667.81499999999994</v>
      </c>
      <c r="L19" s="25"/>
      <c r="M19" s="25"/>
      <c r="N19" s="25"/>
      <c r="O19" s="25"/>
      <c r="P19" s="25"/>
      <c r="Q19" s="25"/>
      <c r="R19" s="25">
        <f t="shared" ref="R19:T19" si="6">+R17-R18</f>
        <v>0</v>
      </c>
      <c r="S19" s="25">
        <f t="shared" si="6"/>
        <v>1904.5490000000002</v>
      </c>
      <c r="T19" s="25">
        <f t="shared" si="6"/>
        <v>1296.56</v>
      </c>
      <c r="U19" s="25">
        <f>+U17-U18</f>
        <v>1294.0369999999998</v>
      </c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</row>
    <row r="20" spans="2:79" x14ac:dyDescent="0.2">
      <c r="B20" s="2" t="s">
        <v>50</v>
      </c>
      <c r="C20" s="25"/>
      <c r="D20" s="25"/>
      <c r="E20" s="25">
        <v>415.79199999999997</v>
      </c>
      <c r="F20" s="25"/>
      <c r="G20" s="25">
        <v>497.61200000000002</v>
      </c>
      <c r="H20" s="25">
        <f t="shared" si="2"/>
        <v>510.71199999999993</v>
      </c>
      <c r="I20" s="25">
        <v>501.80399999999997</v>
      </c>
      <c r="J20" s="25">
        <f>+U20-I20</f>
        <v>532.06700000000012</v>
      </c>
      <c r="K20" s="25">
        <v>531.07100000000003</v>
      </c>
      <c r="L20" s="25"/>
      <c r="M20" s="25"/>
      <c r="N20" s="25"/>
      <c r="O20" s="25"/>
      <c r="P20" s="25"/>
      <c r="Q20" s="25"/>
      <c r="R20" s="25"/>
      <c r="S20" s="25"/>
      <c r="T20" s="25">
        <v>1008.324</v>
      </c>
      <c r="U20" s="25">
        <v>1033.8710000000001</v>
      </c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2:79" x14ac:dyDescent="0.2">
      <c r="B21" s="2" t="s">
        <v>51</v>
      </c>
      <c r="C21" s="25"/>
      <c r="D21" s="25"/>
      <c r="E21" s="25">
        <v>47.53</v>
      </c>
      <c r="F21" s="25"/>
      <c r="G21" s="25">
        <v>66.751000000000005</v>
      </c>
      <c r="H21" s="25">
        <f t="shared" si="2"/>
        <v>54.632999999999996</v>
      </c>
      <c r="I21" s="25">
        <v>62.881999999999998</v>
      </c>
      <c r="J21" s="25">
        <f>+U21-I21</f>
        <v>57.804000000000009</v>
      </c>
      <c r="K21" s="25">
        <v>68.204999999999998</v>
      </c>
      <c r="L21" s="25"/>
      <c r="M21" s="25"/>
      <c r="N21" s="25"/>
      <c r="O21" s="25"/>
      <c r="P21" s="25"/>
      <c r="Q21" s="25"/>
      <c r="R21" s="25"/>
      <c r="S21" s="25"/>
      <c r="T21" s="25">
        <v>121.384</v>
      </c>
      <c r="U21" s="25">
        <v>120.68600000000001</v>
      </c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</row>
    <row r="22" spans="2:79" x14ac:dyDescent="0.2">
      <c r="B22" s="2" t="s">
        <v>52</v>
      </c>
      <c r="C22" s="25">
        <f t="shared" ref="C22:F22" si="7">+C19-C20-C21</f>
        <v>0</v>
      </c>
      <c r="D22" s="25">
        <f t="shared" si="7"/>
        <v>0</v>
      </c>
      <c r="E22" s="25">
        <f t="shared" si="7"/>
        <v>116.50899999999993</v>
      </c>
      <c r="F22" s="25">
        <f t="shared" si="7"/>
        <v>1001.4900000000002</v>
      </c>
      <c r="G22" s="25">
        <f>+G19-G20-G21</f>
        <v>73.070999999999941</v>
      </c>
      <c r="H22" s="25">
        <f t="shared" ref="H22:K22" si="8">+H19-H20-H21</f>
        <v>93.781000000000049</v>
      </c>
      <c r="I22" s="25">
        <f t="shared" si="8"/>
        <v>61.346000000000068</v>
      </c>
      <c r="J22" s="25">
        <f t="shared" si="8"/>
        <v>78.133999999999759</v>
      </c>
      <c r="K22" s="25">
        <f t="shared" si="8"/>
        <v>68.538999999999916</v>
      </c>
      <c r="L22" s="25"/>
      <c r="M22" s="25"/>
      <c r="N22" s="25"/>
      <c r="O22" s="25"/>
      <c r="P22" s="25"/>
      <c r="Q22" s="25"/>
      <c r="R22" s="25"/>
      <c r="S22" s="25">
        <f>+S19-S20-S21</f>
        <v>1904.5490000000002</v>
      </c>
      <c r="T22" s="25">
        <f>+T19-T20-T21</f>
        <v>166.85199999999998</v>
      </c>
      <c r="U22" s="25">
        <f>+U19-U20-U21</f>
        <v>139.47999999999971</v>
      </c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</row>
    <row r="23" spans="2:79" x14ac:dyDescent="0.2">
      <c r="B23" s="2" t="s">
        <v>53</v>
      </c>
      <c r="C23" s="25"/>
      <c r="D23" s="25"/>
      <c r="E23" s="25">
        <v>15.601000000000001</v>
      </c>
      <c r="F23" s="25"/>
      <c r="G23" s="25">
        <v>12.106</v>
      </c>
      <c r="H23" s="25">
        <f t="shared" si="2"/>
        <v>13.921999999999999</v>
      </c>
      <c r="I23" s="25">
        <v>21.207000000000001</v>
      </c>
      <c r="J23" s="25">
        <f>+U23-I23</f>
        <v>20.302</v>
      </c>
      <c r="K23" s="25">
        <v>9.3729999999999993</v>
      </c>
      <c r="L23" s="25"/>
      <c r="M23" s="25"/>
      <c r="N23" s="25"/>
      <c r="O23" s="25"/>
      <c r="P23" s="25"/>
      <c r="Q23" s="25"/>
      <c r="R23" s="25"/>
      <c r="S23" s="25"/>
      <c r="T23" s="25">
        <v>26.027999999999999</v>
      </c>
      <c r="U23" s="25">
        <v>41.509</v>
      </c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</row>
    <row r="24" spans="2:79" x14ac:dyDescent="0.2">
      <c r="B24" s="2" t="s">
        <v>54</v>
      </c>
      <c r="C24" s="25"/>
      <c r="D24" s="25"/>
      <c r="E24" s="25">
        <v>44.591999999999999</v>
      </c>
      <c r="F24" s="25"/>
      <c r="G24" s="25">
        <v>29.266999999999999</v>
      </c>
      <c r="H24" s="25">
        <f t="shared" si="2"/>
        <v>22.727999999999998</v>
      </c>
      <c r="I24" s="25">
        <v>25.408000000000001</v>
      </c>
      <c r="J24" s="25">
        <f>+U24-I24</f>
        <v>25.062999999999995</v>
      </c>
      <c r="K24" s="25">
        <v>28.989000000000001</v>
      </c>
      <c r="L24" s="25"/>
      <c r="M24" s="25"/>
      <c r="N24" s="25"/>
      <c r="O24" s="25"/>
      <c r="P24" s="25"/>
      <c r="Q24" s="25"/>
      <c r="R24" s="25"/>
      <c r="S24" s="25"/>
      <c r="T24" s="25">
        <v>51.994999999999997</v>
      </c>
      <c r="U24" s="25">
        <v>50.470999999999997</v>
      </c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</row>
    <row r="25" spans="2:79" x14ac:dyDescent="0.2">
      <c r="B25" s="2" t="s">
        <v>55</v>
      </c>
      <c r="C25" s="25"/>
      <c r="D25" s="25"/>
      <c r="E25" s="25">
        <v>7.0030000000000001</v>
      </c>
      <c r="F25" s="25"/>
      <c r="G25" s="25">
        <v>7.6840000000000002</v>
      </c>
      <c r="H25" s="25">
        <f t="shared" si="2"/>
        <v>3.653999999999999</v>
      </c>
      <c r="I25" s="25">
        <v>-10.214</v>
      </c>
      <c r="J25" s="25">
        <f>+U25-I25</f>
        <v>1.2140000000000004</v>
      </c>
      <c r="K25" s="25">
        <v>3.0819999999999999</v>
      </c>
      <c r="L25" s="25"/>
      <c r="M25" s="25"/>
      <c r="N25" s="25"/>
      <c r="O25" s="25"/>
      <c r="P25" s="25"/>
      <c r="Q25" s="25"/>
      <c r="R25" s="25"/>
      <c r="S25" s="25"/>
      <c r="T25" s="25">
        <v>11.337999999999999</v>
      </c>
      <c r="U25" s="25">
        <v>-9</v>
      </c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</row>
    <row r="26" spans="2:79" x14ac:dyDescent="0.2">
      <c r="B26" s="2" t="s">
        <v>56</v>
      </c>
      <c r="C26" s="25"/>
      <c r="D26" s="25"/>
      <c r="E26" s="25">
        <v>-2.2370000000000001</v>
      </c>
      <c r="F26" s="25"/>
      <c r="G26" s="25">
        <v>0.314</v>
      </c>
      <c r="H26" s="25">
        <f t="shared" si="2"/>
        <v>0.74699999999999989</v>
      </c>
      <c r="I26" s="25">
        <v>0.65900000000000003</v>
      </c>
      <c r="J26" s="25">
        <f>+U26-I26</f>
        <v>-0.13500000000000001</v>
      </c>
      <c r="K26" s="25">
        <v>0.64400000000000002</v>
      </c>
      <c r="L26" s="25"/>
      <c r="M26" s="25"/>
      <c r="N26" s="25"/>
      <c r="O26" s="25"/>
      <c r="P26" s="25"/>
      <c r="Q26" s="25"/>
      <c r="R26" s="25"/>
      <c r="S26" s="25"/>
      <c r="T26" s="25">
        <v>1.0609999999999999</v>
      </c>
      <c r="U26" s="25">
        <v>0.52400000000000002</v>
      </c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</row>
    <row r="27" spans="2:79" x14ac:dyDescent="0.2">
      <c r="B27" s="2" t="s">
        <v>57</v>
      </c>
      <c r="C27" s="25">
        <f t="shared" ref="C27:F27" si="9">+C22+C23-C24-C25+C26</f>
        <v>0</v>
      </c>
      <c r="D27" s="25">
        <f t="shared" si="9"/>
        <v>0</v>
      </c>
      <c r="E27" s="25">
        <f t="shared" si="9"/>
        <v>78.277999999999935</v>
      </c>
      <c r="F27" s="25">
        <f t="shared" si="9"/>
        <v>1001.4900000000002</v>
      </c>
      <c r="G27" s="25">
        <f>+G22+G23-G24-G25+G26</f>
        <v>48.539999999999942</v>
      </c>
      <c r="H27" s="25">
        <f t="shared" ref="H27:K27" si="10">+H22+H23-H24-H25+H26</f>
        <v>82.068000000000055</v>
      </c>
      <c r="I27" s="25">
        <f t="shared" si="10"/>
        <v>68.018000000000072</v>
      </c>
      <c r="J27" s="25">
        <f t="shared" si="10"/>
        <v>72.023999999999759</v>
      </c>
      <c r="K27" s="25">
        <f t="shared" si="10"/>
        <v>46.484999999999914</v>
      </c>
      <c r="L27" s="25"/>
      <c r="M27" s="25"/>
      <c r="N27" s="25">
        <f t="shared" ref="N27:U27" si="11">+N22+N23-N24-N25+N26</f>
        <v>0</v>
      </c>
      <c r="O27" s="25">
        <f t="shared" si="11"/>
        <v>0</v>
      </c>
      <c r="P27" s="25">
        <f t="shared" si="11"/>
        <v>0</v>
      </c>
      <c r="Q27" s="25">
        <f t="shared" si="11"/>
        <v>0</v>
      </c>
      <c r="R27" s="25">
        <f t="shared" si="11"/>
        <v>0</v>
      </c>
      <c r="S27" s="25">
        <f t="shared" si="11"/>
        <v>1904.5490000000002</v>
      </c>
      <c r="T27" s="25">
        <f t="shared" si="11"/>
        <v>130.60799999999998</v>
      </c>
      <c r="U27" s="25">
        <f t="shared" si="11"/>
        <v>140.04199999999969</v>
      </c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</row>
    <row r="28" spans="2:79" x14ac:dyDescent="0.2">
      <c r="B28" s="2" t="s">
        <v>58</v>
      </c>
      <c r="C28" s="25"/>
      <c r="D28" s="25"/>
      <c r="E28" s="25">
        <v>26.161999999999999</v>
      </c>
      <c r="F28" s="25"/>
      <c r="G28" s="25">
        <v>17.218</v>
      </c>
      <c r="H28" s="25">
        <f t="shared" si="2"/>
        <v>22.529</v>
      </c>
      <c r="I28" s="25">
        <v>20.116</v>
      </c>
      <c r="J28" s="25">
        <f>+U28-I28</f>
        <v>10.439</v>
      </c>
      <c r="K28" s="25">
        <v>18.052</v>
      </c>
      <c r="L28" s="25"/>
      <c r="M28" s="25"/>
      <c r="N28" s="25"/>
      <c r="O28" s="25"/>
      <c r="P28" s="25"/>
      <c r="Q28" s="25"/>
      <c r="R28" s="25"/>
      <c r="S28" s="25"/>
      <c r="T28" s="25">
        <v>39.747</v>
      </c>
      <c r="U28" s="25">
        <v>30.555</v>
      </c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</row>
    <row r="29" spans="2:79" x14ac:dyDescent="0.2">
      <c r="B29" s="2" t="s">
        <v>59</v>
      </c>
      <c r="C29" s="25">
        <f t="shared" ref="C29:F29" si="12">+C27-C28</f>
        <v>0</v>
      </c>
      <c r="D29" s="25">
        <f t="shared" si="12"/>
        <v>0</v>
      </c>
      <c r="E29" s="25">
        <f t="shared" si="12"/>
        <v>52.115999999999936</v>
      </c>
      <c r="F29" s="25">
        <f t="shared" si="12"/>
        <v>1001.4900000000002</v>
      </c>
      <c r="G29" s="25">
        <f>+G27-G28</f>
        <v>31.321999999999942</v>
      </c>
      <c r="H29" s="25">
        <f t="shared" ref="H29:K29" si="13">+H27-H28</f>
        <v>59.539000000000058</v>
      </c>
      <c r="I29" s="25">
        <f t="shared" si="13"/>
        <v>47.902000000000072</v>
      </c>
      <c r="J29" s="25">
        <f t="shared" si="13"/>
        <v>61.584999999999759</v>
      </c>
      <c r="K29" s="25">
        <f t="shared" si="13"/>
        <v>28.432999999999915</v>
      </c>
      <c r="L29" s="25"/>
      <c r="M29" s="25"/>
      <c r="N29" s="25"/>
      <c r="O29" s="25"/>
      <c r="P29" s="25"/>
      <c r="Q29" s="25"/>
      <c r="R29" s="25"/>
      <c r="S29" s="25">
        <f>+S27-S28</f>
        <v>1904.5490000000002</v>
      </c>
      <c r="T29" s="25">
        <f>+T27-T28</f>
        <v>90.860999999999976</v>
      </c>
      <c r="U29" s="25">
        <f>+U27-U28</f>
        <v>109.48699999999968</v>
      </c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</row>
    <row r="30" spans="2:79" x14ac:dyDescent="0.2">
      <c r="B30" s="2" t="s">
        <v>60</v>
      </c>
      <c r="C30" s="25"/>
      <c r="D30" s="25"/>
      <c r="E30" s="25">
        <v>6.149</v>
      </c>
      <c r="F30" s="25"/>
      <c r="G30" s="25">
        <v>6.2469999999999999</v>
      </c>
      <c r="H30" s="25">
        <f t="shared" si="2"/>
        <v>7.5310000000000006</v>
      </c>
      <c r="I30" s="25">
        <v>4.819</v>
      </c>
      <c r="J30" s="25">
        <f>+U30-I30</f>
        <v>6.0859999999999994</v>
      </c>
      <c r="K30" s="25">
        <v>5.2709999999999999</v>
      </c>
      <c r="L30" s="25"/>
      <c r="M30" s="25"/>
      <c r="N30" s="25"/>
      <c r="O30" s="25"/>
      <c r="P30" s="25"/>
      <c r="Q30" s="25"/>
      <c r="R30" s="25"/>
      <c r="S30" s="25"/>
      <c r="T30" s="25">
        <v>13.778</v>
      </c>
      <c r="U30" s="25">
        <v>10.904999999999999</v>
      </c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</row>
    <row r="31" spans="2:79" x14ac:dyDescent="0.2">
      <c r="B31" s="2" t="s">
        <v>61</v>
      </c>
      <c r="C31" s="25">
        <f t="shared" ref="C31:F31" si="14">+C29-C30</f>
        <v>0</v>
      </c>
      <c r="D31" s="25">
        <f t="shared" si="14"/>
        <v>0</v>
      </c>
      <c r="E31" s="25">
        <f t="shared" si="14"/>
        <v>45.966999999999935</v>
      </c>
      <c r="F31" s="25">
        <f t="shared" si="14"/>
        <v>1001.4900000000002</v>
      </c>
      <c r="G31" s="25">
        <f>+G29-G30</f>
        <v>25.074999999999942</v>
      </c>
      <c r="H31" s="25">
        <f t="shared" ref="H31:K31" si="15">+H29-H30</f>
        <v>52.00800000000006</v>
      </c>
      <c r="I31" s="25">
        <f t="shared" si="15"/>
        <v>43.083000000000069</v>
      </c>
      <c r="J31" s="25">
        <f t="shared" si="15"/>
        <v>55.498999999999761</v>
      </c>
      <c r="K31" s="25">
        <f t="shared" si="15"/>
        <v>23.161999999999914</v>
      </c>
      <c r="L31" s="25"/>
      <c r="M31" s="25"/>
      <c r="N31" s="25"/>
      <c r="O31" s="25"/>
      <c r="P31" s="25"/>
      <c r="Q31" s="28">
        <f t="shared" ref="Q31:T31" si="16">+Q29-Q30</f>
        <v>0</v>
      </c>
      <c r="R31" s="28">
        <f t="shared" si="16"/>
        <v>0</v>
      </c>
      <c r="S31" s="28">
        <f t="shared" si="16"/>
        <v>1904.5490000000002</v>
      </c>
      <c r="T31" s="28">
        <f t="shared" si="16"/>
        <v>77.08299999999997</v>
      </c>
      <c r="U31" s="28">
        <f>+U29-U30</f>
        <v>98.581999999999681</v>
      </c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</row>
    <row r="32" spans="2:79" x14ac:dyDescent="0.2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2:51" x14ac:dyDescent="0.2">
      <c r="B33" s="2" t="s">
        <v>71</v>
      </c>
      <c r="C33" s="24" t="e">
        <f t="shared" ref="C33:H33" si="17">+C31/C34</f>
        <v>#DIV/0!</v>
      </c>
      <c r="D33" s="24" t="e">
        <f t="shared" si="17"/>
        <v>#DIV/0!</v>
      </c>
      <c r="E33" s="24" t="e">
        <f t="shared" si="17"/>
        <v>#DIV/0!</v>
      </c>
      <c r="F33" s="24" t="e">
        <f t="shared" si="17"/>
        <v>#DIV/0!</v>
      </c>
      <c r="G33" s="24">
        <f t="shared" si="17"/>
        <v>0.10004765739736834</v>
      </c>
      <c r="H33" s="24">
        <f t="shared" si="17"/>
        <v>0.20750861678653443</v>
      </c>
      <c r="I33" s="24">
        <f>+I31/I34</f>
        <v>0.1702725265478004</v>
      </c>
      <c r="J33" s="24">
        <f>+J31/J34</f>
        <v>0.21934301118483665</v>
      </c>
      <c r="K33" s="24">
        <f>+K31/K34</f>
        <v>9.1540799384911262E-2</v>
      </c>
      <c r="L33" s="24"/>
      <c r="M33" s="5"/>
      <c r="N33" s="5"/>
      <c r="O33" s="5"/>
      <c r="P33" s="5"/>
      <c r="Q33" s="5"/>
      <c r="R33" s="5"/>
      <c r="S33" s="5"/>
      <c r="T33" s="5">
        <f>+T31/T34</f>
        <v>0.30755627418390263</v>
      </c>
      <c r="U33" s="5">
        <f>+U31/U34</f>
        <v>0.38961553773263646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2:51" x14ac:dyDescent="0.2">
      <c r="B34" s="2" t="s">
        <v>3</v>
      </c>
      <c r="C34" s="5"/>
      <c r="D34" s="5"/>
      <c r="E34" s="5"/>
      <c r="F34" s="5"/>
      <c r="G34" s="5">
        <v>250.63055600000001</v>
      </c>
      <c r="H34" s="5">
        <v>250.63055600000001</v>
      </c>
      <c r="I34" s="5">
        <v>253.02378999999999</v>
      </c>
      <c r="J34" s="5">
        <v>253.02378999999999</v>
      </c>
      <c r="K34" s="5">
        <v>253.02378999999999</v>
      </c>
      <c r="L34" s="5"/>
      <c r="M34" s="5"/>
      <c r="N34" s="5"/>
      <c r="O34" s="5"/>
      <c r="P34" s="5"/>
      <c r="Q34" s="5"/>
      <c r="R34" s="5"/>
      <c r="S34" s="5"/>
      <c r="T34" s="5">
        <v>250.63055600000001</v>
      </c>
      <c r="U34" s="5">
        <v>253.02378999999999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2:51" x14ac:dyDescent="0.2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2:51" x14ac:dyDescent="0.2">
      <c r="B36" s="2" t="s">
        <v>62</v>
      </c>
      <c r="C36" s="5"/>
      <c r="D36" s="5"/>
      <c r="E36" s="5"/>
      <c r="F36" s="5"/>
      <c r="G36" s="9">
        <f>+G12/E12-1</f>
        <v>4.5717959280941578E-2</v>
      </c>
      <c r="H36" s="9">
        <f t="shared" ref="H36:K41" si="18">+H12/F12-1</f>
        <v>5.1890976676076894E-2</v>
      </c>
      <c r="I36" s="9">
        <f t="shared" si="18"/>
        <v>7.6704701033623035E-3</v>
      </c>
      <c r="J36" s="9">
        <f t="shared" si="18"/>
        <v>2.2620073453748502E-2</v>
      </c>
      <c r="K36" s="9">
        <f t="shared" si="18"/>
        <v>0.26972926444007728</v>
      </c>
      <c r="L36" s="9"/>
      <c r="M36" s="5"/>
      <c r="N36" s="5"/>
      <c r="O36" s="9" t="e">
        <f t="shared" ref="O36:P36" si="19">+O12/N12-1</f>
        <v>#DIV/0!</v>
      </c>
      <c r="P36" s="9" t="e">
        <f t="shared" si="19"/>
        <v>#DIV/0!</v>
      </c>
      <c r="Q36" s="9" t="e">
        <f t="shared" ref="Q36:R36" si="20">+Q12/P12-1</f>
        <v>#DIV/0!</v>
      </c>
      <c r="R36" s="9" t="e">
        <f t="shared" si="20"/>
        <v>#DIV/0!</v>
      </c>
      <c r="S36" s="9" t="e">
        <f t="shared" ref="S36:U40" si="21">+S12/R12-1</f>
        <v>#DIV/0!</v>
      </c>
      <c r="T36" s="9">
        <f t="shared" si="21"/>
        <v>4.8879170718825193E-2</v>
      </c>
      <c r="U36" s="9">
        <f t="shared" si="21"/>
        <v>1.5348167345809571E-2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2:51" x14ac:dyDescent="0.2">
      <c r="B37" s="2" t="s">
        <v>63</v>
      </c>
      <c r="C37" s="5"/>
      <c r="D37" s="5"/>
      <c r="E37" s="5"/>
      <c r="F37" s="5"/>
      <c r="G37" s="9">
        <f t="shared" ref="G37:G41" si="22">+G13/E13-1</f>
        <v>-0.19439384202057486</v>
      </c>
      <c r="H37" s="9">
        <f t="shared" si="18"/>
        <v>-0.13687237182066869</v>
      </c>
      <c r="I37" s="9">
        <f t="shared" si="18"/>
        <v>-0.22532854289501625</v>
      </c>
      <c r="J37" s="9">
        <f t="shared" si="18"/>
        <v>-5.8625186666756646E-2</v>
      </c>
      <c r="K37" s="9">
        <f t="shared" si="18"/>
        <v>-4.6827817953760675E-2</v>
      </c>
      <c r="L37" s="9"/>
      <c r="M37" s="5"/>
      <c r="N37" s="5"/>
      <c r="O37" s="9" t="e">
        <f t="shared" ref="O37:P37" si="23">+O13/N13-1</f>
        <v>#DIV/0!</v>
      </c>
      <c r="P37" s="9" t="e">
        <f t="shared" si="23"/>
        <v>#DIV/0!</v>
      </c>
      <c r="Q37" s="9" t="e">
        <f t="shared" ref="Q37:R37" si="24">+Q13/P13-1</f>
        <v>#DIV/0!</v>
      </c>
      <c r="R37" s="9" t="e">
        <f t="shared" si="24"/>
        <v>#DIV/0!</v>
      </c>
      <c r="S37" s="9" t="e">
        <f t="shared" si="21"/>
        <v>#DIV/0!</v>
      </c>
      <c r="T37" s="9">
        <f t="shared" si="21"/>
        <v>-0.16833064665310127</v>
      </c>
      <c r="U37" s="9">
        <f t="shared" si="21"/>
        <v>-0.1469375174762958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2:51" x14ac:dyDescent="0.2">
      <c r="B38" s="2" t="s">
        <v>64</v>
      </c>
      <c r="C38" s="5"/>
      <c r="D38" s="5"/>
      <c r="E38" s="5"/>
      <c r="F38" s="5"/>
      <c r="G38" s="9">
        <f t="shared" si="22"/>
        <v>1.3196594548152776</v>
      </c>
      <c r="H38" s="9">
        <f t="shared" si="18"/>
        <v>-3.2037827374705619E-2</v>
      </c>
      <c r="I38" s="9">
        <f t="shared" si="18"/>
        <v>2.8432316674860125E-2</v>
      </c>
      <c r="J38" s="9">
        <f t="shared" si="18"/>
        <v>-1.0119201787725851E-2</v>
      </c>
      <c r="K38" s="9">
        <f t="shared" si="18"/>
        <v>2.6860491765707373E-2</v>
      </c>
      <c r="L38" s="9"/>
      <c r="M38" s="5"/>
      <c r="N38" s="5"/>
      <c r="O38" s="9" t="e">
        <f t="shared" ref="O38:P38" si="25">+O14/N14-1</f>
        <v>#DIV/0!</v>
      </c>
      <c r="P38" s="9" t="e">
        <f t="shared" si="25"/>
        <v>#DIV/0!</v>
      </c>
      <c r="Q38" s="9" t="e">
        <f t="shared" ref="Q38:R38" si="26">+Q14/P14-1</f>
        <v>#DIV/0!</v>
      </c>
      <c r="R38" s="9" t="e">
        <f t="shared" si="26"/>
        <v>#DIV/0!</v>
      </c>
      <c r="S38" s="9" t="e">
        <f t="shared" si="21"/>
        <v>#DIV/0!</v>
      </c>
      <c r="T38" s="9">
        <f t="shared" si="21"/>
        <v>0.33534014630770481</v>
      </c>
      <c r="U38" s="9">
        <f t="shared" si="21"/>
        <v>8.0823111212855459E-3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2:51" x14ac:dyDescent="0.2">
      <c r="B39" s="2" t="s">
        <v>65</v>
      </c>
      <c r="C39" s="5"/>
      <c r="D39" s="5"/>
      <c r="E39" s="5"/>
      <c r="F39" s="5"/>
      <c r="G39" s="9">
        <f t="shared" si="22"/>
        <v>-1.69148237354938E-2</v>
      </c>
      <c r="H39" s="9">
        <f t="shared" si="18"/>
        <v>-0.14884359678620007</v>
      </c>
      <c r="I39" s="9">
        <f t="shared" si="18"/>
        <v>-6.6470850270059501E-2</v>
      </c>
      <c r="J39" s="9">
        <f t="shared" si="18"/>
        <v>1.2832305442043612E-2</v>
      </c>
      <c r="K39" s="9">
        <f t="shared" si="18"/>
        <v>-7.3067803939708131E-4</v>
      </c>
      <c r="L39" s="9"/>
      <c r="M39" s="5"/>
      <c r="N39" s="5"/>
      <c r="O39" s="9" t="e">
        <f t="shared" ref="O39:P39" si="27">+O15/N15-1</f>
        <v>#DIV/0!</v>
      </c>
      <c r="P39" s="9" t="e">
        <f t="shared" si="27"/>
        <v>#DIV/0!</v>
      </c>
      <c r="Q39" s="9" t="e">
        <f t="shared" ref="Q39:R39" si="28">+Q15/P15-1</f>
        <v>#DIV/0!</v>
      </c>
      <c r="R39" s="9" t="e">
        <f t="shared" si="28"/>
        <v>#DIV/0!</v>
      </c>
      <c r="S39" s="9" t="e">
        <f t="shared" si="21"/>
        <v>#DIV/0!</v>
      </c>
      <c r="T39" s="9">
        <f t="shared" si="21"/>
        <v>-8.4994635264196705E-2</v>
      </c>
      <c r="U39" s="9">
        <f t="shared" si="21"/>
        <v>-2.8403292002345037E-2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2:51" x14ac:dyDescent="0.2">
      <c r="B40" s="2" t="s">
        <v>66</v>
      </c>
      <c r="C40" s="5"/>
      <c r="D40" s="5"/>
      <c r="E40" s="5"/>
      <c r="F40" s="5"/>
      <c r="G40" s="9">
        <f t="shared" si="22"/>
        <v>-0.60428200203366855</v>
      </c>
      <c r="H40" s="9">
        <f t="shared" si="18"/>
        <v>-0.3128167994207095</v>
      </c>
      <c r="I40" s="9">
        <f t="shared" si="18"/>
        <v>0.19214846538187014</v>
      </c>
      <c r="J40" s="9">
        <f t="shared" si="18"/>
        <v>-0.1500995199625339</v>
      </c>
      <c r="K40" s="9">
        <f t="shared" si="18"/>
        <v>-0.30762782900251473</v>
      </c>
      <c r="L40" s="9"/>
      <c r="M40" s="5"/>
      <c r="N40" s="5"/>
      <c r="O40" s="9" t="e">
        <f t="shared" ref="O40:P40" si="29">+O16/N16-1</f>
        <v>#DIV/0!</v>
      </c>
      <c r="P40" s="9" t="e">
        <f t="shared" si="29"/>
        <v>#DIV/0!</v>
      </c>
      <c r="Q40" s="9" t="e">
        <f t="shared" ref="Q40:R40" si="30">+Q16/P16-1</f>
        <v>#DIV/0!</v>
      </c>
      <c r="R40" s="9" t="e">
        <f t="shared" si="30"/>
        <v>#DIV/0!</v>
      </c>
      <c r="S40" s="9" t="e">
        <f t="shared" si="21"/>
        <v>#DIV/0!</v>
      </c>
      <c r="T40" s="9">
        <f t="shared" si="21"/>
        <v>-0.48405296870332881</v>
      </c>
      <c r="U40" s="9">
        <f t="shared" si="21"/>
        <v>4.1168146146919327E-3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2:51" s="6" customFormat="1" x14ac:dyDescent="0.2">
      <c r="B41" s="6" t="s">
        <v>67</v>
      </c>
      <c r="C41" s="8"/>
      <c r="D41" s="8"/>
      <c r="E41" s="8"/>
      <c r="F41" s="8"/>
      <c r="G41" s="27">
        <f t="shared" si="22"/>
        <v>6.31774889569785E-2</v>
      </c>
      <c r="H41" s="27">
        <f t="shared" si="18"/>
        <v>-1.4932750202198974E-2</v>
      </c>
      <c r="I41" s="27">
        <f t="shared" si="18"/>
        <v>-3.3768976952688767E-2</v>
      </c>
      <c r="J41" s="27">
        <f t="shared" si="18"/>
        <v>2.7591519814298415E-3</v>
      </c>
      <c r="K41" s="27">
        <f t="shared" si="18"/>
        <v>6.4245599284243449E-2</v>
      </c>
      <c r="L41" s="27"/>
      <c r="M41" s="8"/>
      <c r="N41" s="8"/>
      <c r="O41" s="27" t="e">
        <f t="shared" ref="O41:P41" si="31">+O17/N17-1</f>
        <v>#DIV/0!</v>
      </c>
      <c r="P41" s="27" t="e">
        <f t="shared" si="31"/>
        <v>#DIV/0!</v>
      </c>
      <c r="Q41" s="27" t="e">
        <f t="shared" ref="Q41:R41" si="32">+Q17/P17-1</f>
        <v>#DIV/0!</v>
      </c>
      <c r="R41" s="27" t="e">
        <f t="shared" si="32"/>
        <v>#DIV/0!</v>
      </c>
      <c r="S41" s="27" t="e">
        <f>+S17/R17-1</f>
        <v>#DIV/0!</v>
      </c>
      <c r="T41" s="27">
        <f t="shared" ref="T41:U41" si="33">+T17/S17-1</f>
        <v>2.2103920665732302E-2</v>
      </c>
      <c r="U41" s="27">
        <f t="shared" si="33"/>
        <v>-1.525700345260339E-2</v>
      </c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</row>
    <row r="42" spans="2:51" x14ac:dyDescent="0.2">
      <c r="B42" s="2" t="s">
        <v>68</v>
      </c>
      <c r="C42" s="9" t="e">
        <f t="shared" ref="C42:F42" si="34">+C19/C17</f>
        <v>#DIV/0!</v>
      </c>
      <c r="D42" s="9" t="e">
        <f t="shared" si="34"/>
        <v>#DIV/0!</v>
      </c>
      <c r="E42" s="9">
        <f t="shared" si="34"/>
        <v>0.64207432736952952</v>
      </c>
      <c r="F42" s="9">
        <f t="shared" si="34"/>
        <v>1</v>
      </c>
      <c r="G42" s="9">
        <f>+G19/G17</f>
        <v>0.66391629309913847</v>
      </c>
      <c r="H42" s="9">
        <f t="shared" ref="H42:I42" si="35">+H19/H17</f>
        <v>0.66812226631594418</v>
      </c>
      <c r="I42" s="9">
        <f t="shared" si="35"/>
        <v>0.67482887602539643</v>
      </c>
      <c r="J42" s="9">
        <f t="shared" ref="J42:K42" si="36">+J19/J17</f>
        <v>0.67525931077566292</v>
      </c>
      <c r="K42" s="9">
        <f t="shared" si="36"/>
        <v>0.67641219904992456</v>
      </c>
      <c r="L42" s="9"/>
      <c r="M42" s="5"/>
      <c r="N42" s="9" t="e">
        <f t="shared" ref="N42:U42" si="37">+N19/N17</f>
        <v>#DIV/0!</v>
      </c>
      <c r="O42" s="9" t="e">
        <f t="shared" ref="O42:P42" si="38">+O19/O17</f>
        <v>#DIV/0!</v>
      </c>
      <c r="P42" s="9" t="e">
        <f t="shared" si="38"/>
        <v>#DIV/0!</v>
      </c>
      <c r="Q42" s="9" t="e">
        <f t="shared" si="37"/>
        <v>#DIV/0!</v>
      </c>
      <c r="R42" s="9" t="e">
        <f t="shared" si="37"/>
        <v>#DIV/0!</v>
      </c>
      <c r="S42" s="9">
        <f t="shared" si="37"/>
        <v>1</v>
      </c>
      <c r="T42" s="9">
        <f t="shared" si="37"/>
        <v>0.66604782479822999</v>
      </c>
      <c r="U42" s="9">
        <f t="shared" si="37"/>
        <v>0.67505100558335718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2:51" x14ac:dyDescent="0.2">
      <c r="B43" s="2" t="s">
        <v>69</v>
      </c>
      <c r="C43" s="9" t="e">
        <f t="shared" ref="C43:F43" si="39">+C22/C17</f>
        <v>#DIV/0!</v>
      </c>
      <c r="D43" s="9" t="e">
        <f t="shared" si="39"/>
        <v>#DIV/0!</v>
      </c>
      <c r="E43" s="9">
        <f t="shared" si="39"/>
        <v>0.12901593362116975</v>
      </c>
      <c r="F43" s="9">
        <f t="shared" si="39"/>
        <v>1</v>
      </c>
      <c r="G43" s="9">
        <f>+G22/G17</f>
        <v>7.6106745879647317E-2</v>
      </c>
      <c r="H43" s="9">
        <f t="shared" ref="H43:I43" si="40">+H22/H17</f>
        <v>9.5060996315386739E-2</v>
      </c>
      <c r="I43" s="9">
        <f t="shared" si="40"/>
        <v>6.612769351830898E-2</v>
      </c>
      <c r="J43" s="9">
        <f t="shared" ref="J43:K43" si="41">+J22/J17</f>
        <v>7.898250909520961E-2</v>
      </c>
      <c r="K43" s="9">
        <f t="shared" si="41"/>
        <v>6.9421345298746995E-2</v>
      </c>
      <c r="L43" s="9"/>
      <c r="M43" s="5"/>
      <c r="N43" s="9" t="e">
        <f t="shared" ref="N43:U43" si="42">+N22/N17</f>
        <v>#DIV/0!</v>
      </c>
      <c r="O43" s="9" t="e">
        <f t="shared" ref="O43:P43" si="43">+O22/O17</f>
        <v>#DIV/0!</v>
      </c>
      <c r="P43" s="9" t="e">
        <f t="shared" si="43"/>
        <v>#DIV/0!</v>
      </c>
      <c r="Q43" s="9" t="e">
        <f t="shared" si="42"/>
        <v>#DIV/0!</v>
      </c>
      <c r="R43" s="9" t="e">
        <f t="shared" si="42"/>
        <v>#DIV/0!</v>
      </c>
      <c r="S43" s="9">
        <f t="shared" si="42"/>
        <v>1</v>
      </c>
      <c r="T43" s="9">
        <f t="shared" si="42"/>
        <v>8.5712509766793871E-2</v>
      </c>
      <c r="U43" s="9">
        <f t="shared" si="42"/>
        <v>7.2761531748138944E-2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2:51" x14ac:dyDescent="0.2">
      <c r="B44" s="2" t="s">
        <v>70</v>
      </c>
      <c r="C44" s="9" t="e">
        <f t="shared" ref="C44:F44" si="44">+C30/C29</f>
        <v>#DIV/0!</v>
      </c>
      <c r="D44" s="9" t="e">
        <f t="shared" si="44"/>
        <v>#DIV/0!</v>
      </c>
      <c r="E44" s="9">
        <f t="shared" si="44"/>
        <v>0.11798679867986814</v>
      </c>
      <c r="F44" s="9">
        <f t="shared" si="44"/>
        <v>0</v>
      </c>
      <c r="G44" s="9">
        <f>+G30/G29</f>
        <v>0.19944447991826866</v>
      </c>
      <c r="H44" s="9">
        <f t="shared" ref="H44:I44" si="45">+H30/H29</f>
        <v>0.1264885201296628</v>
      </c>
      <c r="I44" s="9">
        <f t="shared" si="45"/>
        <v>0.10060122750615826</v>
      </c>
      <c r="J44" s="9">
        <f t="shared" ref="J44:K44" si="46">+J30/J29</f>
        <v>9.8822765283754541E-2</v>
      </c>
      <c r="K44" s="9">
        <f t="shared" si="46"/>
        <v>0.185383181514438</v>
      </c>
      <c r="L44" s="9"/>
      <c r="M44" s="5"/>
      <c r="N44" s="9" t="e">
        <f t="shared" ref="N44:U44" si="47">+N30/N29</f>
        <v>#DIV/0!</v>
      </c>
      <c r="O44" s="9" t="e">
        <f t="shared" ref="O44:P44" si="48">+O30/O29</f>
        <v>#DIV/0!</v>
      </c>
      <c r="P44" s="9" t="e">
        <f t="shared" si="48"/>
        <v>#DIV/0!</v>
      </c>
      <c r="Q44" s="9" t="e">
        <f t="shared" si="47"/>
        <v>#DIV/0!</v>
      </c>
      <c r="R44" s="9" t="e">
        <f t="shared" si="47"/>
        <v>#DIV/0!</v>
      </c>
      <c r="S44" s="9">
        <f t="shared" si="47"/>
        <v>0</v>
      </c>
      <c r="T44" s="9">
        <f t="shared" si="47"/>
        <v>0.15163821661659022</v>
      </c>
      <c r="U44" s="9">
        <f t="shared" si="47"/>
        <v>9.9600865856220661E-2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2:51" x14ac:dyDescent="0.2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2:51" x14ac:dyDescent="0.2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2:51" x14ac:dyDescent="0.2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2:51" x14ac:dyDescent="0.2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3:51" x14ac:dyDescent="0.2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3:51" x14ac:dyDescent="0.2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3:51" x14ac:dyDescent="0.2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3:51" x14ac:dyDescent="0.2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3:51" x14ac:dyDescent="0.2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3:51" x14ac:dyDescent="0.2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3:51" x14ac:dyDescent="0.2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3:51" x14ac:dyDescent="0.2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3:51" x14ac:dyDescent="0.2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3:51" x14ac:dyDescent="0.2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3:51" x14ac:dyDescent="0.2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3:51" x14ac:dyDescent="0.2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3:51" x14ac:dyDescent="0.2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3:51" x14ac:dyDescent="0.2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3:51" x14ac:dyDescent="0.2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3:51" x14ac:dyDescent="0.2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3:51" x14ac:dyDescent="0.2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3:51" x14ac:dyDescent="0.2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3:51" x14ac:dyDescent="0.2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3:51" x14ac:dyDescent="0.2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3:51" x14ac:dyDescent="0.2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3:51" x14ac:dyDescent="0.2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3:51" x14ac:dyDescent="0.2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3:51" x14ac:dyDescent="0.2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3:51" x14ac:dyDescent="0.2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3:51" x14ac:dyDescent="0.2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3:51" x14ac:dyDescent="0.2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3:51" x14ac:dyDescent="0.2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3:51" x14ac:dyDescent="0.2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3:51" x14ac:dyDescent="0.2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3:51" x14ac:dyDescent="0.2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3:51" x14ac:dyDescent="0.2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3:51" x14ac:dyDescent="0.2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3:51" x14ac:dyDescent="0.2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3:51" x14ac:dyDescent="0.2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3:51" x14ac:dyDescent="0.2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3:51" x14ac:dyDescent="0.2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3:51" x14ac:dyDescent="0.2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3:51" x14ac:dyDescent="0.2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3:51" x14ac:dyDescent="0.2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3:51" x14ac:dyDescent="0.2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3:51" x14ac:dyDescent="0.2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3:51" x14ac:dyDescent="0.2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3:51" x14ac:dyDescent="0.2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3:51" x14ac:dyDescent="0.2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3:51" x14ac:dyDescent="0.2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3:51" x14ac:dyDescent="0.2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3:51" x14ac:dyDescent="0.2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3:51" x14ac:dyDescent="0.2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  <row r="98" spans="3:51" x14ac:dyDescent="0.2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 spans="3:51" x14ac:dyDescent="0.2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</row>
    <row r="100" spans="3:51" x14ac:dyDescent="0.2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</row>
    <row r="101" spans="3:51" x14ac:dyDescent="0.2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 spans="3:51" x14ac:dyDescent="0.2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</row>
    <row r="103" spans="3:51" x14ac:dyDescent="0.2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</row>
    <row r="104" spans="3:51" x14ac:dyDescent="0.2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</row>
    <row r="105" spans="3:51" x14ac:dyDescent="0.2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</row>
    <row r="106" spans="3:51" x14ac:dyDescent="0.2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7" spans="3:51" x14ac:dyDescent="0.2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</row>
    <row r="108" spans="3:51" x14ac:dyDescent="0.2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 spans="3:51" x14ac:dyDescent="0.2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</row>
    <row r="110" spans="3:51" x14ac:dyDescent="0.2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</row>
    <row r="111" spans="3:51" x14ac:dyDescent="0.2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  <row r="112" spans="3:51" x14ac:dyDescent="0.2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</row>
    <row r="113" spans="3:51" x14ac:dyDescent="0.2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</row>
    <row r="114" spans="3:51" x14ac:dyDescent="0.2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</row>
    <row r="115" spans="3:51" x14ac:dyDescent="0.2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</row>
    <row r="116" spans="3:51" x14ac:dyDescent="0.2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</row>
    <row r="117" spans="3:51" x14ac:dyDescent="0.2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</row>
    <row r="118" spans="3:51" x14ac:dyDescent="0.2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</row>
    <row r="119" spans="3:51" x14ac:dyDescent="0.2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</row>
    <row r="120" spans="3:51" x14ac:dyDescent="0.2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</row>
    <row r="121" spans="3:51" x14ac:dyDescent="0.2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</row>
    <row r="122" spans="3:51" x14ac:dyDescent="0.2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</row>
    <row r="123" spans="3:51" x14ac:dyDescent="0.2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</row>
    <row r="124" spans="3:51" x14ac:dyDescent="0.2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</row>
    <row r="125" spans="3:51" x14ac:dyDescent="0.2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</row>
    <row r="126" spans="3:51" x14ac:dyDescent="0.2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</row>
    <row r="127" spans="3:51" x14ac:dyDescent="0.2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</row>
    <row r="128" spans="3:51" x14ac:dyDescent="0.2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</row>
    <row r="129" spans="3:51" x14ac:dyDescent="0.2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</row>
    <row r="130" spans="3:51" x14ac:dyDescent="0.2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</row>
    <row r="131" spans="3:51" x14ac:dyDescent="0.2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</row>
    <row r="132" spans="3:51" x14ac:dyDescent="0.2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</row>
    <row r="133" spans="3:51" x14ac:dyDescent="0.2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</row>
    <row r="134" spans="3:51" x14ac:dyDescent="0.2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</row>
    <row r="135" spans="3:51" x14ac:dyDescent="0.2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</row>
    <row r="136" spans="3:51" x14ac:dyDescent="0.2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</row>
    <row r="137" spans="3:51" x14ac:dyDescent="0.2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</row>
    <row r="138" spans="3:51" x14ac:dyDescent="0.2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</row>
    <row r="139" spans="3:51" x14ac:dyDescent="0.2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</row>
    <row r="140" spans="3:51" x14ac:dyDescent="0.2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</row>
    <row r="141" spans="3:51" x14ac:dyDescent="0.2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</row>
    <row r="142" spans="3:51" x14ac:dyDescent="0.2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</row>
    <row r="143" spans="3:51" x14ac:dyDescent="0.2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</row>
    <row r="144" spans="3:51" x14ac:dyDescent="0.2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</row>
    <row r="145" spans="3:51" x14ac:dyDescent="0.2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</row>
    <row r="146" spans="3:51" x14ac:dyDescent="0.2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</row>
    <row r="147" spans="3:51" x14ac:dyDescent="0.2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</row>
    <row r="148" spans="3:51" x14ac:dyDescent="0.2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</row>
    <row r="149" spans="3:51" x14ac:dyDescent="0.2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</row>
    <row r="150" spans="3:51" x14ac:dyDescent="0.2"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</row>
    <row r="151" spans="3:51" x14ac:dyDescent="0.2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</row>
    <row r="152" spans="3:51" x14ac:dyDescent="0.2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</row>
    <row r="153" spans="3:51" x14ac:dyDescent="0.2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</row>
    <row r="154" spans="3:51" x14ac:dyDescent="0.2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</row>
    <row r="155" spans="3:51" x14ac:dyDescent="0.2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 spans="3:51" x14ac:dyDescent="0.2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</row>
    <row r="157" spans="3:51" x14ac:dyDescent="0.2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</row>
    <row r="158" spans="3:51" x14ac:dyDescent="0.2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</row>
    <row r="159" spans="3:51" x14ac:dyDescent="0.2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</row>
    <row r="160" spans="3:51" x14ac:dyDescent="0.2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</row>
    <row r="161" spans="3:51" x14ac:dyDescent="0.2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</row>
    <row r="162" spans="3:51" x14ac:dyDescent="0.2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</row>
    <row r="163" spans="3:51" x14ac:dyDescent="0.2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</row>
    <row r="164" spans="3:51" x14ac:dyDescent="0.2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</row>
    <row r="165" spans="3:51" x14ac:dyDescent="0.2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</row>
    <row r="166" spans="3:51" x14ac:dyDescent="0.2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</row>
    <row r="167" spans="3:51" x14ac:dyDescent="0.2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</row>
    <row r="168" spans="3:51" x14ac:dyDescent="0.2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</row>
    <row r="169" spans="3:51" x14ac:dyDescent="0.2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</row>
    <row r="170" spans="3:51" x14ac:dyDescent="0.2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</row>
    <row r="171" spans="3:51" x14ac:dyDescent="0.2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</row>
    <row r="172" spans="3:51" x14ac:dyDescent="0.2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</row>
    <row r="173" spans="3:51" x14ac:dyDescent="0.2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</row>
    <row r="174" spans="3:51" x14ac:dyDescent="0.2"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</row>
    <row r="175" spans="3:51" x14ac:dyDescent="0.2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</row>
    <row r="176" spans="3:51" x14ac:dyDescent="0.2"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</row>
    <row r="177" spans="3:51" x14ac:dyDescent="0.2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</row>
    <row r="178" spans="3:51" x14ac:dyDescent="0.2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</row>
    <row r="179" spans="3:51" x14ac:dyDescent="0.2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</row>
    <row r="180" spans="3:51" x14ac:dyDescent="0.2"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</row>
    <row r="181" spans="3:51" x14ac:dyDescent="0.2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</row>
    <row r="182" spans="3:51" x14ac:dyDescent="0.2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</row>
    <row r="183" spans="3:51" x14ac:dyDescent="0.2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</row>
    <row r="184" spans="3:51" x14ac:dyDescent="0.2"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</row>
    <row r="185" spans="3:51" x14ac:dyDescent="0.2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</row>
    <row r="186" spans="3:51" x14ac:dyDescent="0.2"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</row>
    <row r="187" spans="3:51" x14ac:dyDescent="0.2"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</row>
    <row r="188" spans="3:51" x14ac:dyDescent="0.2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</row>
    <row r="189" spans="3:51" x14ac:dyDescent="0.2"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</row>
    <row r="190" spans="3:51" x14ac:dyDescent="0.2"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</row>
    <row r="191" spans="3:51" x14ac:dyDescent="0.2"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</row>
    <row r="192" spans="3:51" x14ac:dyDescent="0.2"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</row>
    <row r="193" spans="3:51" x14ac:dyDescent="0.2"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</row>
    <row r="194" spans="3:51" x14ac:dyDescent="0.2"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</row>
    <row r="195" spans="3:51" x14ac:dyDescent="0.2"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</row>
    <row r="196" spans="3:51" x14ac:dyDescent="0.2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</row>
    <row r="197" spans="3:51" x14ac:dyDescent="0.2"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</row>
    <row r="198" spans="3:51" x14ac:dyDescent="0.2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</row>
    <row r="199" spans="3:51" x14ac:dyDescent="0.2"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</row>
    <row r="200" spans="3:51" x14ac:dyDescent="0.2"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</row>
    <row r="201" spans="3:51" x14ac:dyDescent="0.2"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</row>
    <row r="202" spans="3:51" x14ac:dyDescent="0.2"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</row>
    <row r="203" spans="3:51" x14ac:dyDescent="0.2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</row>
    <row r="204" spans="3:51" x14ac:dyDescent="0.2"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</row>
    <row r="205" spans="3:51" x14ac:dyDescent="0.2"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</row>
    <row r="206" spans="3:51" x14ac:dyDescent="0.2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</row>
    <row r="207" spans="3:51" x14ac:dyDescent="0.2"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</row>
    <row r="208" spans="3:51" x14ac:dyDescent="0.2"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</row>
    <row r="209" spans="3:51" x14ac:dyDescent="0.2"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</row>
    <row r="210" spans="3:51" x14ac:dyDescent="0.2"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</row>
    <row r="211" spans="3:51" x14ac:dyDescent="0.2"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</row>
    <row r="212" spans="3:51" x14ac:dyDescent="0.2"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</row>
    <row r="213" spans="3:51" x14ac:dyDescent="0.2"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</row>
    <row r="214" spans="3:51" x14ac:dyDescent="0.2"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</row>
    <row r="215" spans="3:51" x14ac:dyDescent="0.2"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</row>
    <row r="216" spans="3:51" x14ac:dyDescent="0.2"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</row>
    <row r="217" spans="3:51" x14ac:dyDescent="0.2"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</row>
    <row r="218" spans="3:51" x14ac:dyDescent="0.2"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</row>
    <row r="219" spans="3:51" x14ac:dyDescent="0.2"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</row>
    <row r="220" spans="3:51" x14ac:dyDescent="0.2"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</row>
    <row r="221" spans="3:51" x14ac:dyDescent="0.2"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</row>
    <row r="222" spans="3:51" x14ac:dyDescent="0.2"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</row>
    <row r="223" spans="3:51" x14ac:dyDescent="0.2"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</row>
    <row r="224" spans="3:51" x14ac:dyDescent="0.2"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</row>
    <row r="225" spans="3:51" x14ac:dyDescent="0.2"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</row>
    <row r="226" spans="3:51" x14ac:dyDescent="0.2"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</row>
    <row r="227" spans="3:51" x14ac:dyDescent="0.2"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</row>
    <row r="228" spans="3:51" x14ac:dyDescent="0.2"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</row>
    <row r="229" spans="3:51" x14ac:dyDescent="0.2"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</row>
    <row r="230" spans="3:51" x14ac:dyDescent="0.2"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</row>
    <row r="231" spans="3:51" x14ac:dyDescent="0.2"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</row>
    <row r="232" spans="3:51" x14ac:dyDescent="0.2"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</row>
    <row r="233" spans="3:51" x14ac:dyDescent="0.2"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</row>
    <row r="234" spans="3:51" x14ac:dyDescent="0.2"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</row>
    <row r="235" spans="3:51" x14ac:dyDescent="0.2"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3:51" x14ac:dyDescent="0.2"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3:51" x14ac:dyDescent="0.2"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3:51" x14ac:dyDescent="0.2"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3:51" x14ac:dyDescent="0.2"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3:51" x14ac:dyDescent="0.2"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3:49" x14ac:dyDescent="0.2"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3:49" x14ac:dyDescent="0.2"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3:49" x14ac:dyDescent="0.2"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3:49" x14ac:dyDescent="0.2"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3:49" x14ac:dyDescent="0.2"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3:49" x14ac:dyDescent="0.2"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3:49" x14ac:dyDescent="0.2"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3:49" x14ac:dyDescent="0.2"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3:49" x14ac:dyDescent="0.2"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3:49" x14ac:dyDescent="0.2"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3:49" x14ac:dyDescent="0.2"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3:49" x14ac:dyDescent="0.2"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3:49" x14ac:dyDescent="0.2"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3:49" x14ac:dyDescent="0.2"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3:49" x14ac:dyDescent="0.2"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3:49" x14ac:dyDescent="0.2"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3:49" x14ac:dyDescent="0.2"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3:49" x14ac:dyDescent="0.2"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3:49" x14ac:dyDescent="0.2"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3:49" x14ac:dyDescent="0.2"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3:49" x14ac:dyDescent="0.2"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3:49" x14ac:dyDescent="0.2"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3:49" x14ac:dyDescent="0.2"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3:49" x14ac:dyDescent="0.2"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3:49" x14ac:dyDescent="0.2"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3:49" x14ac:dyDescent="0.2"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3:49" x14ac:dyDescent="0.2"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3:49" x14ac:dyDescent="0.2"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3:49" x14ac:dyDescent="0.2"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3:49" x14ac:dyDescent="0.2"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3:49" x14ac:dyDescent="0.2"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3:49" x14ac:dyDescent="0.2"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3:49" x14ac:dyDescent="0.2"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3:49" x14ac:dyDescent="0.2"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3:49" x14ac:dyDescent="0.2"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3:49" x14ac:dyDescent="0.2"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3:49" x14ac:dyDescent="0.2"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3:49" x14ac:dyDescent="0.2"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3:49" x14ac:dyDescent="0.2"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3:49" x14ac:dyDescent="0.2"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3:49" x14ac:dyDescent="0.2"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3:49" x14ac:dyDescent="0.2"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3:49" x14ac:dyDescent="0.2"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3:49" x14ac:dyDescent="0.2"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3:49" x14ac:dyDescent="0.2"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3:49" x14ac:dyDescent="0.2"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3:49" x14ac:dyDescent="0.2"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3:49" x14ac:dyDescent="0.2"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3:49" x14ac:dyDescent="0.2"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3:49" x14ac:dyDescent="0.2"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3:49" x14ac:dyDescent="0.2"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3:49" x14ac:dyDescent="0.2"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3:49" x14ac:dyDescent="0.2"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3:49" x14ac:dyDescent="0.2"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3:49" x14ac:dyDescent="0.2"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3:49" x14ac:dyDescent="0.2"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3:49" x14ac:dyDescent="0.2"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3:49" x14ac:dyDescent="0.2"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3:49" x14ac:dyDescent="0.2"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3:49" x14ac:dyDescent="0.2"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3:49" x14ac:dyDescent="0.2"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3:49" x14ac:dyDescent="0.2"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3:49" x14ac:dyDescent="0.2"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3:49" x14ac:dyDescent="0.2"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3:49" x14ac:dyDescent="0.2"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3:49" x14ac:dyDescent="0.2"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3:49" x14ac:dyDescent="0.2"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3:49" x14ac:dyDescent="0.2"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3:49" x14ac:dyDescent="0.2"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3:49" x14ac:dyDescent="0.2"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3:49" x14ac:dyDescent="0.2"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3:49" x14ac:dyDescent="0.2"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3:49" x14ac:dyDescent="0.2"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3:49" x14ac:dyDescent="0.2"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3:49" x14ac:dyDescent="0.2"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3:49" x14ac:dyDescent="0.2"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3:49" x14ac:dyDescent="0.2"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3:49" x14ac:dyDescent="0.2"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3:49" x14ac:dyDescent="0.2"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3:49" x14ac:dyDescent="0.2"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3:49" x14ac:dyDescent="0.2"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3:49" x14ac:dyDescent="0.2"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3:49" x14ac:dyDescent="0.2"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3:49" x14ac:dyDescent="0.2"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3:49" x14ac:dyDescent="0.2"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3:49" x14ac:dyDescent="0.2"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3:49" x14ac:dyDescent="0.2"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3:49" x14ac:dyDescent="0.2"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3:49" x14ac:dyDescent="0.2"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3:49" x14ac:dyDescent="0.2"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3:49" x14ac:dyDescent="0.2"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3:49" x14ac:dyDescent="0.2"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3:49" x14ac:dyDescent="0.2"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3:49" x14ac:dyDescent="0.2"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3:49" x14ac:dyDescent="0.2"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3:49" x14ac:dyDescent="0.2"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3:49" x14ac:dyDescent="0.2"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3:49" x14ac:dyDescent="0.2"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3:49" x14ac:dyDescent="0.2"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3:49" x14ac:dyDescent="0.2"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3:49" x14ac:dyDescent="0.2"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3:49" x14ac:dyDescent="0.2"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3:49" x14ac:dyDescent="0.2"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3:49" x14ac:dyDescent="0.2"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3:49" x14ac:dyDescent="0.2"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3:49" x14ac:dyDescent="0.2"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3:49" x14ac:dyDescent="0.2"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3:49" x14ac:dyDescent="0.2"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</sheetData>
  <hyperlinks>
    <hyperlink ref="A1" location="Main!A1" display="Main" xr:uid="{7697443F-F907-4A51-A9BD-263B3E2BE0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2025-02-02T13:42:06Z</dcterms:created>
  <dcterms:modified xsi:type="dcterms:W3CDTF">2026-09-04T09:13:39Z</dcterms:modified>
</cp:coreProperties>
</file>