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2FEAB85-CE60-4DF4-90C7-88898BDBD8B0}" xr6:coauthVersionLast="47" xr6:coauthVersionMax="47" xr10:uidLastSave="{00000000-0000-0000-0000-000000000000}"/>
  <bookViews>
    <workbookView xWindow="19095" yWindow="0" windowWidth="19410" windowHeight="20985" activeTab="1" xr2:uid="{32EF9E8E-5778-4FD9-8E72-014E2CEE319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2" l="1"/>
  <c r="O31" i="2"/>
  <c r="N31" i="2"/>
  <c r="M31" i="2"/>
  <c r="P30" i="2"/>
  <c r="O30" i="2"/>
  <c r="N30" i="2"/>
  <c r="M30" i="2"/>
  <c r="P29" i="2"/>
  <c r="O29" i="2"/>
  <c r="N29" i="2"/>
  <c r="M29" i="2"/>
  <c r="P28" i="2"/>
  <c r="O28" i="2"/>
  <c r="N28" i="2"/>
  <c r="M28" i="2"/>
  <c r="P27" i="2"/>
  <c r="O27" i="2"/>
  <c r="N27" i="2"/>
  <c r="M27" i="2"/>
  <c r="P26" i="2"/>
  <c r="O26" i="2"/>
  <c r="N26" i="2"/>
  <c r="M26" i="2"/>
  <c r="P25" i="2"/>
  <c r="O25" i="2"/>
  <c r="N25" i="2"/>
  <c r="M25" i="2"/>
  <c r="O22" i="2"/>
  <c r="N22" i="2"/>
  <c r="O19" i="2"/>
  <c r="O20" i="2"/>
  <c r="O18" i="2"/>
  <c r="N18" i="2"/>
  <c r="O14" i="2"/>
  <c r="N14" i="2"/>
  <c r="O12" i="2"/>
  <c r="N12" i="2"/>
  <c r="AA54" i="2"/>
  <c r="AA58" i="2" s="1"/>
  <c r="AA60" i="2" s="1"/>
  <c r="Z54" i="2"/>
  <c r="Z58" i="2" s="1"/>
  <c r="Z60" i="2" s="1"/>
  <c r="AA40" i="2"/>
  <c r="AA47" i="2" s="1"/>
  <c r="Z40" i="2"/>
  <c r="Z47" i="2" s="1"/>
  <c r="AA27" i="2"/>
  <c r="AA26" i="2"/>
  <c r="AA25" i="2"/>
  <c r="N20" i="2"/>
  <c r="AA12" i="2"/>
  <c r="AA14" i="2" s="1"/>
  <c r="AA18" i="2" s="1"/>
  <c r="AA31" i="2" s="1"/>
  <c r="M12" i="2"/>
  <c r="M14" i="2" s="1"/>
  <c r="M18" i="2" s="1"/>
  <c r="M20" i="2" s="1"/>
  <c r="L27" i="2"/>
  <c r="L26" i="2"/>
  <c r="L25" i="2"/>
  <c r="L12" i="2"/>
  <c r="L28" i="2" s="1"/>
  <c r="K27" i="2"/>
  <c r="K26" i="2"/>
  <c r="K25" i="2"/>
  <c r="K12" i="2"/>
  <c r="K14" i="2" s="1"/>
  <c r="K18" i="2" s="1"/>
  <c r="K20" i="2" s="1"/>
  <c r="Z27" i="2"/>
  <c r="Z26" i="2"/>
  <c r="Z25" i="2"/>
  <c r="Z12" i="2"/>
  <c r="Z14" i="2" s="1"/>
  <c r="J26" i="2"/>
  <c r="I26" i="2"/>
  <c r="J25" i="2"/>
  <c r="I25" i="2"/>
  <c r="G26" i="2"/>
  <c r="G25" i="2"/>
  <c r="H26" i="2"/>
  <c r="H25" i="2"/>
  <c r="H27" i="2"/>
  <c r="G27" i="2"/>
  <c r="J27" i="2"/>
  <c r="I27" i="2"/>
  <c r="M4" i="1"/>
  <c r="M7" i="1" s="1"/>
  <c r="J12" i="2"/>
  <c r="J14" i="2" s="1"/>
  <c r="J18" i="2" s="1"/>
  <c r="J20" i="2" s="1"/>
  <c r="I12" i="2"/>
  <c r="I14" i="2" s="1"/>
  <c r="I18" i="2" s="1"/>
  <c r="H12" i="2"/>
  <c r="H14" i="2" s="1"/>
  <c r="H18" i="2" s="1"/>
  <c r="H20" i="2" s="1"/>
  <c r="G12" i="2"/>
  <c r="G14" i="2" s="1"/>
  <c r="G18" i="2" s="1"/>
  <c r="G20" i="2" s="1"/>
  <c r="X54" i="2"/>
  <c r="X58" i="2" s="1"/>
  <c r="W54" i="2"/>
  <c r="W58" i="2" s="1"/>
  <c r="V54" i="2"/>
  <c r="V58" i="2" s="1"/>
  <c r="U54" i="2"/>
  <c r="U58" i="2" s="1"/>
  <c r="T54" i="2"/>
  <c r="T58" i="2" s="1"/>
  <c r="Y54" i="2"/>
  <c r="Y58" i="2" s="1"/>
  <c r="X40" i="2"/>
  <c r="X47" i="2" s="1"/>
  <c r="W40" i="2"/>
  <c r="W47" i="2" s="1"/>
  <c r="V40" i="2"/>
  <c r="V47" i="2" s="1"/>
  <c r="U40" i="2"/>
  <c r="U47" i="2" s="1"/>
  <c r="T40" i="2"/>
  <c r="T47" i="2" s="1"/>
  <c r="Y40" i="2"/>
  <c r="Y47" i="2" s="1"/>
  <c r="X27" i="2"/>
  <c r="W27" i="2"/>
  <c r="V27" i="2"/>
  <c r="U27" i="2"/>
  <c r="Y27" i="2"/>
  <c r="Y26" i="2"/>
  <c r="X26" i="2"/>
  <c r="W26" i="2"/>
  <c r="V26" i="2"/>
  <c r="U26" i="2"/>
  <c r="X25" i="2"/>
  <c r="W25" i="2"/>
  <c r="V25" i="2"/>
  <c r="U25" i="2"/>
  <c r="Y25" i="2"/>
  <c r="F12" i="2"/>
  <c r="F14" i="2" s="1"/>
  <c r="F18" i="2" s="1"/>
  <c r="F20" i="2" s="1"/>
  <c r="E12" i="2"/>
  <c r="E14" i="2" s="1"/>
  <c r="E18" i="2" s="1"/>
  <c r="E20" i="2" s="1"/>
  <c r="D12" i="2"/>
  <c r="D14" i="2" s="1"/>
  <c r="D18" i="2" s="1"/>
  <c r="D20" i="2" s="1"/>
  <c r="C12" i="2"/>
  <c r="C14" i="2" s="1"/>
  <c r="C18" i="2" s="1"/>
  <c r="C20" i="2" s="1"/>
  <c r="X12" i="2"/>
  <c r="X14" i="2" s="1"/>
  <c r="X18" i="2" s="1"/>
  <c r="X20" i="2" s="1"/>
  <c r="W12" i="2"/>
  <c r="W14" i="2" s="1"/>
  <c r="W18" i="2" s="1"/>
  <c r="W20" i="2" s="1"/>
  <c r="V12" i="2"/>
  <c r="V14" i="2" s="1"/>
  <c r="V29" i="2" s="1"/>
  <c r="U12" i="2"/>
  <c r="U14" i="2" s="1"/>
  <c r="U29" i="2" s="1"/>
  <c r="T12" i="2"/>
  <c r="T14" i="2" s="1"/>
  <c r="T29" i="2" s="1"/>
  <c r="Y12" i="2"/>
  <c r="Y14" i="2" s="1"/>
  <c r="AA20" i="2" l="1"/>
  <c r="AA22" i="2" s="1"/>
  <c r="AA29" i="2"/>
  <c r="AA28" i="2"/>
  <c r="J22" i="2"/>
  <c r="I20" i="2"/>
  <c r="I22" i="2" s="1"/>
  <c r="K22" i="2"/>
  <c r="C22" i="2"/>
  <c r="D22" i="2"/>
  <c r="E22" i="2"/>
  <c r="F22" i="2"/>
  <c r="G22" i="2"/>
  <c r="H22" i="2"/>
  <c r="M22" i="2"/>
  <c r="K28" i="2"/>
  <c r="K30" i="2"/>
  <c r="K29" i="2"/>
  <c r="K31" i="2"/>
  <c r="L14" i="2"/>
  <c r="Z28" i="2"/>
  <c r="Z29" i="2"/>
  <c r="Z18" i="2"/>
  <c r="Z20" i="2" s="1"/>
  <c r="H31" i="2"/>
  <c r="G31" i="2"/>
  <c r="I31" i="2"/>
  <c r="J31" i="2"/>
  <c r="H28" i="2"/>
  <c r="I28" i="2"/>
  <c r="J28" i="2"/>
  <c r="C29" i="2"/>
  <c r="H29" i="2"/>
  <c r="C30" i="2"/>
  <c r="H30" i="2"/>
  <c r="C28" i="2"/>
  <c r="F28" i="2"/>
  <c r="G28" i="2"/>
  <c r="D29" i="2"/>
  <c r="G29" i="2"/>
  <c r="G30" i="2"/>
  <c r="C31" i="2"/>
  <c r="E28" i="2"/>
  <c r="E29" i="2"/>
  <c r="F29" i="2"/>
  <c r="E31" i="2"/>
  <c r="I29" i="2"/>
  <c r="J29" i="2"/>
  <c r="T18" i="2"/>
  <c r="T20" i="2" s="1"/>
  <c r="E30" i="2"/>
  <c r="V18" i="2"/>
  <c r="D30" i="2"/>
  <c r="U18" i="2"/>
  <c r="F30" i="2"/>
  <c r="J30" i="2"/>
  <c r="D28" i="2"/>
  <c r="D31" i="2"/>
  <c r="F31" i="2"/>
  <c r="X31" i="2"/>
  <c r="Y29" i="2"/>
  <c r="W31" i="2"/>
  <c r="Y18" i="2"/>
  <c r="W29" i="2"/>
  <c r="X28" i="2"/>
  <c r="X29" i="2"/>
  <c r="W60" i="2"/>
  <c r="W28" i="2"/>
  <c r="W23" i="2"/>
  <c r="X30" i="2"/>
  <c r="U60" i="2"/>
  <c r="V60" i="2"/>
  <c r="W63" i="2"/>
  <c r="T60" i="2"/>
  <c r="X63" i="2"/>
  <c r="Y60" i="2"/>
  <c r="Y28" i="2"/>
  <c r="T28" i="2"/>
  <c r="U28" i="2"/>
  <c r="V28" i="2"/>
  <c r="X60" i="2"/>
  <c r="AA30" i="2" l="1"/>
  <c r="Y63" i="2"/>
  <c r="Y20" i="2"/>
  <c r="Y30" i="2" s="1"/>
  <c r="U31" i="2"/>
  <c r="U20" i="2"/>
  <c r="I30" i="2"/>
  <c r="V31" i="2"/>
  <c r="V20" i="2"/>
  <c r="V30" i="2" s="1"/>
  <c r="L29" i="2"/>
  <c r="L18" i="2"/>
  <c r="L20" i="2" s="1"/>
  <c r="Z31" i="2"/>
  <c r="T31" i="2"/>
  <c r="V63" i="2"/>
  <c r="T63" i="2"/>
  <c r="T23" i="2"/>
  <c r="T30" i="2"/>
  <c r="U63" i="2"/>
  <c r="Y31" i="2"/>
  <c r="W30" i="2"/>
  <c r="X23" i="2"/>
  <c r="V23" i="2" l="1"/>
  <c r="Y23" i="2"/>
  <c r="L31" i="2"/>
  <c r="Z30" i="2"/>
  <c r="Z22" i="2"/>
  <c r="U23" i="2"/>
  <c r="U30" i="2"/>
  <c r="L30" i="2" l="1"/>
  <c r="L22" i="2"/>
</calcChain>
</file>

<file path=xl/sharedStrings.xml><?xml version="1.0" encoding="utf-8"?>
<sst xmlns="http://schemas.openxmlformats.org/spreadsheetml/2006/main" count="119" uniqueCount="110">
  <si>
    <t>DECK</t>
  </si>
  <si>
    <t>Deckers Outdoor</t>
  </si>
  <si>
    <t xml:space="preserve">Investors </t>
  </si>
  <si>
    <t>Price</t>
  </si>
  <si>
    <t xml:space="preserve">Shares </t>
  </si>
  <si>
    <t>MC</t>
  </si>
  <si>
    <t>Cash</t>
  </si>
  <si>
    <t>Debt</t>
  </si>
  <si>
    <t>EV</t>
  </si>
  <si>
    <t>Main</t>
  </si>
  <si>
    <t>FY19</t>
  </si>
  <si>
    <t>Q124</t>
  </si>
  <si>
    <t>Q224</t>
  </si>
  <si>
    <t>Q324</t>
  </si>
  <si>
    <t>Q424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</si>
  <si>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</si>
  <si>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</si>
  <si>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</si>
  <si>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</si>
  <si>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</si>
  <si>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</si>
  <si>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</si>
  <si>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</si>
  <si>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>SGA</t>
  </si>
  <si>
    <t>Operating Income</t>
  </si>
  <si>
    <t>UGG-Brand</t>
  </si>
  <si>
    <t>HOKA-Brand</t>
  </si>
  <si>
    <t>Teva-Brand</t>
  </si>
  <si>
    <t>Sanuk-Brand</t>
  </si>
  <si>
    <t>Other Brands</t>
  </si>
  <si>
    <t>BFY</t>
  </si>
  <si>
    <t>EFY</t>
  </si>
  <si>
    <t>Business Model</t>
  </si>
  <si>
    <t>Brands</t>
  </si>
  <si>
    <t>UGG</t>
  </si>
  <si>
    <t>Hoka</t>
  </si>
  <si>
    <t>Teva</t>
  </si>
  <si>
    <t>Sanuk</t>
  </si>
  <si>
    <t>Other</t>
  </si>
  <si>
    <t>% of Revenue</t>
  </si>
  <si>
    <t>Description</t>
  </si>
  <si>
    <t>Costumers</t>
  </si>
  <si>
    <t>Competition</t>
  </si>
  <si>
    <t>Boots, Sandals Shoes, Appereal</t>
  </si>
  <si>
    <t>Athletic Footwear, Appereal, Outdoor</t>
  </si>
  <si>
    <t>Sandals, Outdoor/Hicking Shoes</t>
  </si>
  <si>
    <t>Sandals, Shoes, Slippers</t>
  </si>
  <si>
    <t>other</t>
  </si>
  <si>
    <t>UGG-Growth</t>
  </si>
  <si>
    <t>HOKA-Growth</t>
  </si>
  <si>
    <t>Revenue Growth</t>
  </si>
  <si>
    <t>Gross Margin</t>
  </si>
  <si>
    <t>Operating Margin</t>
  </si>
  <si>
    <t>Profit Margin</t>
  </si>
  <si>
    <t>Tax Rate</t>
  </si>
  <si>
    <t>Interes Income</t>
  </si>
  <si>
    <t>Interest Expense</t>
  </si>
  <si>
    <t>Other Income</t>
  </si>
  <si>
    <t>Pre Tax Income</t>
  </si>
  <si>
    <t xml:space="preserve">Income Tax </t>
  </si>
  <si>
    <t>Net Income</t>
  </si>
  <si>
    <t>EPS</t>
  </si>
  <si>
    <t>Shares</t>
  </si>
  <si>
    <t>Cash and Cash Equivalents</t>
  </si>
  <si>
    <t>Account Receivables</t>
  </si>
  <si>
    <t>Inventories</t>
  </si>
  <si>
    <t>Prepaid Expenses</t>
  </si>
  <si>
    <t>Total Current Assets</t>
  </si>
  <si>
    <t xml:space="preserve">Other </t>
  </si>
  <si>
    <t>Income Tax Receivables</t>
  </si>
  <si>
    <t>PP&amp;E</t>
  </si>
  <si>
    <t>Operating Lease Assets</t>
  </si>
  <si>
    <t>Goodwill</t>
  </si>
  <si>
    <t>Intangibles</t>
  </si>
  <si>
    <t>Deffered Tax Assets</t>
  </si>
  <si>
    <t>Total Assets</t>
  </si>
  <si>
    <t>Account Payables</t>
  </si>
  <si>
    <t>Accrued Payroll</t>
  </si>
  <si>
    <t>Operating Lease Liabilities</t>
  </si>
  <si>
    <t>Other Accrued Expenses</t>
  </si>
  <si>
    <t>Income Tax Payables</t>
  </si>
  <si>
    <t>Value added tax payables</t>
  </si>
  <si>
    <t>Total Current Liabilities</t>
  </si>
  <si>
    <t>Long Term Lease Liabilites</t>
  </si>
  <si>
    <t>Income Tax Liabilities</t>
  </si>
  <si>
    <t>Total Liabilities</t>
  </si>
  <si>
    <t>Total Equity</t>
  </si>
  <si>
    <t>Total Liabilities &amp; Equity</t>
  </si>
  <si>
    <t>D&amp;A</t>
  </si>
  <si>
    <t>Q225</t>
  </si>
  <si>
    <t>numbers in mio USD</t>
  </si>
  <si>
    <t>Q125</t>
  </si>
  <si>
    <t>Q325</t>
  </si>
  <si>
    <t>Q425</t>
  </si>
  <si>
    <t>D2C Revenue</t>
  </si>
  <si>
    <t>FY25</t>
  </si>
  <si>
    <t>CFFO</t>
  </si>
  <si>
    <t>CAPEX</t>
  </si>
  <si>
    <t>FCF</t>
  </si>
  <si>
    <t>Wholesale Revenue</t>
  </si>
  <si>
    <t>Q126</t>
  </si>
  <si>
    <t>Q226</t>
  </si>
  <si>
    <t>Q326</t>
  </si>
  <si>
    <t>Q426</t>
  </si>
  <si>
    <t>FY26</t>
  </si>
  <si>
    <t>n.a.</t>
  </si>
  <si>
    <t>Q127</t>
  </si>
  <si>
    <t>Q227</t>
  </si>
  <si>
    <t>Q327</t>
  </si>
  <si>
    <t>Q427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</si>
</sst>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;[Red]#,##0.0"/>
    <numFmt numFmtId="166" formatCode="#,##0.0;\(#,##0.0\)"/>
    <numFmt numFmtId="167" formatCode="#,##0.00;[Red]#,##0.0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7" fillId="0" borderId="0" xfId="0" applyFont="1"/>
    <xf numFmtId="0" fontId="4" fillId="0" borderId="0" xfId="0" applyFont="1"/>
    <xf numFmtId="165" fontId="4" fillId="0" borderId="0" xfId="0" applyNumberFormat="1" applyFont="1"/>
    <xf numFmtId="0" fontId="8" fillId="0" borderId="0" xfId="1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16" fontId="4" fillId="0" borderId="0" xfId="0" applyNumberFormat="1" applyFont="1"/>
    <xf numFmtId="0" fontId="9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/>
    <xf numFmtId="9" fontId="4" fillId="0" borderId="0" xfId="0" applyNumberFormat="1" applyFont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/>
    <xf numFmtId="0" fontId="4" fillId="0" borderId="0" xfId="0" applyFont="1" applyAlignment="1">
      <alignment horizontal="center"/>
    </xf>
    <xf numFmtId="166" fontId="4" fillId="0" borderId="0" xfId="0" applyNumberFormat="1" applyFont="1"/>
    <xf numFmtId="166" fontId="4" fillId="0" borderId="0" xfId="2" applyNumberFormat="1" applyFont="1"/>
    <xf numFmtId="165" fontId="7" fillId="0" borderId="0" xfId="0" applyNumberFormat="1" applyFont="1"/>
    <xf numFmtId="166" fontId="7" fillId="0" borderId="0" xfId="0" applyNumberFormat="1" applyFont="1"/>
    <xf numFmtId="167" fontId="4" fillId="0" borderId="0" xfId="0" applyNumberFormat="1" applyFont="1"/>
    <xf numFmtId="9" fontId="4" fillId="0" borderId="0" xfId="2" applyFont="1"/>
    <xf numFmtId="9" fontId="7" fillId="0" borderId="0" xfId="2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/>
    <xf numFmtId="166" fontId="1" fillId="0" borderId="0" xfId="0" applyNumberFormat="1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r.deckers.com/ir-home/default.aspx" TargetMode="External"/><Relationship Id="rId1" Type="http://schemas.openxmlformats.org/officeDocument/2006/relationships/hyperlink" Target="https://www.sec.gov/cgi-bin/browse-edgar?action=getcompany&amp;CIK=0000910521&amp;type=&amp;dateb=&amp;owner=exclude&amp;count=40&amp;search_tex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AD81-88EE-407E-AFB3-8F4FE0F8204A}">
  <dimension ref="A1:N14"/>
  <sheetViews>
    <sheetView topLeftCell="G1" zoomScale="200" zoomScaleNormal="200" workbookViewId="0">
      <selection activeCell="M6" sqref="M6"/>
    </sheetView>
  </sheetViews>
  <sheetFormatPr defaultRowHeight="12.75" x14ac:dyDescent="0.2"/>
  <cols>
    <col min="1" max="1" width="4.28515625" style="2" customWidth="1"/>
    <col min="2" max="4" width="9.140625" style="2"/>
    <col min="5" max="5" width="31.28515625" style="2" customWidth="1"/>
    <col min="6" max="12" width="9.140625" style="2"/>
    <col min="13" max="13" width="9.28515625" style="2" customWidth="1"/>
    <col min="14" max="16384" width="9.140625" style="2"/>
  </cols>
  <sheetData>
    <row r="1" spans="1:14" x14ac:dyDescent="0.2">
      <c r="A1" s="1" t="s">
        <v>1</v>
      </c>
    </row>
    <row r="2" spans="1:14" x14ac:dyDescent="0.2">
      <c r="A2" s="2" t="s">
        <v>90</v>
      </c>
      <c r="L2" s="2" t="s">
        <v>3</v>
      </c>
      <c r="M2" s="3">
        <v>103.91</v>
      </c>
    </row>
    <row r="3" spans="1:14" x14ac:dyDescent="0.2">
      <c r="F3" s="4" t="s">
        <v>0</v>
      </c>
      <c r="L3" s="2" t="s">
        <v>4</v>
      </c>
      <c r="M3" s="3">
        <v>136.41422700000001</v>
      </c>
      <c r="N3" s="28" t="s">
        <v>106</v>
      </c>
    </row>
    <row r="4" spans="1:14" x14ac:dyDescent="0.2">
      <c r="B4" s="2" t="s">
        <v>30</v>
      </c>
      <c r="C4" s="7">
        <v>45536</v>
      </c>
      <c r="F4" s="4" t="s">
        <v>2</v>
      </c>
      <c r="L4" s="2" t="s">
        <v>5</v>
      </c>
      <c r="M4" s="5">
        <f>M3*M2</f>
        <v>14174.802327570002</v>
      </c>
    </row>
    <row r="5" spans="1:14" x14ac:dyDescent="0.2">
      <c r="B5" s="2" t="s">
        <v>31</v>
      </c>
      <c r="C5" s="7">
        <v>45382</v>
      </c>
      <c r="L5" s="2" t="s">
        <v>6</v>
      </c>
      <c r="M5" s="5">
        <v>1602.5889999999999</v>
      </c>
      <c r="N5" s="28" t="s">
        <v>106</v>
      </c>
    </row>
    <row r="6" spans="1:14" x14ac:dyDescent="0.2">
      <c r="L6" s="2" t="s">
        <v>7</v>
      </c>
      <c r="M6" s="5">
        <v>0</v>
      </c>
      <c r="N6" s="28" t="s">
        <v>106</v>
      </c>
    </row>
    <row r="7" spans="1:14" x14ac:dyDescent="0.2">
      <c r="B7" s="8" t="s">
        <v>32</v>
      </c>
      <c r="L7" s="2" t="s">
        <v>8</v>
      </c>
      <c r="M7" s="5">
        <f>M4-M5+M6</f>
        <v>12572.213327570002</v>
      </c>
    </row>
    <row r="8" spans="1:14" x14ac:dyDescent="0.2">
      <c r="B8" s="9" t="s">
        <v>33</v>
      </c>
      <c r="C8" s="10" t="s">
        <v>39</v>
      </c>
      <c r="D8" s="10"/>
      <c r="E8" s="10" t="s">
        <v>40</v>
      </c>
      <c r="F8" s="10" t="s">
        <v>41</v>
      </c>
      <c r="G8" s="10"/>
      <c r="H8" s="10" t="s">
        <v>42</v>
      </c>
      <c r="I8" s="10"/>
      <c r="J8" s="11"/>
    </row>
    <row r="9" spans="1:14" x14ac:dyDescent="0.2">
      <c r="B9" s="12" t="s">
        <v>34</v>
      </c>
      <c r="C9" s="13">
        <v>0.52</v>
      </c>
      <c r="E9" s="2" t="s">
        <v>43</v>
      </c>
      <c r="J9" s="14"/>
    </row>
    <row r="10" spans="1:14" x14ac:dyDescent="0.2">
      <c r="B10" s="12" t="s">
        <v>35</v>
      </c>
      <c r="C10" s="13">
        <v>0.42</v>
      </c>
      <c r="E10" s="2" t="s">
        <v>44</v>
      </c>
      <c r="J10" s="14"/>
    </row>
    <row r="11" spans="1:14" x14ac:dyDescent="0.2">
      <c r="B11" s="12" t="s">
        <v>36</v>
      </c>
      <c r="C11" s="13">
        <v>0.03</v>
      </c>
      <c r="E11" s="2" t="s">
        <v>45</v>
      </c>
      <c r="J11" s="14"/>
    </row>
    <row r="12" spans="1:14" x14ac:dyDescent="0.2">
      <c r="B12" s="12" t="s">
        <v>37</v>
      </c>
      <c r="C12" s="13">
        <v>0.01</v>
      </c>
      <c r="E12" s="2" t="s">
        <v>46</v>
      </c>
      <c r="J12" s="14"/>
    </row>
    <row r="13" spans="1:14" x14ac:dyDescent="0.2">
      <c r="B13" s="12" t="s">
        <v>38</v>
      </c>
      <c r="C13" s="13">
        <v>0.02</v>
      </c>
      <c r="E13" s="2" t="s">
        <v>47</v>
      </c>
      <c r="J13" s="14"/>
    </row>
    <row r="14" spans="1:14" x14ac:dyDescent="0.2">
      <c r="B14" s="15"/>
      <c r="C14" s="16"/>
      <c r="D14" s="16"/>
      <c r="E14" s="16"/>
      <c r="F14" s="16"/>
      <c r="G14" s="16"/>
      <c r="H14" s="16"/>
      <c r="I14" s="16"/>
      <c r="J14" s="17"/>
    </row>
  </sheetData>
  <hyperlinks>
    <hyperlink ref="F3" r:id="rId1" xr:uid="{FF6381CF-D46D-496F-8182-BEFB8C467C42}"/>
    <hyperlink ref="F4" r:id="rId2" xr:uid="{8F69941C-4C8A-4181-90DC-65B8F092EA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EB27-452B-48DD-8092-5ECA5113EA18}">
  <dimension ref="A1:AA67"/>
  <sheetViews>
    <sheetView tabSelected="1" zoomScale="200" zoomScaleNormal="2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O1" sqref="O1"/>
    </sheetView>
  </sheetViews>
  <sheetFormatPr defaultRowHeight="12.75" x14ac:dyDescent="0.2"/>
  <cols>
    <col min="1" max="1" width="4.42578125" style="2" customWidth="1"/>
    <col min="2" max="2" width="38" style="2" customWidth="1"/>
    <col min="3" max="16384" width="9.140625" style="19"/>
  </cols>
  <sheetData>
    <row r="1" spans="1:27" s="2" customFormat="1" x14ac:dyDescent="0.2">
      <c r="A1" s="4" t="s">
        <v>9</v>
      </c>
    </row>
    <row r="2" spans="1:27" s="2" customFormat="1" x14ac:dyDescent="0.2">
      <c r="C2" s="6" t="s">
        <v>11</v>
      </c>
      <c r="D2" s="6" t="s">
        <v>12</v>
      </c>
      <c r="E2" s="6" t="s">
        <v>13</v>
      </c>
      <c r="F2" s="6" t="s">
        <v>14</v>
      </c>
      <c r="G2" s="6" t="s">
        <v>91</v>
      </c>
      <c r="H2" s="6" t="s">
        <v>89</v>
      </c>
      <c r="I2" s="6" t="s">
        <v>92</v>
      </c>
      <c r="J2" s="6" t="s">
        <v>93</v>
      </c>
      <c r="K2" s="6" t="s">
        <v>100</v>
      </c>
      <c r="L2" s="6" t="s">
        <v>101</v>
      </c>
      <c r="M2" s="6" t="s">
        <v>102</v>
      </c>
      <c r="N2" s="6" t="s">
        <v>103</v>
      </c>
      <c r="O2" s="28" t="s">
        <v>106</v>
      </c>
      <c r="P2" s="28" t="s">
        <v>107</v>
      </c>
      <c r="Q2" s="28" t="s">
        <v>108</v>
      </c>
      <c r="R2" s="28" t="s">
        <v>109</v>
      </c>
      <c r="T2" s="6" t="s">
        <v>10</v>
      </c>
      <c r="U2" s="6" t="s">
        <v>15</v>
      </c>
      <c r="V2" s="6" t="s">
        <v>16</v>
      </c>
      <c r="W2" s="6" t="s">
        <v>17</v>
      </c>
      <c r="X2" s="6" t="s">
        <v>18</v>
      </c>
      <c r="Y2" s="6" t="s">
        <v>19</v>
      </c>
      <c r="Z2" s="6" t="s">
        <v>95</v>
      </c>
      <c r="AA2" s="26" t="s">
        <v>104</v>
      </c>
    </row>
    <row r="3" spans="1:27" x14ac:dyDescent="0.2">
      <c r="A3" s="18"/>
      <c r="B3" s="3" t="s">
        <v>25</v>
      </c>
      <c r="D3" s="19">
        <v>451.84100000000001</v>
      </c>
      <c r="H3" s="19">
        <v>512.40099999999995</v>
      </c>
      <c r="K3" s="19">
        <v>265.09199999999998</v>
      </c>
      <c r="M3" s="19">
        <v>1305.4749999999999</v>
      </c>
      <c r="O3" s="19">
        <v>278.04899999999998</v>
      </c>
      <c r="X3" s="19">
        <v>1929.211</v>
      </c>
      <c r="Y3" s="19">
        <v>2239.1320000000001</v>
      </c>
      <c r="Z3" s="20">
        <v>2531.3510000000001</v>
      </c>
      <c r="AA3" s="19">
        <v>2738.7579999999998</v>
      </c>
    </row>
    <row r="4" spans="1:27" x14ac:dyDescent="0.2">
      <c r="A4" s="18"/>
      <c r="B4" s="3" t="s">
        <v>26</v>
      </c>
      <c r="D4" s="19">
        <v>262.97300000000001</v>
      </c>
      <c r="H4" s="19">
        <v>362.34399999999999</v>
      </c>
      <c r="K4" s="19">
        <v>653.11900000000003</v>
      </c>
      <c r="M4" s="19">
        <v>628.88199999999995</v>
      </c>
      <c r="O4" s="19">
        <v>703.53800000000001</v>
      </c>
      <c r="X4" s="19">
        <v>1412.9159999999999</v>
      </c>
      <c r="Y4" s="19">
        <v>1806.74</v>
      </c>
      <c r="Z4" s="20">
        <v>2233.09</v>
      </c>
      <c r="AA4" s="19">
        <v>2587.33</v>
      </c>
    </row>
    <row r="5" spans="1:27" x14ac:dyDescent="0.2">
      <c r="A5" s="18"/>
      <c r="B5" s="3" t="s">
        <v>27</v>
      </c>
      <c r="D5" s="19">
        <v>12.15</v>
      </c>
      <c r="H5" s="19">
        <v>12.132</v>
      </c>
      <c r="K5" s="19">
        <v>0</v>
      </c>
      <c r="M5" s="19">
        <v>0</v>
      </c>
      <c r="O5" s="19">
        <v>0</v>
      </c>
      <c r="X5" s="19">
        <v>183.06100000000001</v>
      </c>
      <c r="Y5" s="19">
        <v>148.51900000000001</v>
      </c>
      <c r="Z5" s="27" t="s">
        <v>105</v>
      </c>
      <c r="AA5" s="27" t="s">
        <v>105</v>
      </c>
    </row>
    <row r="6" spans="1:27" x14ac:dyDescent="0.2">
      <c r="A6" s="18"/>
      <c r="B6" s="3" t="s">
        <v>28</v>
      </c>
      <c r="D6" s="19">
        <v>3.3348</v>
      </c>
      <c r="H6" s="19">
        <v>1.895</v>
      </c>
      <c r="K6" s="19">
        <v>0</v>
      </c>
      <c r="M6" s="19">
        <v>0</v>
      </c>
      <c r="O6" s="19">
        <v>0</v>
      </c>
      <c r="X6" s="19">
        <v>37.966000000000001</v>
      </c>
      <c r="Y6" s="19">
        <v>25.449000000000002</v>
      </c>
      <c r="Z6" s="27" t="s">
        <v>105</v>
      </c>
      <c r="AA6" s="27" t="s">
        <v>105</v>
      </c>
    </row>
    <row r="7" spans="1:27" x14ac:dyDescent="0.2">
      <c r="A7" s="18"/>
      <c r="B7" s="3" t="s">
        <v>29</v>
      </c>
      <c r="D7" s="19">
        <v>29.861999999999998</v>
      </c>
      <c r="H7" s="19">
        <v>24.881</v>
      </c>
      <c r="K7" s="19">
        <v>-8.3829999999999991</v>
      </c>
      <c r="M7" s="19">
        <v>23.192</v>
      </c>
      <c r="O7" s="30">
        <v>37.944000000000003</v>
      </c>
      <c r="X7" s="19">
        <v>64.132000000000005</v>
      </c>
      <c r="Y7" s="19">
        <v>67.923000000000002</v>
      </c>
      <c r="Z7" s="20">
        <v>175.77</v>
      </c>
      <c r="AA7" s="19">
        <v>146.208</v>
      </c>
    </row>
    <row r="8" spans="1:27" x14ac:dyDescent="0.2">
      <c r="A8" s="18"/>
      <c r="B8" s="3" t="s">
        <v>99</v>
      </c>
      <c r="K8" s="19">
        <v>652.36</v>
      </c>
      <c r="M8" s="19">
        <v>864.57</v>
      </c>
      <c r="O8" s="19">
        <v>666.71400000000006</v>
      </c>
      <c r="Z8" s="20">
        <v>2855.8649999999998</v>
      </c>
      <c r="AA8" s="19">
        <v>3208.107</v>
      </c>
    </row>
    <row r="9" spans="1:27" x14ac:dyDescent="0.2">
      <c r="A9" s="18"/>
      <c r="B9" s="3" t="s">
        <v>94</v>
      </c>
      <c r="D9" s="19">
        <v>331.733</v>
      </c>
      <c r="H9" s="19">
        <v>397.66699999999997</v>
      </c>
      <c r="K9" s="19">
        <v>312.17399999999998</v>
      </c>
      <c r="M9" s="19">
        <v>1092.979</v>
      </c>
      <c r="O9" s="19">
        <v>352.81700000000001</v>
      </c>
      <c r="Z9" s="20">
        <v>2129.7469999999998</v>
      </c>
      <c r="AA9" s="19">
        <v>2264.1889999999999</v>
      </c>
    </row>
    <row r="10" spans="1:27" x14ac:dyDescent="0.2">
      <c r="B10" s="21" t="s">
        <v>20</v>
      </c>
      <c r="C10" s="22"/>
      <c r="D10" s="22">
        <v>1091.9069999999999</v>
      </c>
      <c r="E10" s="22">
        <v>1560.307</v>
      </c>
      <c r="F10" s="22"/>
      <c r="G10" s="22">
        <v>825.34699999999998</v>
      </c>
      <c r="H10" s="22">
        <v>1311.32</v>
      </c>
      <c r="I10" s="22">
        <v>1827.165</v>
      </c>
      <c r="J10" s="22"/>
      <c r="K10" s="22">
        <v>964.53800000000001</v>
      </c>
      <c r="L10" s="22">
        <v>1430.84</v>
      </c>
      <c r="M10" s="22">
        <v>1957.549</v>
      </c>
      <c r="N10" s="22"/>
      <c r="O10" s="22">
        <v>1019.5309999999999</v>
      </c>
      <c r="P10" s="22"/>
      <c r="Q10" s="22"/>
      <c r="R10" s="22"/>
      <c r="S10" s="22"/>
      <c r="T10" s="22"/>
      <c r="U10" s="22"/>
      <c r="V10" s="22"/>
      <c r="W10" s="22">
        <v>3150.3389999999999</v>
      </c>
      <c r="X10" s="22">
        <v>3627.2860000000001</v>
      </c>
      <c r="Y10" s="22">
        <v>4287.7629999999999</v>
      </c>
      <c r="Z10" s="22">
        <v>4985.6120000000001</v>
      </c>
      <c r="AA10" s="22">
        <v>5472.2960000000003</v>
      </c>
    </row>
    <row r="11" spans="1:27" x14ac:dyDescent="0.2">
      <c r="B11" s="2" t="s">
        <v>21</v>
      </c>
      <c r="D11" s="19">
        <v>508.88799999999998</v>
      </c>
      <c r="E11" s="19">
        <v>643.73800000000006</v>
      </c>
      <c r="G11" s="19">
        <v>355.34699999999998</v>
      </c>
      <c r="H11" s="19">
        <v>578.048</v>
      </c>
      <c r="I11" s="19">
        <v>724.54200000000003</v>
      </c>
      <c r="K11" s="19">
        <v>426.63200000000001</v>
      </c>
      <c r="L11" s="19">
        <v>627.01800000000003</v>
      </c>
      <c r="M11" s="19">
        <v>786.18899999999996</v>
      </c>
      <c r="O11" s="19">
        <v>444.36799999999999</v>
      </c>
      <c r="W11" s="19">
        <v>1542.788</v>
      </c>
      <c r="X11" s="19">
        <v>1801.9159999999999</v>
      </c>
      <c r="Y11" s="19">
        <v>1902.2750000000001</v>
      </c>
      <c r="Z11" s="19">
        <v>2099.9490000000001</v>
      </c>
      <c r="AA11" s="19">
        <v>2314.5700000000002</v>
      </c>
    </row>
    <row r="12" spans="1:27" x14ac:dyDescent="0.2">
      <c r="B12" s="2" t="s">
        <v>22</v>
      </c>
      <c r="C12" s="19">
        <f t="shared" ref="C12:O12" si="0">C10-C11</f>
        <v>0</v>
      </c>
      <c r="D12" s="19">
        <f t="shared" si="0"/>
        <v>583.01900000000001</v>
      </c>
      <c r="E12" s="19">
        <f t="shared" si="0"/>
        <v>916.56899999999996</v>
      </c>
      <c r="F12" s="19">
        <f t="shared" si="0"/>
        <v>0</v>
      </c>
      <c r="G12" s="19">
        <f t="shared" si="0"/>
        <v>470</v>
      </c>
      <c r="H12" s="19">
        <f t="shared" si="0"/>
        <v>733.27199999999993</v>
      </c>
      <c r="I12" s="19">
        <f t="shared" si="0"/>
        <v>1102.623</v>
      </c>
      <c r="J12" s="19">
        <f t="shared" si="0"/>
        <v>0</v>
      </c>
      <c r="K12" s="19">
        <f t="shared" si="0"/>
        <v>537.90599999999995</v>
      </c>
      <c r="L12" s="19">
        <f t="shared" si="0"/>
        <v>803.82199999999989</v>
      </c>
      <c r="M12" s="19">
        <f t="shared" si="0"/>
        <v>1171.3600000000001</v>
      </c>
      <c r="N12" s="19">
        <f t="shared" si="0"/>
        <v>0</v>
      </c>
      <c r="O12" s="19">
        <f t="shared" si="0"/>
        <v>575.16300000000001</v>
      </c>
      <c r="T12" s="19">
        <f t="shared" ref="T12:X12" si="1">T10-T11</f>
        <v>0</v>
      </c>
      <c r="U12" s="19">
        <f t="shared" si="1"/>
        <v>0</v>
      </c>
      <c r="V12" s="19">
        <f t="shared" si="1"/>
        <v>0</v>
      </c>
      <c r="W12" s="19">
        <f t="shared" si="1"/>
        <v>1607.5509999999999</v>
      </c>
      <c r="X12" s="19">
        <f t="shared" si="1"/>
        <v>1825.3700000000001</v>
      </c>
      <c r="Y12" s="19">
        <f>Y10-Y11</f>
        <v>2385.4879999999998</v>
      </c>
      <c r="Z12" s="19">
        <f>Z10-Z11</f>
        <v>2885.663</v>
      </c>
      <c r="AA12" s="19">
        <f>AA10-AA11</f>
        <v>3157.7260000000001</v>
      </c>
    </row>
    <row r="13" spans="1:27" x14ac:dyDescent="0.2">
      <c r="B13" s="2" t="s">
        <v>23</v>
      </c>
      <c r="D13" s="19">
        <v>358.40199999999999</v>
      </c>
      <c r="E13" s="19">
        <v>428.67</v>
      </c>
      <c r="G13" s="19">
        <v>337.19299999999998</v>
      </c>
      <c r="H13" s="19">
        <v>428.18599999999998</v>
      </c>
      <c r="I13" s="19">
        <v>535.34900000000005</v>
      </c>
      <c r="K13" s="19">
        <v>372.61900000000003</v>
      </c>
      <c r="L13" s="19">
        <v>477.30099999999999</v>
      </c>
      <c r="M13" s="19">
        <v>556.99400000000003</v>
      </c>
      <c r="O13" s="19">
        <v>419.86200000000002</v>
      </c>
      <c r="W13" s="19">
        <v>1042.8440000000001</v>
      </c>
      <c r="X13" s="19">
        <v>1172.6189999999999</v>
      </c>
      <c r="Y13" s="19">
        <v>1457.9469999999999</v>
      </c>
      <c r="Z13" s="19">
        <v>1706.5709999999999</v>
      </c>
      <c r="AA13" s="19">
        <v>1894.8230000000001</v>
      </c>
    </row>
    <row r="14" spans="1:27" x14ac:dyDescent="0.2">
      <c r="B14" s="2" t="s">
        <v>24</v>
      </c>
      <c r="C14" s="19">
        <f t="shared" ref="C14" si="2">C12-C13</f>
        <v>0</v>
      </c>
      <c r="D14" s="19">
        <f t="shared" ref="D14" si="3">D12-D13</f>
        <v>224.61700000000002</v>
      </c>
      <c r="E14" s="19">
        <f t="shared" ref="E14" si="4">E12-E13</f>
        <v>487.89899999999994</v>
      </c>
      <c r="F14" s="19">
        <f t="shared" ref="F14:O14" si="5">F12-F13</f>
        <v>0</v>
      </c>
      <c r="G14" s="19">
        <f t="shared" si="5"/>
        <v>132.80700000000002</v>
      </c>
      <c r="H14" s="19">
        <f t="shared" si="5"/>
        <v>305.08599999999996</v>
      </c>
      <c r="I14" s="19">
        <f t="shared" si="5"/>
        <v>567.274</v>
      </c>
      <c r="J14" s="19">
        <f t="shared" si="5"/>
        <v>0</v>
      </c>
      <c r="K14" s="19">
        <f t="shared" si="5"/>
        <v>165.28699999999992</v>
      </c>
      <c r="L14" s="19">
        <f t="shared" si="5"/>
        <v>326.5209999999999</v>
      </c>
      <c r="M14" s="19">
        <f t="shared" si="5"/>
        <v>614.3660000000001</v>
      </c>
      <c r="N14" s="19">
        <f t="shared" si="5"/>
        <v>0</v>
      </c>
      <c r="O14" s="19">
        <f t="shared" si="5"/>
        <v>155.30099999999999</v>
      </c>
      <c r="T14" s="19">
        <f t="shared" ref="T14:X14" si="6">T12-T13</f>
        <v>0</v>
      </c>
      <c r="U14" s="19">
        <f t="shared" si="6"/>
        <v>0</v>
      </c>
      <c r="V14" s="19">
        <f t="shared" si="6"/>
        <v>0</v>
      </c>
      <c r="W14" s="19">
        <f t="shared" si="6"/>
        <v>564.70699999999988</v>
      </c>
      <c r="X14" s="19">
        <f t="shared" si="6"/>
        <v>652.7510000000002</v>
      </c>
      <c r="Y14" s="19">
        <f>Y12-Y13</f>
        <v>927.54099999999994</v>
      </c>
      <c r="Z14" s="19">
        <f>Z12-Z13</f>
        <v>1179.0920000000001</v>
      </c>
      <c r="AA14" s="19">
        <f>AA12-AA13</f>
        <v>1262.903</v>
      </c>
    </row>
    <row r="15" spans="1:27" x14ac:dyDescent="0.2">
      <c r="B15" s="2" t="s">
        <v>55</v>
      </c>
      <c r="D15" s="19">
        <v>10.089</v>
      </c>
      <c r="E15" s="19">
        <v>11.154</v>
      </c>
      <c r="G15" s="19">
        <v>16.346</v>
      </c>
      <c r="H15" s="19">
        <v>14.797000000000001</v>
      </c>
      <c r="I15" s="19">
        <v>16.667999999999999</v>
      </c>
      <c r="K15" s="19">
        <v>17.779</v>
      </c>
      <c r="L15" s="19">
        <v>15.835000000000001</v>
      </c>
      <c r="M15" s="19">
        <v>13.523</v>
      </c>
      <c r="O15" s="29">
        <v>13.749000000000001</v>
      </c>
      <c r="W15" s="19">
        <v>1.901</v>
      </c>
      <c r="X15" s="19">
        <v>15.563000000000001</v>
      </c>
      <c r="Y15" s="19">
        <v>52.207999999999998</v>
      </c>
      <c r="Z15" s="19">
        <v>68.388999999999996</v>
      </c>
      <c r="AA15" s="19">
        <v>63.613</v>
      </c>
    </row>
    <row r="16" spans="1:27" x14ac:dyDescent="0.2">
      <c r="B16" s="2" t="s">
        <v>56</v>
      </c>
      <c r="D16" s="19">
        <v>1.0109999999999999</v>
      </c>
      <c r="E16" s="19">
        <v>0</v>
      </c>
      <c r="G16" s="19">
        <v>0</v>
      </c>
      <c r="H16" s="19">
        <v>1.151</v>
      </c>
      <c r="I16" s="19">
        <v>0</v>
      </c>
      <c r="K16" s="19">
        <v>0</v>
      </c>
      <c r="L16" s="19">
        <v>0</v>
      </c>
      <c r="M16" s="19">
        <v>1.069</v>
      </c>
      <c r="O16" s="19">
        <v>0</v>
      </c>
      <c r="W16" s="19">
        <v>2.0830000000000002</v>
      </c>
      <c r="X16" s="19">
        <v>3.4420000000000002</v>
      </c>
      <c r="Y16" s="19">
        <v>2.6539999999999999</v>
      </c>
      <c r="Z16" s="19">
        <v>3.5169999999999999</v>
      </c>
      <c r="AA16" s="19">
        <v>2.5299999999999998</v>
      </c>
    </row>
    <row r="17" spans="2:27" x14ac:dyDescent="0.2">
      <c r="B17" s="2" t="s">
        <v>57</v>
      </c>
      <c r="D17" s="19">
        <v>0.622</v>
      </c>
      <c r="E17" s="19">
        <v>0</v>
      </c>
      <c r="G17" s="19">
        <v>0</v>
      </c>
      <c r="H17" s="19">
        <v>0.18</v>
      </c>
      <c r="I17" s="19">
        <v>0</v>
      </c>
      <c r="K17" s="19">
        <v>0</v>
      </c>
      <c r="L17" s="19">
        <v>0</v>
      </c>
      <c r="M17" s="19">
        <v>9.0999999999999998E-2</v>
      </c>
      <c r="O17" s="19">
        <v>0</v>
      </c>
      <c r="W17" s="19">
        <v>0.113</v>
      </c>
      <c r="X17" s="19">
        <v>1.21</v>
      </c>
      <c r="Y17" s="19">
        <v>1.7829999999999999</v>
      </c>
      <c r="Z17" s="19">
        <v>-0.66500000000000004</v>
      </c>
      <c r="AA17" s="19">
        <v>2.37</v>
      </c>
    </row>
    <row r="18" spans="2:27" x14ac:dyDescent="0.2">
      <c r="B18" s="2" t="s">
        <v>58</v>
      </c>
      <c r="C18" s="19">
        <f t="shared" ref="C18:G18" si="7">+C14-C16+C15+C17</f>
        <v>0</v>
      </c>
      <c r="D18" s="19">
        <f t="shared" si="7"/>
        <v>234.31700000000004</v>
      </c>
      <c r="E18" s="19">
        <f t="shared" si="7"/>
        <v>499.05299999999994</v>
      </c>
      <c r="F18" s="19">
        <f t="shared" si="7"/>
        <v>0</v>
      </c>
      <c r="G18" s="19">
        <f t="shared" si="7"/>
        <v>149.15300000000002</v>
      </c>
      <c r="H18" s="19">
        <f>+H14-H16+H15+H17</f>
        <v>318.91199999999998</v>
      </c>
      <c r="I18" s="19">
        <f t="shared" ref="I18:O18" si="8">+I14-I16+I15+I17</f>
        <v>583.94200000000001</v>
      </c>
      <c r="J18" s="19">
        <f t="shared" si="8"/>
        <v>0</v>
      </c>
      <c r="K18" s="19">
        <f t="shared" si="8"/>
        <v>183.06599999999992</v>
      </c>
      <c r="L18" s="19">
        <f t="shared" si="8"/>
        <v>342.35599999999988</v>
      </c>
      <c r="M18" s="19">
        <f t="shared" si="8"/>
        <v>626.91100000000017</v>
      </c>
      <c r="N18" s="19">
        <f t="shared" si="8"/>
        <v>0</v>
      </c>
      <c r="O18" s="19">
        <f t="shared" si="8"/>
        <v>169.04999999999998</v>
      </c>
      <c r="T18" s="19">
        <f t="shared" ref="T18" si="9">+T14-T16+T15+T17</f>
        <v>0</v>
      </c>
      <c r="U18" s="19">
        <f t="shared" ref="U18" si="10">+U14-U16+U15+U17</f>
        <v>0</v>
      </c>
      <c r="V18" s="19">
        <f t="shared" ref="V18" si="11">+V14-V16+V15+V17</f>
        <v>0</v>
      </c>
      <c r="W18" s="19">
        <f t="shared" ref="W18" si="12">+W14-W16+W15+W17</f>
        <v>564.63799999999992</v>
      </c>
      <c r="X18" s="19">
        <f t="shared" ref="X18" si="13">+X14-X16+X15+X17</f>
        <v>666.08200000000022</v>
      </c>
      <c r="Y18" s="19">
        <f t="shared" ref="Y18:AA18" si="14">+Y14-Y16+Y15+Y17</f>
        <v>978.87799999999993</v>
      </c>
      <c r="Z18" s="19">
        <f t="shared" si="14"/>
        <v>1243.299</v>
      </c>
      <c r="AA18" s="19">
        <f t="shared" si="14"/>
        <v>1326.356</v>
      </c>
    </row>
    <row r="19" spans="2:27" x14ac:dyDescent="0.2">
      <c r="B19" s="2" t="s">
        <v>59</v>
      </c>
      <c r="D19" s="19">
        <v>55.77</v>
      </c>
      <c r="E19" s="19">
        <v>109.134</v>
      </c>
      <c r="G19" s="19">
        <v>33.527999999999999</v>
      </c>
      <c r="H19" s="19">
        <v>76.590999999999994</v>
      </c>
      <c r="I19" s="19">
        <v>127.208</v>
      </c>
      <c r="K19" s="19">
        <v>43.863</v>
      </c>
      <c r="L19" s="19">
        <v>74.203999999999994</v>
      </c>
      <c r="M19" s="19">
        <v>145.768</v>
      </c>
      <c r="O19" s="19">
        <f>39.078-3.287</f>
        <v>35.791000000000004</v>
      </c>
      <c r="W19" s="19">
        <v>112.68899999999999</v>
      </c>
      <c r="X19" s="19">
        <v>149.26</v>
      </c>
      <c r="Y19" s="19">
        <v>219.37799999999999</v>
      </c>
      <c r="Z19" s="19">
        <v>277.20800000000003</v>
      </c>
      <c r="AA19" s="19">
        <v>302.28500000000003</v>
      </c>
    </row>
    <row r="20" spans="2:27" x14ac:dyDescent="0.2">
      <c r="B20" s="1" t="s">
        <v>60</v>
      </c>
      <c r="C20" s="19">
        <f t="shared" ref="C20:L20" si="15">+C18-C19</f>
        <v>0</v>
      </c>
      <c r="D20" s="19">
        <f t="shared" si="15"/>
        <v>178.54700000000003</v>
      </c>
      <c r="E20" s="19">
        <f t="shared" si="15"/>
        <v>389.91899999999993</v>
      </c>
      <c r="F20" s="19">
        <f t="shared" si="15"/>
        <v>0</v>
      </c>
      <c r="G20" s="19">
        <f t="shared" si="15"/>
        <v>115.62500000000003</v>
      </c>
      <c r="H20" s="19">
        <f t="shared" si="15"/>
        <v>242.32099999999997</v>
      </c>
      <c r="I20" s="19">
        <f t="shared" si="15"/>
        <v>456.73400000000004</v>
      </c>
      <c r="J20" s="19">
        <f t="shared" si="15"/>
        <v>0</v>
      </c>
      <c r="K20" s="19">
        <f t="shared" si="15"/>
        <v>139.20299999999992</v>
      </c>
      <c r="L20" s="19">
        <f t="shared" si="15"/>
        <v>268.15199999999987</v>
      </c>
      <c r="M20" s="19">
        <f>+M18-M19</f>
        <v>481.14300000000014</v>
      </c>
      <c r="N20" s="19">
        <f t="shared" ref="N20:AA20" si="16">+N18-N19</f>
        <v>0</v>
      </c>
      <c r="O20" s="19">
        <f t="shared" si="16"/>
        <v>133.25899999999999</v>
      </c>
      <c r="T20" s="19">
        <f t="shared" si="16"/>
        <v>0</v>
      </c>
      <c r="U20" s="19">
        <f t="shared" si="16"/>
        <v>0</v>
      </c>
      <c r="V20" s="19">
        <f t="shared" si="16"/>
        <v>0</v>
      </c>
      <c r="W20" s="19">
        <f t="shared" si="16"/>
        <v>451.94899999999996</v>
      </c>
      <c r="X20" s="19">
        <f t="shared" si="16"/>
        <v>516.82200000000023</v>
      </c>
      <c r="Y20" s="19">
        <f t="shared" si="16"/>
        <v>759.5</v>
      </c>
      <c r="Z20" s="19">
        <f t="shared" si="16"/>
        <v>966.09099999999989</v>
      </c>
      <c r="AA20" s="19">
        <f t="shared" si="16"/>
        <v>1024.0709999999999</v>
      </c>
    </row>
    <row r="21" spans="2:27" s="2" customFormat="1" x14ac:dyDescent="0.2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7" s="2" customFormat="1" x14ac:dyDescent="0.2">
      <c r="B22" s="2" t="s">
        <v>61</v>
      </c>
      <c r="C22" s="23" t="e">
        <f t="shared" ref="C22:G22" si="17">+C20/C23</f>
        <v>#DIV/0!</v>
      </c>
      <c r="D22" s="23">
        <f t="shared" si="17"/>
        <v>1.1431544036673755</v>
      </c>
      <c r="E22" s="23">
        <f t="shared" si="17"/>
        <v>2.5321882001493643</v>
      </c>
      <c r="F22" s="23" t="e">
        <f t="shared" si="17"/>
        <v>#DIV/0!</v>
      </c>
      <c r="G22" s="23">
        <f t="shared" si="17"/>
        <v>0.75637645796672948</v>
      </c>
      <c r="H22" s="23">
        <f>+H20/H23</f>
        <v>1.5917038885969519</v>
      </c>
      <c r="I22" s="23">
        <f t="shared" ref="I22:O22" si="18">+I20/I23</f>
        <v>3.0083915162692665</v>
      </c>
      <c r="J22" s="23" t="e">
        <f t="shared" si="18"/>
        <v>#DIV/0!</v>
      </c>
      <c r="K22" s="23">
        <f t="shared" si="18"/>
        <v>0.9320963681165626</v>
      </c>
      <c r="L22" s="23">
        <f t="shared" si="18"/>
        <v>1.8192747379490475</v>
      </c>
      <c r="M22" s="23">
        <f t="shared" si="18"/>
        <v>3.3396473936280988</v>
      </c>
      <c r="N22" s="23" t="e">
        <f t="shared" si="18"/>
        <v>#DIV/0!</v>
      </c>
      <c r="O22" s="23">
        <f t="shared" si="18"/>
        <v>0.96380810484366741</v>
      </c>
      <c r="P22" s="23"/>
      <c r="Q22" s="23"/>
      <c r="R22" s="23"/>
      <c r="S22" s="23"/>
      <c r="T22" s="23"/>
      <c r="U22" s="23"/>
      <c r="V22" s="23"/>
      <c r="W22" s="23">
        <v>16.43</v>
      </c>
      <c r="X22" s="23">
        <v>19.5</v>
      </c>
      <c r="Y22" s="23">
        <v>29.6</v>
      </c>
      <c r="Z22" s="23">
        <f>+Z20/Z23</f>
        <v>6.3561963787567768</v>
      </c>
      <c r="AA22" s="23">
        <f>+AA20/AA23</f>
        <v>7.0383854073595513</v>
      </c>
    </row>
    <row r="23" spans="2:27" s="2" customFormat="1" x14ac:dyDescent="0.2">
      <c r="B23" s="2" t="s">
        <v>62</v>
      </c>
      <c r="C23" s="3"/>
      <c r="D23" s="3">
        <v>156.18799999999999</v>
      </c>
      <c r="E23" s="3">
        <v>153.98500000000001</v>
      </c>
      <c r="F23" s="3"/>
      <c r="G23" s="3">
        <v>152.86699999999999</v>
      </c>
      <c r="H23" s="3">
        <v>152.24</v>
      </c>
      <c r="I23" s="3">
        <v>151.82</v>
      </c>
      <c r="J23" s="3"/>
      <c r="K23" s="3">
        <v>149.34399999999999</v>
      </c>
      <c r="L23" s="3">
        <v>147.39500000000001</v>
      </c>
      <c r="M23" s="3">
        <v>144.07</v>
      </c>
      <c r="N23" s="3"/>
      <c r="O23" s="3">
        <v>138.26300000000001</v>
      </c>
      <c r="P23" s="3"/>
      <c r="Q23" s="3"/>
      <c r="R23" s="3"/>
      <c r="S23" s="3"/>
      <c r="T23" s="3" t="e">
        <f t="shared" ref="T23:X23" si="19">T20/T22</f>
        <v>#DIV/0!</v>
      </c>
      <c r="U23" s="3" t="e">
        <f t="shared" si="19"/>
        <v>#DIV/0!</v>
      </c>
      <c r="V23" s="3" t="e">
        <f t="shared" si="19"/>
        <v>#DIV/0!</v>
      </c>
      <c r="W23" s="3">
        <f t="shared" si="19"/>
        <v>27.507547169811318</v>
      </c>
      <c r="X23" s="3">
        <f t="shared" si="19"/>
        <v>26.503692307692319</v>
      </c>
      <c r="Y23" s="3">
        <f>Y20/Y22</f>
        <v>25.658783783783782</v>
      </c>
      <c r="Z23" s="2">
        <v>151.99199999999999</v>
      </c>
      <c r="AA23" s="2">
        <v>145.49799999999999</v>
      </c>
    </row>
    <row r="24" spans="2:27" s="2" customFormat="1" x14ac:dyDescent="0.2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2:27" s="2" customFormat="1" x14ac:dyDescent="0.2">
      <c r="B25" s="3" t="s">
        <v>48</v>
      </c>
      <c r="C25" s="3"/>
      <c r="D25" s="3"/>
      <c r="E25" s="3"/>
      <c r="F25" s="3"/>
      <c r="G25" s="24" t="e">
        <f t="shared" ref="G25:L26" si="20">+G3/C3-1</f>
        <v>#DIV/0!</v>
      </c>
      <c r="H25" s="24">
        <f t="shared" si="20"/>
        <v>0.13402944841216247</v>
      </c>
      <c r="I25" s="24" t="e">
        <f t="shared" si="20"/>
        <v>#DIV/0!</v>
      </c>
      <c r="J25" s="24" t="e">
        <f t="shared" si="20"/>
        <v>#DIV/0!</v>
      </c>
      <c r="K25" s="24" t="e">
        <f t="shared" si="20"/>
        <v>#DIV/0!</v>
      </c>
      <c r="L25" s="24">
        <f t="shared" si="20"/>
        <v>-1</v>
      </c>
      <c r="M25" s="24" t="e">
        <f t="shared" ref="M25:M26" si="21">+M3/I3-1</f>
        <v>#DIV/0!</v>
      </c>
      <c r="N25" s="24" t="e">
        <f t="shared" ref="N25:N26" si="22">+N3/J3-1</f>
        <v>#DIV/0!</v>
      </c>
      <c r="O25" s="24">
        <f t="shared" ref="O25:O26" si="23">+O3/K3-1</f>
        <v>4.8877370875016979E-2</v>
      </c>
      <c r="P25" s="24" t="e">
        <f t="shared" ref="P25:P26" si="24">+P3/L3-1</f>
        <v>#DIV/0!</v>
      </c>
      <c r="Q25" s="24"/>
      <c r="R25" s="24"/>
      <c r="S25" s="3"/>
      <c r="T25" s="3"/>
      <c r="U25" s="24" t="e">
        <f t="shared" ref="U25:AA26" si="25">U3/T3-1</f>
        <v>#DIV/0!</v>
      </c>
      <c r="V25" s="24" t="e">
        <f t="shared" si="25"/>
        <v>#DIV/0!</v>
      </c>
      <c r="W25" s="24" t="e">
        <f t="shared" si="25"/>
        <v>#DIV/0!</v>
      </c>
      <c r="X25" s="24" t="e">
        <f t="shared" si="25"/>
        <v>#DIV/0!</v>
      </c>
      <c r="Y25" s="24">
        <f t="shared" si="25"/>
        <v>0.16064650263760671</v>
      </c>
      <c r="Z25" s="24">
        <f t="shared" si="25"/>
        <v>0.13050548158840125</v>
      </c>
      <c r="AA25" s="24">
        <f t="shared" si="25"/>
        <v>8.1935298581666371E-2</v>
      </c>
    </row>
    <row r="26" spans="2:27" s="2" customFormat="1" x14ac:dyDescent="0.2">
      <c r="B26" s="3" t="s">
        <v>49</v>
      </c>
      <c r="C26" s="3"/>
      <c r="D26" s="3"/>
      <c r="E26" s="3"/>
      <c r="F26" s="3"/>
      <c r="G26" s="24" t="e">
        <f t="shared" si="20"/>
        <v>#DIV/0!</v>
      </c>
      <c r="H26" s="24">
        <f t="shared" si="20"/>
        <v>0.37787529518239515</v>
      </c>
      <c r="I26" s="24" t="e">
        <f t="shared" si="20"/>
        <v>#DIV/0!</v>
      </c>
      <c r="J26" s="24" t="e">
        <f t="shared" si="20"/>
        <v>#DIV/0!</v>
      </c>
      <c r="K26" s="24" t="e">
        <f t="shared" si="20"/>
        <v>#DIV/0!</v>
      </c>
      <c r="L26" s="24">
        <f t="shared" si="20"/>
        <v>-1</v>
      </c>
      <c r="M26" s="24" t="e">
        <f t="shared" si="21"/>
        <v>#DIV/0!</v>
      </c>
      <c r="N26" s="24" t="e">
        <f t="shared" si="22"/>
        <v>#DIV/0!</v>
      </c>
      <c r="O26" s="24">
        <f t="shared" si="23"/>
        <v>7.7197264204532434E-2</v>
      </c>
      <c r="P26" s="24" t="e">
        <f t="shared" si="24"/>
        <v>#DIV/0!</v>
      </c>
      <c r="Q26" s="24"/>
      <c r="R26" s="24"/>
      <c r="S26" s="3"/>
      <c r="T26" s="3"/>
      <c r="U26" s="24" t="e">
        <f t="shared" si="25"/>
        <v>#DIV/0!</v>
      </c>
      <c r="V26" s="24" t="e">
        <f t="shared" si="25"/>
        <v>#DIV/0!</v>
      </c>
      <c r="W26" s="24" t="e">
        <f t="shared" si="25"/>
        <v>#DIV/0!</v>
      </c>
      <c r="X26" s="24" t="e">
        <f t="shared" si="25"/>
        <v>#DIV/0!</v>
      </c>
      <c r="Y26" s="24">
        <f t="shared" si="25"/>
        <v>0.27873136124157427</v>
      </c>
      <c r="Z26" s="24">
        <f t="shared" si="25"/>
        <v>0.2359775064480778</v>
      </c>
      <c r="AA26" s="24">
        <f t="shared" si="25"/>
        <v>0.15863220918100018</v>
      </c>
    </row>
    <row r="27" spans="2:27" s="2" customFormat="1" x14ac:dyDescent="0.2">
      <c r="B27" s="21" t="s">
        <v>50</v>
      </c>
      <c r="C27" s="21"/>
      <c r="D27" s="21"/>
      <c r="E27" s="21"/>
      <c r="F27" s="21"/>
      <c r="G27" s="25" t="e">
        <f t="shared" ref="G27:L27" si="26">+G10/C10-1</f>
        <v>#DIV/0!</v>
      </c>
      <c r="H27" s="25">
        <f t="shared" si="26"/>
        <v>0.20094476910579373</v>
      </c>
      <c r="I27" s="25">
        <f t="shared" si="26"/>
        <v>0.17102916285064418</v>
      </c>
      <c r="J27" s="25" t="e">
        <f t="shared" si="26"/>
        <v>#DIV/0!</v>
      </c>
      <c r="K27" s="25">
        <f t="shared" si="26"/>
        <v>0.16864543034626656</v>
      </c>
      <c r="L27" s="25">
        <f t="shared" si="26"/>
        <v>9.1144800658877978E-2</v>
      </c>
      <c r="M27" s="25">
        <f t="shared" ref="M27" si="27">+M10/I10-1</f>
        <v>7.1358634824988387E-2</v>
      </c>
      <c r="N27" s="25" t="e">
        <f t="shared" ref="N27" si="28">+N10/J10-1</f>
        <v>#DIV/0!</v>
      </c>
      <c r="O27" s="25">
        <f t="shared" ref="O27" si="29">+O10/K10-1</f>
        <v>5.7014861000810768E-2</v>
      </c>
      <c r="P27" s="25">
        <f t="shared" ref="P27" si="30">+P10/L10-1</f>
        <v>-1</v>
      </c>
      <c r="Q27" s="25"/>
      <c r="R27" s="25"/>
      <c r="S27" s="21"/>
      <c r="T27" s="21"/>
      <c r="U27" s="25" t="e">
        <f t="shared" ref="U27:AA27" si="31">U10/T10-1</f>
        <v>#DIV/0!</v>
      </c>
      <c r="V27" s="25" t="e">
        <f t="shared" si="31"/>
        <v>#DIV/0!</v>
      </c>
      <c r="W27" s="25" t="e">
        <f t="shared" si="31"/>
        <v>#DIV/0!</v>
      </c>
      <c r="X27" s="25">
        <f t="shared" si="31"/>
        <v>0.15139545299728074</v>
      </c>
      <c r="Y27" s="25">
        <f t="shared" si="31"/>
        <v>0.18208572469885187</v>
      </c>
      <c r="Z27" s="25">
        <f t="shared" si="31"/>
        <v>0.16275363167227308</v>
      </c>
      <c r="AA27" s="25">
        <f t="shared" si="31"/>
        <v>9.7617704707064989E-2</v>
      </c>
    </row>
    <row r="28" spans="2:27" s="2" customFormat="1" x14ac:dyDescent="0.2">
      <c r="B28" s="3" t="s">
        <v>51</v>
      </c>
      <c r="C28" s="24" t="e">
        <f t="shared" ref="C28:L28" si="32">C12/C10</f>
        <v>#DIV/0!</v>
      </c>
      <c r="D28" s="24">
        <f t="shared" si="32"/>
        <v>0.53394565654400972</v>
      </c>
      <c r="E28" s="24">
        <f t="shared" si="32"/>
        <v>0.58742862782772876</v>
      </c>
      <c r="F28" s="24" t="e">
        <f t="shared" si="32"/>
        <v>#DIV/0!</v>
      </c>
      <c r="G28" s="24">
        <f t="shared" si="32"/>
        <v>0.56945745244121559</v>
      </c>
      <c r="H28" s="24">
        <f t="shared" si="32"/>
        <v>0.55918616356038187</v>
      </c>
      <c r="I28" s="24">
        <f t="shared" si="32"/>
        <v>0.60346109957228822</v>
      </c>
      <c r="J28" s="24" t="e">
        <f t="shared" si="32"/>
        <v>#DIV/0!</v>
      </c>
      <c r="K28" s="24">
        <f t="shared" si="32"/>
        <v>0.55768253816853242</v>
      </c>
      <c r="L28" s="24">
        <f t="shared" si="32"/>
        <v>0.56178328813843614</v>
      </c>
      <c r="M28" s="24">
        <f t="shared" ref="M28:P28" si="33">M12/M10</f>
        <v>0.5983809345257769</v>
      </c>
      <c r="N28" s="24" t="e">
        <f t="shared" si="33"/>
        <v>#DIV/0!</v>
      </c>
      <c r="O28" s="24">
        <f t="shared" si="33"/>
        <v>0.56414469005846812</v>
      </c>
      <c r="P28" s="24" t="e">
        <f t="shared" si="33"/>
        <v>#DIV/0!</v>
      </c>
      <c r="Q28" s="24"/>
      <c r="R28" s="24"/>
      <c r="S28" s="3"/>
      <c r="T28" s="24" t="e">
        <f t="shared" ref="T28:AA28" si="34">T12/T10</f>
        <v>#DIV/0!</v>
      </c>
      <c r="U28" s="24" t="e">
        <f t="shared" si="34"/>
        <v>#DIV/0!</v>
      </c>
      <c r="V28" s="24" t="e">
        <f t="shared" si="34"/>
        <v>#DIV/0!</v>
      </c>
      <c r="W28" s="24">
        <f t="shared" si="34"/>
        <v>0.51027873508216104</v>
      </c>
      <c r="X28" s="24">
        <f t="shared" si="34"/>
        <v>0.50323299568878777</v>
      </c>
      <c r="Y28" s="24">
        <f t="shared" si="34"/>
        <v>0.55634791381893067</v>
      </c>
      <c r="Z28" s="24">
        <f t="shared" si="34"/>
        <v>0.57879814955515996</v>
      </c>
      <c r="AA28" s="24">
        <f t="shared" si="34"/>
        <v>0.57703859586542827</v>
      </c>
    </row>
    <row r="29" spans="2:27" s="2" customFormat="1" x14ac:dyDescent="0.2">
      <c r="B29" s="3" t="s">
        <v>52</v>
      </c>
      <c r="C29" s="24" t="e">
        <f t="shared" ref="C29:L29" si="35">C14/C10</f>
        <v>#DIV/0!</v>
      </c>
      <c r="D29" s="24">
        <f t="shared" si="35"/>
        <v>0.20571074276472268</v>
      </c>
      <c r="E29" s="24">
        <f t="shared" si="35"/>
        <v>0.31269423260935186</v>
      </c>
      <c r="F29" s="24" t="e">
        <f t="shared" si="35"/>
        <v>#DIV/0!</v>
      </c>
      <c r="G29" s="24">
        <f t="shared" si="35"/>
        <v>0.16091050188587347</v>
      </c>
      <c r="H29" s="24">
        <f t="shared" si="35"/>
        <v>0.23265564469389621</v>
      </c>
      <c r="I29" s="24">
        <f t="shared" si="35"/>
        <v>0.31046676134886558</v>
      </c>
      <c r="J29" s="24" t="e">
        <f t="shared" si="35"/>
        <v>#DIV/0!</v>
      </c>
      <c r="K29" s="24">
        <f t="shared" si="35"/>
        <v>0.17136390686525563</v>
      </c>
      <c r="L29" s="24">
        <f t="shared" si="35"/>
        <v>0.2282023147242179</v>
      </c>
      <c r="M29" s="24">
        <f t="shared" ref="M29:P29" si="36">M14/M10</f>
        <v>0.31384450657429269</v>
      </c>
      <c r="N29" s="24" t="e">
        <f t="shared" si="36"/>
        <v>#DIV/0!</v>
      </c>
      <c r="O29" s="24">
        <f t="shared" si="36"/>
        <v>0.15232592240942158</v>
      </c>
      <c r="P29" s="24" t="e">
        <f t="shared" si="36"/>
        <v>#DIV/0!</v>
      </c>
      <c r="Q29" s="24"/>
      <c r="R29" s="24"/>
      <c r="S29" s="3"/>
      <c r="T29" s="24" t="e">
        <f t="shared" ref="T29:AA29" si="37">T14/T10</f>
        <v>#DIV/0!</v>
      </c>
      <c r="U29" s="24" t="e">
        <f t="shared" si="37"/>
        <v>#DIV/0!</v>
      </c>
      <c r="V29" s="24" t="e">
        <f t="shared" si="37"/>
        <v>#DIV/0!</v>
      </c>
      <c r="W29" s="24">
        <f t="shared" si="37"/>
        <v>0.17925277247940616</v>
      </c>
      <c r="X29" s="24">
        <f t="shared" si="37"/>
        <v>0.17995575755537341</v>
      </c>
      <c r="Y29" s="24">
        <f t="shared" si="37"/>
        <v>0.21632282381279003</v>
      </c>
      <c r="Z29" s="24">
        <f t="shared" si="37"/>
        <v>0.2364989493767265</v>
      </c>
      <c r="AA29" s="24">
        <f t="shared" si="37"/>
        <v>0.23078119312259424</v>
      </c>
    </row>
    <row r="30" spans="2:27" s="2" customFormat="1" x14ac:dyDescent="0.2">
      <c r="B30" s="3" t="s">
        <v>53</v>
      </c>
      <c r="C30" s="24" t="e">
        <f t="shared" ref="C30:L30" si="38">C20/C10</f>
        <v>#DIV/0!</v>
      </c>
      <c r="D30" s="24">
        <f t="shared" si="38"/>
        <v>0.16351850478108487</v>
      </c>
      <c r="E30" s="24">
        <f t="shared" si="38"/>
        <v>0.24989889810146332</v>
      </c>
      <c r="F30" s="24" t="e">
        <f t="shared" si="38"/>
        <v>#DIV/0!</v>
      </c>
      <c r="G30" s="24">
        <f t="shared" si="38"/>
        <v>0.14009259135854377</v>
      </c>
      <c r="H30" s="24">
        <f t="shared" si="38"/>
        <v>0.18479166031174693</v>
      </c>
      <c r="I30" s="24">
        <f t="shared" si="38"/>
        <v>0.24996866730700296</v>
      </c>
      <c r="J30" s="24" t="e">
        <f t="shared" si="38"/>
        <v>#DIV/0!</v>
      </c>
      <c r="K30" s="24">
        <f t="shared" si="38"/>
        <v>0.14432090804094802</v>
      </c>
      <c r="L30" s="24">
        <f t="shared" si="38"/>
        <v>0.18740879483380385</v>
      </c>
      <c r="M30" s="24">
        <f t="shared" ref="M30:P30" si="39">M20/M10</f>
        <v>0.24578848345558663</v>
      </c>
      <c r="N30" s="24" t="e">
        <f t="shared" si="39"/>
        <v>#DIV/0!</v>
      </c>
      <c r="O30" s="24">
        <f t="shared" si="39"/>
        <v>0.13070617764442669</v>
      </c>
      <c r="P30" s="24" t="e">
        <f t="shared" si="39"/>
        <v>#DIV/0!</v>
      </c>
      <c r="Q30" s="24"/>
      <c r="R30" s="24"/>
      <c r="S30" s="3"/>
      <c r="T30" s="24" t="e">
        <f t="shared" ref="T30:AA30" si="40">T20/T10</f>
        <v>#DIV/0!</v>
      </c>
      <c r="U30" s="24" t="e">
        <f t="shared" si="40"/>
        <v>#DIV/0!</v>
      </c>
      <c r="V30" s="24" t="e">
        <f t="shared" si="40"/>
        <v>#DIV/0!</v>
      </c>
      <c r="W30" s="24">
        <f t="shared" si="40"/>
        <v>0.14346043394060129</v>
      </c>
      <c r="X30" s="24">
        <f t="shared" si="40"/>
        <v>0.14248173427736335</v>
      </c>
      <c r="Y30" s="24">
        <f t="shared" si="40"/>
        <v>0.17713199167024857</v>
      </c>
      <c r="Z30" s="24">
        <f t="shared" si="40"/>
        <v>0.19377580926875174</v>
      </c>
      <c r="AA30" s="24">
        <f t="shared" si="40"/>
        <v>0.18713735514306973</v>
      </c>
    </row>
    <row r="31" spans="2:27" s="2" customFormat="1" x14ac:dyDescent="0.2">
      <c r="B31" s="3" t="s">
        <v>54</v>
      </c>
      <c r="C31" s="24" t="e">
        <f t="shared" ref="C31:L31" si="41">C19/C18</f>
        <v>#DIV/0!</v>
      </c>
      <c r="D31" s="24">
        <f t="shared" si="41"/>
        <v>0.23801089976399492</v>
      </c>
      <c r="E31" s="24">
        <f t="shared" si="41"/>
        <v>0.21868218405660322</v>
      </c>
      <c r="F31" s="24" t="e">
        <f t="shared" si="41"/>
        <v>#DIV/0!</v>
      </c>
      <c r="G31" s="24">
        <f t="shared" si="41"/>
        <v>0.22478931030552515</v>
      </c>
      <c r="H31" s="24">
        <f t="shared" si="41"/>
        <v>0.24016343066425846</v>
      </c>
      <c r="I31" s="24">
        <f t="shared" si="41"/>
        <v>0.21784355295560176</v>
      </c>
      <c r="J31" s="24" t="e">
        <f t="shared" si="41"/>
        <v>#DIV/0!</v>
      </c>
      <c r="K31" s="24">
        <f t="shared" si="41"/>
        <v>0.23960211071416876</v>
      </c>
      <c r="L31" s="24">
        <f t="shared" si="41"/>
        <v>0.2167451424832631</v>
      </c>
      <c r="M31" s="24">
        <f t="shared" ref="M31:P31" si="42">M19/M18</f>
        <v>0.23251785341140921</v>
      </c>
      <c r="N31" s="24" t="e">
        <f t="shared" si="42"/>
        <v>#DIV/0!</v>
      </c>
      <c r="O31" s="24">
        <f t="shared" si="42"/>
        <v>0.21171842650103523</v>
      </c>
      <c r="P31" s="24" t="e">
        <f t="shared" si="42"/>
        <v>#DIV/0!</v>
      </c>
      <c r="Q31" s="24"/>
      <c r="R31" s="24"/>
      <c r="S31" s="3"/>
      <c r="T31" s="24" t="e">
        <f t="shared" ref="T31:AA31" si="43">T19/T18</f>
        <v>#DIV/0!</v>
      </c>
      <c r="U31" s="24" t="e">
        <f t="shared" si="43"/>
        <v>#DIV/0!</v>
      </c>
      <c r="V31" s="24" t="e">
        <f t="shared" si="43"/>
        <v>#DIV/0!</v>
      </c>
      <c r="W31" s="24">
        <f t="shared" si="43"/>
        <v>0.19957742837003534</v>
      </c>
      <c r="X31" s="24">
        <f t="shared" si="43"/>
        <v>0.22408652388144393</v>
      </c>
      <c r="Y31" s="24">
        <f t="shared" si="43"/>
        <v>0.22411168705395362</v>
      </c>
      <c r="Z31" s="24">
        <f t="shared" si="43"/>
        <v>0.22296165282848296</v>
      </c>
      <c r="AA31" s="24">
        <f t="shared" si="43"/>
        <v>0.22790638410803737</v>
      </c>
    </row>
    <row r="32" spans="2:27" s="2" customFormat="1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7" s="2" customFormat="1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7" x14ac:dyDescent="0.2">
      <c r="B34" s="2" t="s">
        <v>63</v>
      </c>
      <c r="X34" s="19">
        <v>981.79499999999996</v>
      </c>
      <c r="Y34" s="19">
        <v>1502.0509999999999</v>
      </c>
      <c r="Z34" s="19">
        <v>1889.1880000000001</v>
      </c>
      <c r="AA34" s="19">
        <v>1907.249</v>
      </c>
    </row>
    <row r="35" spans="2:27" x14ac:dyDescent="0.2">
      <c r="B35" s="2" t="s">
        <v>64</v>
      </c>
      <c r="X35" s="19">
        <v>301.51100000000002</v>
      </c>
      <c r="Y35" s="19">
        <v>296.565</v>
      </c>
      <c r="Z35" s="19">
        <v>332.87200000000001</v>
      </c>
      <c r="AA35" s="19">
        <v>318.97800000000001</v>
      </c>
    </row>
    <row r="36" spans="2:27" x14ac:dyDescent="0.2">
      <c r="B36" s="2" t="s">
        <v>65</v>
      </c>
      <c r="X36" s="19">
        <v>532.85199999999998</v>
      </c>
      <c r="Y36" s="19">
        <v>474.31099999999998</v>
      </c>
      <c r="Z36" s="19">
        <v>495.226</v>
      </c>
      <c r="AA36" s="19">
        <v>487.01799999999997</v>
      </c>
    </row>
    <row r="37" spans="2:27" x14ac:dyDescent="0.2">
      <c r="B37" s="2" t="s">
        <v>66</v>
      </c>
      <c r="X37" s="19">
        <v>33.787999999999997</v>
      </c>
      <c r="Y37" s="19">
        <v>34.283999999999999</v>
      </c>
      <c r="Z37" s="19">
        <v>39.293999999999997</v>
      </c>
      <c r="AA37" s="19">
        <v>53.235999999999997</v>
      </c>
    </row>
    <row r="38" spans="2:27" x14ac:dyDescent="0.2">
      <c r="B38" s="2" t="s">
        <v>68</v>
      </c>
      <c r="X38" s="19">
        <v>55.523000000000003</v>
      </c>
      <c r="Y38" s="19">
        <v>92.712999999999994</v>
      </c>
      <c r="Z38" s="19">
        <v>67.281999999999996</v>
      </c>
      <c r="AA38" s="19">
        <v>82.114000000000004</v>
      </c>
    </row>
    <row r="39" spans="2:27" x14ac:dyDescent="0.2">
      <c r="B39" s="2" t="s">
        <v>69</v>
      </c>
      <c r="X39" s="19">
        <v>4.7839999999999998</v>
      </c>
      <c r="Y39" s="19">
        <v>43.558999999999997</v>
      </c>
      <c r="Z39" s="19">
        <v>36.613</v>
      </c>
      <c r="AA39" s="19">
        <v>1.825</v>
      </c>
    </row>
    <row r="40" spans="2:27" x14ac:dyDescent="0.2">
      <c r="B40" s="2" t="s">
        <v>67</v>
      </c>
      <c r="T40" s="19">
        <f t="shared" ref="T40:X40" si="44">SUM(T34:T39)</f>
        <v>0</v>
      </c>
      <c r="U40" s="19">
        <f t="shared" si="44"/>
        <v>0</v>
      </c>
      <c r="V40" s="19">
        <f t="shared" si="44"/>
        <v>0</v>
      </c>
      <c r="W40" s="19">
        <f t="shared" si="44"/>
        <v>0</v>
      </c>
      <c r="X40" s="19">
        <f t="shared" si="44"/>
        <v>1910.2529999999999</v>
      </c>
      <c r="Y40" s="19">
        <f>SUM(Y34:Y39)</f>
        <v>2443.4830000000006</v>
      </c>
      <c r="Z40" s="19">
        <f t="shared" ref="Z40:AA40" si="45">SUM(Z34:Z39)</f>
        <v>2860.4749999999999</v>
      </c>
      <c r="AA40" s="19">
        <f t="shared" si="45"/>
        <v>2850.4199999999996</v>
      </c>
    </row>
    <row r="41" spans="2:27" x14ac:dyDescent="0.2">
      <c r="B41" s="2" t="s">
        <v>70</v>
      </c>
      <c r="X41" s="19">
        <v>266.67899999999997</v>
      </c>
      <c r="Y41" s="19">
        <v>302.12200000000001</v>
      </c>
      <c r="Z41" s="19">
        <v>325.59899999999999</v>
      </c>
      <c r="AA41" s="19">
        <v>337.78199999999998</v>
      </c>
    </row>
    <row r="42" spans="2:27" x14ac:dyDescent="0.2">
      <c r="B42" s="2" t="s">
        <v>71</v>
      </c>
      <c r="X42" s="19">
        <v>213.30199999999999</v>
      </c>
      <c r="Y42" s="19">
        <v>225.66900000000001</v>
      </c>
      <c r="Z42" s="19">
        <v>237.352</v>
      </c>
      <c r="AA42" s="19">
        <v>335.09800000000001</v>
      </c>
    </row>
    <row r="43" spans="2:27" x14ac:dyDescent="0.2">
      <c r="B43" s="2" t="s">
        <v>72</v>
      </c>
      <c r="X43" s="19">
        <v>13.99</v>
      </c>
      <c r="Y43" s="19">
        <v>13.99</v>
      </c>
      <c r="Z43" s="19">
        <v>13.99</v>
      </c>
      <c r="AA43" s="19">
        <v>13.99</v>
      </c>
    </row>
    <row r="44" spans="2:27" x14ac:dyDescent="0.2">
      <c r="B44" s="2" t="s">
        <v>73</v>
      </c>
      <c r="X44" s="19">
        <v>37.457000000000001</v>
      </c>
      <c r="Y44" s="19">
        <v>27.082999999999998</v>
      </c>
      <c r="Z44" s="19">
        <v>15.699</v>
      </c>
      <c r="AA44" s="19">
        <v>15.643000000000001</v>
      </c>
    </row>
    <row r="45" spans="2:27" x14ac:dyDescent="0.2">
      <c r="B45" s="2" t="s">
        <v>74</v>
      </c>
      <c r="X45" s="19">
        <v>72.591999999999999</v>
      </c>
      <c r="Y45" s="19">
        <v>72.584000000000003</v>
      </c>
      <c r="Z45" s="19">
        <v>77.590999999999994</v>
      </c>
      <c r="AA45" s="19">
        <v>68.501000000000005</v>
      </c>
    </row>
    <row r="46" spans="2:27" x14ac:dyDescent="0.2">
      <c r="B46" s="2" t="s">
        <v>68</v>
      </c>
      <c r="X46" s="19">
        <v>41.93</v>
      </c>
      <c r="Y46" s="19">
        <v>50.648000000000003</v>
      </c>
      <c r="Z46" s="19">
        <v>39.545999999999999</v>
      </c>
      <c r="AA46" s="19">
        <v>66.331000000000003</v>
      </c>
    </row>
    <row r="47" spans="2:27" x14ac:dyDescent="0.2">
      <c r="B47" s="1" t="s">
        <v>75</v>
      </c>
      <c r="T47" s="22">
        <f t="shared" ref="T47:X47" si="46">SUM(T41:T46)+T40</f>
        <v>0</v>
      </c>
      <c r="U47" s="22">
        <f t="shared" si="46"/>
        <v>0</v>
      </c>
      <c r="V47" s="22">
        <f t="shared" si="46"/>
        <v>0</v>
      </c>
      <c r="W47" s="22">
        <f t="shared" si="46"/>
        <v>0</v>
      </c>
      <c r="X47" s="22">
        <f t="shared" si="46"/>
        <v>2556.203</v>
      </c>
      <c r="Y47" s="22">
        <f>SUM(Y41:Y46)+Y40</f>
        <v>3135.5790000000006</v>
      </c>
      <c r="Z47" s="22">
        <f t="shared" ref="Z47:AA47" si="47">SUM(Z41:Z46)+Z40</f>
        <v>3570.252</v>
      </c>
      <c r="AA47" s="22">
        <f t="shared" si="47"/>
        <v>3687.7649999999994</v>
      </c>
    </row>
    <row r="48" spans="2:27" x14ac:dyDescent="0.2">
      <c r="B48" s="2" t="s">
        <v>76</v>
      </c>
      <c r="X48" s="19">
        <v>265.60500000000002</v>
      </c>
      <c r="Y48" s="19">
        <v>378.50299999999999</v>
      </c>
      <c r="Z48" s="19">
        <v>417.95499999999998</v>
      </c>
      <c r="AA48" s="19">
        <v>384.529</v>
      </c>
    </row>
    <row r="49" spans="2:27" x14ac:dyDescent="0.2">
      <c r="B49" s="2" t="s">
        <v>77</v>
      </c>
      <c r="X49" s="19">
        <v>63.780999999999999</v>
      </c>
      <c r="Y49" s="19">
        <v>123.65300000000001</v>
      </c>
      <c r="Z49" s="19">
        <v>125.417</v>
      </c>
      <c r="AA49" s="19">
        <v>119.59699999999999</v>
      </c>
    </row>
    <row r="50" spans="2:27" x14ac:dyDescent="0.2">
      <c r="B50" s="2" t="s">
        <v>78</v>
      </c>
      <c r="X50" s="19">
        <v>50.765000000000001</v>
      </c>
      <c r="Y50" s="19">
        <v>53.581000000000003</v>
      </c>
      <c r="Z50" s="19">
        <v>54.453000000000003</v>
      </c>
      <c r="AA50" s="19">
        <v>83.930999999999997</v>
      </c>
    </row>
    <row r="51" spans="2:27" x14ac:dyDescent="0.2">
      <c r="B51" s="2" t="s">
        <v>79</v>
      </c>
      <c r="X51" s="19">
        <v>86.753</v>
      </c>
      <c r="Y51" s="19">
        <v>106.785</v>
      </c>
      <c r="Z51" s="19">
        <v>142.12</v>
      </c>
      <c r="AA51" s="19">
        <v>171.173</v>
      </c>
    </row>
    <row r="52" spans="2:27" x14ac:dyDescent="0.2">
      <c r="B52" s="2" t="s">
        <v>80</v>
      </c>
      <c r="X52" s="19">
        <v>17.321999999999999</v>
      </c>
      <c r="Y52" s="19">
        <v>52.338000000000001</v>
      </c>
      <c r="Z52" s="19">
        <v>23.298999999999999</v>
      </c>
      <c r="AA52" s="19">
        <v>36.475000000000001</v>
      </c>
    </row>
    <row r="53" spans="2:27" x14ac:dyDescent="0.2">
      <c r="B53" s="2" t="s">
        <v>81</v>
      </c>
      <c r="X53" s="19">
        <v>13.154</v>
      </c>
      <c r="Y53" s="19">
        <v>5.133</v>
      </c>
      <c r="Z53" s="19">
        <v>6.6970000000000001</v>
      </c>
      <c r="AA53" s="19">
        <v>8.3689999999999998</v>
      </c>
    </row>
    <row r="54" spans="2:27" x14ac:dyDescent="0.2">
      <c r="B54" s="2" t="s">
        <v>82</v>
      </c>
      <c r="T54" s="19">
        <f t="shared" ref="T54:X54" si="48">SUM(T48:T53)</f>
        <v>0</v>
      </c>
      <c r="U54" s="19">
        <f t="shared" si="48"/>
        <v>0</v>
      </c>
      <c r="V54" s="19">
        <f t="shared" si="48"/>
        <v>0</v>
      </c>
      <c r="W54" s="19">
        <f t="shared" si="48"/>
        <v>0</v>
      </c>
      <c r="X54" s="19">
        <f t="shared" si="48"/>
        <v>497.38</v>
      </c>
      <c r="Y54" s="19">
        <f>SUM(Y48:Y53)</f>
        <v>719.99299999999994</v>
      </c>
      <c r="Z54" s="19">
        <f t="shared" ref="Z54:AA54" si="49">SUM(Z48:Z53)</f>
        <v>769.94099999999992</v>
      </c>
      <c r="AA54" s="19">
        <f t="shared" si="49"/>
        <v>804.07400000000007</v>
      </c>
    </row>
    <row r="55" spans="2:27" x14ac:dyDescent="0.2">
      <c r="B55" s="2" t="s">
        <v>83</v>
      </c>
      <c r="X55" s="19">
        <v>195.72300000000001</v>
      </c>
      <c r="Y55" s="19">
        <v>213.298</v>
      </c>
      <c r="Z55" s="19">
        <v>222.52199999999999</v>
      </c>
      <c r="AA55" s="19">
        <v>291.26299999999998</v>
      </c>
    </row>
    <row r="56" spans="2:27" x14ac:dyDescent="0.2">
      <c r="B56" s="2" t="s">
        <v>84</v>
      </c>
      <c r="X56" s="19">
        <v>62.031999999999996</v>
      </c>
      <c r="Y56" s="19">
        <v>52.47</v>
      </c>
      <c r="Z56" s="19">
        <v>13.587</v>
      </c>
      <c r="AA56" s="19">
        <v>26.312999999999999</v>
      </c>
    </row>
    <row r="57" spans="2:27" x14ac:dyDescent="0.2">
      <c r="B57" s="2" t="s">
        <v>38</v>
      </c>
      <c r="X57" s="19">
        <v>35.335000000000001</v>
      </c>
      <c r="Y57" s="19">
        <v>42.35</v>
      </c>
      <c r="Z57" s="19">
        <v>51.189</v>
      </c>
      <c r="AA57" s="19">
        <v>66.477000000000004</v>
      </c>
    </row>
    <row r="58" spans="2:27" x14ac:dyDescent="0.2">
      <c r="B58" s="1" t="s">
        <v>85</v>
      </c>
      <c r="T58" s="22">
        <f t="shared" ref="T58:X58" si="50">SUM(T55:T57)+T54</f>
        <v>0</v>
      </c>
      <c r="U58" s="22">
        <f t="shared" si="50"/>
        <v>0</v>
      </c>
      <c r="V58" s="22">
        <f t="shared" si="50"/>
        <v>0</v>
      </c>
      <c r="W58" s="22">
        <f t="shared" si="50"/>
        <v>0</v>
      </c>
      <c r="X58" s="22">
        <f t="shared" si="50"/>
        <v>790.47</v>
      </c>
      <c r="Y58" s="22">
        <f>SUM(Y55:Y57)+Y54</f>
        <v>1028.1109999999999</v>
      </c>
      <c r="Z58" s="22">
        <f t="shared" ref="Z58:AA58" si="51">SUM(Z55:Z57)+Z54</f>
        <v>1057.239</v>
      </c>
      <c r="AA58" s="22">
        <f t="shared" si="51"/>
        <v>1188.127</v>
      </c>
    </row>
    <row r="59" spans="2:27" x14ac:dyDescent="0.2">
      <c r="B59" s="2" t="s">
        <v>86</v>
      </c>
      <c r="T59" s="19">
        <v>0</v>
      </c>
      <c r="U59" s="19">
        <v>0</v>
      </c>
      <c r="V59" s="19">
        <v>0</v>
      </c>
      <c r="W59" s="19">
        <v>0</v>
      </c>
      <c r="X59" s="19">
        <v>1765.7339999999999</v>
      </c>
      <c r="Y59" s="19">
        <v>2107.4679999999998</v>
      </c>
      <c r="Z59" s="19">
        <v>2513.0129999999999</v>
      </c>
      <c r="AA59" s="19">
        <v>2499.6379999999999</v>
      </c>
    </row>
    <row r="60" spans="2:27" x14ac:dyDescent="0.2">
      <c r="B60" s="1" t="s">
        <v>87</v>
      </c>
      <c r="T60" s="22">
        <f t="shared" ref="T60:Y60" si="52">T59+T58</f>
        <v>0</v>
      </c>
      <c r="U60" s="22">
        <f t="shared" si="52"/>
        <v>0</v>
      </c>
      <c r="V60" s="22">
        <f t="shared" si="52"/>
        <v>0</v>
      </c>
      <c r="W60" s="22">
        <f t="shared" si="52"/>
        <v>0</v>
      </c>
      <c r="X60" s="22">
        <f t="shared" si="52"/>
        <v>2556.2039999999997</v>
      </c>
      <c r="Y60" s="22">
        <f t="shared" si="52"/>
        <v>3135.5789999999997</v>
      </c>
      <c r="Z60" s="22">
        <f t="shared" ref="Z60:AA60" si="53">Z59+Z58</f>
        <v>3570.252</v>
      </c>
      <c r="AA60" s="22">
        <f t="shared" si="53"/>
        <v>3687.7649999999999</v>
      </c>
    </row>
    <row r="63" spans="2:27" x14ac:dyDescent="0.2">
      <c r="B63" s="3" t="s">
        <v>60</v>
      </c>
      <c r="T63" s="19">
        <f t="shared" ref="T63:X63" si="54">T18-T19</f>
        <v>0</v>
      </c>
      <c r="U63" s="19">
        <f t="shared" si="54"/>
        <v>0</v>
      </c>
      <c r="V63" s="19">
        <f t="shared" si="54"/>
        <v>0</v>
      </c>
      <c r="W63" s="19">
        <f t="shared" si="54"/>
        <v>451.94899999999996</v>
      </c>
      <c r="X63" s="19">
        <f t="shared" si="54"/>
        <v>516.82200000000023</v>
      </c>
      <c r="Y63" s="19">
        <f>Y18-Y19</f>
        <v>759.5</v>
      </c>
    </row>
    <row r="64" spans="2:27" x14ac:dyDescent="0.2">
      <c r="B64" s="2" t="s">
        <v>88</v>
      </c>
    </row>
    <row r="65" spans="2:2" x14ac:dyDescent="0.2">
      <c r="B65" s="2" t="s">
        <v>96</v>
      </c>
    </row>
    <row r="66" spans="2:2" x14ac:dyDescent="0.2">
      <c r="B66" s="2" t="s">
        <v>97</v>
      </c>
    </row>
    <row r="67" spans="2:2" x14ac:dyDescent="0.2">
      <c r="B67" s="2" t="s">
        <v>98</v>
      </c>
    </row>
  </sheetData>
  <hyperlinks>
    <hyperlink ref="A1" location="Main!A1" display="Main" xr:uid="{5B9FEB21-2238-411B-A227-65806C4397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2024-06-11T17:40:24Z</dcterms:created>
  <dcterms:modified xsi:type="dcterms:W3CDTF">2026-08-12T09:45:13Z</dcterms:modified>
</cp:coreProperties>
</file>