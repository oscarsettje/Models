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odels\"/>
    </mc:Choice>
  </mc:AlternateContent>
  <xr:revisionPtr revIDLastSave="0" documentId="13_ncr:1_{7B2FCFB2-09CE-4749-819D-1EFB28292E0C}" xr6:coauthVersionLast="47" xr6:coauthVersionMax="47" xr10:uidLastSave="{00000000-0000-0000-0000-000000000000}"/>
  <bookViews>
    <workbookView xWindow="19095" yWindow="0" windowWidth="19410" windowHeight="20925" xr2:uid="{C745F4EA-6A7E-4A07-A8BF-2B36F0EE508D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6" i="1" l="1"/>
  <c r="M28" i="2"/>
  <c r="M27" i="2"/>
  <c r="M26" i="2"/>
  <c r="M25" i="2"/>
  <c r="M22" i="2"/>
  <c r="M20" i="2"/>
  <c r="M18" i="2"/>
  <c r="M17" i="2"/>
  <c r="M15" i="2"/>
  <c r="M9" i="2"/>
  <c r="M7" i="2"/>
  <c r="L28" i="2"/>
  <c r="L27" i="2"/>
  <c r="L26" i="2"/>
  <c r="L25" i="2"/>
  <c r="L22" i="2"/>
  <c r="L20" i="2"/>
  <c r="L18" i="2"/>
  <c r="L15" i="2"/>
  <c r="L9" i="2"/>
  <c r="L7" i="2"/>
  <c r="K28" i="2"/>
  <c r="K27" i="2"/>
  <c r="K26" i="2"/>
  <c r="K22" i="2"/>
  <c r="K20" i="2"/>
  <c r="K18" i="2"/>
  <c r="K15" i="2"/>
  <c r="K9" i="2"/>
  <c r="K7" i="2"/>
  <c r="I7" i="2"/>
  <c r="I9" i="2" s="1"/>
  <c r="I15" i="2" s="1"/>
  <c r="H7" i="2"/>
  <c r="H9" i="2" s="1"/>
  <c r="H15" i="2" s="1"/>
  <c r="H27" i="2" s="1"/>
  <c r="G7" i="2"/>
  <c r="G9" i="2" s="1"/>
  <c r="G15" i="2" s="1"/>
  <c r="G18" i="2" s="1"/>
  <c r="F7" i="2"/>
  <c r="F9" i="2" s="1"/>
  <c r="F15" i="2" s="1"/>
  <c r="F27" i="2" s="1"/>
  <c r="E7" i="2"/>
  <c r="E9" i="2" s="1"/>
  <c r="E15" i="2" s="1"/>
  <c r="E27" i="2" s="1"/>
  <c r="D7" i="2"/>
  <c r="D9" i="2" s="1"/>
  <c r="D15" i="2" s="1"/>
  <c r="D27" i="2" s="1"/>
  <c r="C7" i="2"/>
  <c r="C9" i="2" s="1"/>
  <c r="C15" i="2" s="1"/>
  <c r="C27" i="2" s="1"/>
  <c r="J7" i="2"/>
  <c r="J9" i="2" s="1"/>
  <c r="J15" i="2" s="1"/>
  <c r="J18" i="2" s="1"/>
  <c r="I4" i="1"/>
  <c r="I7" i="1" l="1"/>
  <c r="K25" i="2"/>
  <c r="J25" i="2"/>
  <c r="J26" i="2"/>
  <c r="C26" i="2"/>
  <c r="D26" i="2"/>
  <c r="E26" i="2"/>
  <c r="F26" i="2"/>
  <c r="G26" i="2"/>
  <c r="H26" i="2"/>
  <c r="G25" i="2"/>
  <c r="H25" i="2"/>
  <c r="I25" i="2"/>
  <c r="J27" i="2"/>
  <c r="G28" i="2"/>
  <c r="G20" i="2"/>
  <c r="G22" i="2" s="1"/>
  <c r="J20" i="2"/>
  <c r="J22" i="2" s="1"/>
  <c r="J28" i="2"/>
  <c r="G27" i="2"/>
  <c r="C18" i="2"/>
  <c r="D18" i="2"/>
  <c r="E18" i="2"/>
  <c r="F18" i="2"/>
  <c r="H18" i="2"/>
  <c r="I26" i="2"/>
  <c r="I27" i="2" l="1"/>
  <c r="I18" i="2"/>
  <c r="H20" i="2"/>
  <c r="H22" i="2" s="1"/>
  <c r="H28" i="2"/>
  <c r="F28" i="2"/>
  <c r="F20" i="2"/>
  <c r="F22" i="2" s="1"/>
  <c r="E28" i="2"/>
  <c r="E20" i="2"/>
  <c r="E22" i="2" s="1"/>
  <c r="D20" i="2"/>
  <c r="D22" i="2" s="1"/>
  <c r="D28" i="2"/>
  <c r="C28" i="2"/>
  <c r="C20" i="2"/>
  <c r="C22" i="2" s="1"/>
  <c r="I20" i="2" l="1"/>
  <c r="I22" i="2" s="1"/>
  <c r="I28" i="2"/>
</calcChain>
</file>

<file path=xl/sharedStrings.xml><?xml version="1.0" encoding="utf-8"?>
<sst xmlns="http://schemas.openxmlformats.org/spreadsheetml/2006/main" count="57" uniqueCount="53">
  <si>
    <t>Burlington Store</t>
  </si>
  <si>
    <t>numbers in mio USD</t>
  </si>
  <si>
    <t>Price</t>
  </si>
  <si>
    <t>Shares</t>
  </si>
  <si>
    <t>MC</t>
  </si>
  <si>
    <t>Cash</t>
  </si>
  <si>
    <t>Debt</t>
  </si>
  <si>
    <t>EV</t>
  </si>
  <si>
    <t>BURL</t>
  </si>
  <si>
    <t>IR</t>
  </si>
  <si>
    <t>Main</t>
  </si>
  <si>
    <t>Q124</t>
  </si>
  <si>
    <t>Q224</t>
  </si>
  <si>
    <t>Q324</t>
  </si>
  <si>
    <t>Q424</t>
  </si>
  <si>
    <t>Nets Sales</t>
  </si>
  <si>
    <t>Other Revenue</t>
  </si>
  <si>
    <t>Revenue</t>
  </si>
  <si>
    <t>COGS</t>
  </si>
  <si>
    <t>Gross Profit</t>
  </si>
  <si>
    <t>SG&amp;A</t>
  </si>
  <si>
    <t>Debt amendments</t>
  </si>
  <si>
    <t>D&amp;A</t>
  </si>
  <si>
    <t>Impairment charges</t>
  </si>
  <si>
    <t>Other income</t>
  </si>
  <si>
    <t>Operating Income</t>
  </si>
  <si>
    <t>Extinguishment of Debt</t>
  </si>
  <si>
    <t>Interest Expense</t>
  </si>
  <si>
    <t>Pretax Income</t>
  </si>
  <si>
    <t>Net Income</t>
  </si>
  <si>
    <t>EPS</t>
  </si>
  <si>
    <t>Revenue Growth</t>
  </si>
  <si>
    <t xml:space="preserve">Gross Margin </t>
  </si>
  <si>
    <t>Operating Margin</t>
  </si>
  <si>
    <t>Tax Rate</t>
  </si>
  <si>
    <t>Tax Expense</t>
  </si>
  <si>
    <t>Stores</t>
  </si>
  <si>
    <t>Number of Stores</t>
  </si>
  <si>
    <t>FY18</t>
  </si>
  <si>
    <t>FY19</t>
  </si>
  <si>
    <t>FY20</t>
  </si>
  <si>
    <t>FY21</t>
  </si>
  <si>
    <t>FY22</t>
  </si>
  <si>
    <t>FY23</t>
  </si>
  <si>
    <t>FY24</t>
  </si>
  <si>
    <t>Q125</t>
  </si>
  <si>
    <t>Q225</t>
  </si>
  <si>
    <t>Q325</t>
  </si>
  <si>
    <t>Q425</t>
  </si>
  <si>
    <t>Q123</t>
  </si>
  <si>
    <t>Q223</t>
  </si>
  <si>
    <t>Q323</t>
  </si>
  <si>
    <t>Q423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</si>
</sst>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"/>
  </numFmts>
  <fonts count="8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0"/>
      <color theme="1"/>
      <name val="Arial"/>
      <family val="2"/>
    </font>
    <font>
      <u/>
      <sz val="10"/>
      <color theme="1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9" fontId="4" fillId="0" borderId="0" applyFont="0" applyFill="0" applyBorder="0" applyAlignment="0" applyProtection="0"/>
    <xf numFmtId="0" fontId="5" fillId="0" borderId="0" applyNumberFormat="0" applyFill="0" applyBorder="0" applyAlignment="0" applyProtection="0"/>
  </cellStyleXfs>
  <cellXfs count="12">
    <xf numFmtId="0" fontId="0" fillId="0" borderId="0" xfId="0"/>
    <xf numFmtId="0" fontId="6" fillId="0" borderId="0" xfId="0" applyFont="1"/>
    <xf numFmtId="0" fontId="3" fillId="0" borderId="0" xfId="0" applyFont="1"/>
    <xf numFmtId="3" fontId="3" fillId="0" borderId="0" xfId="0" applyNumberFormat="1" applyFont="1"/>
    <xf numFmtId="0" fontId="3" fillId="0" borderId="0" xfId="0" applyFont="1" applyAlignment="1">
      <alignment horizontal="right"/>
    </xf>
    <xf numFmtId="0" fontId="7" fillId="0" borderId="0" xfId="2" applyFont="1"/>
    <xf numFmtId="164" fontId="3" fillId="0" borderId="0" xfId="0" applyNumberFormat="1" applyFont="1"/>
    <xf numFmtId="164" fontId="6" fillId="0" borderId="0" xfId="0" applyNumberFormat="1" applyFont="1"/>
    <xf numFmtId="9" fontId="6" fillId="0" borderId="0" xfId="1" applyFont="1"/>
    <xf numFmtId="9" fontId="3" fillId="0" borderId="0" xfId="1" applyFont="1"/>
    <xf numFmtId="0" fontId="2" fillId="0" borderId="0" xfId="0" applyFont="1" applyAlignment="1">
      <alignment horizontal="right"/>
    </xf>
    <xf numFmtId="0" fontId="1" fillId="0" borderId="0" xfId="0" applyFont="1" applyAlignment="1">
      <alignment horizontal="right"/>
    </xf>
  </cellXfs>
  <cellStyles count="3">
    <cellStyle name="Hyperlink" xfId="2" builtinId="8"/>
    <cellStyle name="Normal" xfId="0" builtinId="0"/>
    <cellStyle name="Per 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51F298-D9E0-4E7E-A11D-B7C7DAC26F50}">
  <dimension ref="A1:J10"/>
  <sheetViews>
    <sheetView tabSelected="1" topLeftCell="B1" zoomScale="200" zoomScaleNormal="200" workbookViewId="0">
      <selection activeCell="I4" sqref="I4"/>
    </sheetView>
  </sheetViews>
  <sheetFormatPr defaultRowHeight="12.75" x14ac:dyDescent="0.2"/>
  <cols>
    <col min="1" max="1" width="4.5703125" style="2" customWidth="1"/>
    <col min="2" max="16384" width="9.140625" style="2"/>
  </cols>
  <sheetData>
    <row r="1" spans="1:10" x14ac:dyDescent="0.2">
      <c r="A1" s="1" t="s">
        <v>0</v>
      </c>
    </row>
    <row r="2" spans="1:10" x14ac:dyDescent="0.2">
      <c r="A2" s="2" t="s">
        <v>1</v>
      </c>
      <c r="H2" s="2" t="s">
        <v>2</v>
      </c>
      <c r="I2" s="2">
        <v>252.2</v>
      </c>
    </row>
    <row r="3" spans="1:10" x14ac:dyDescent="0.2">
      <c r="H3" s="2" t="s">
        <v>3</v>
      </c>
      <c r="I3" s="6">
        <v>62.927005999999999</v>
      </c>
      <c r="J3" s="11" t="s">
        <v>47</v>
      </c>
    </row>
    <row r="4" spans="1:10" x14ac:dyDescent="0.2">
      <c r="B4" s="2" t="s">
        <v>8</v>
      </c>
      <c r="H4" s="2" t="s">
        <v>4</v>
      </c>
      <c r="I4" s="3">
        <f>+I2*I3</f>
        <v>15870.190913199998</v>
      </c>
    </row>
    <row r="5" spans="1:10" x14ac:dyDescent="0.2">
      <c r="B5" s="2" t="s">
        <v>9</v>
      </c>
      <c r="H5" s="2" t="s">
        <v>5</v>
      </c>
      <c r="I5" s="3">
        <v>584.07899999999995</v>
      </c>
      <c r="J5" s="11" t="s">
        <v>47</v>
      </c>
    </row>
    <row r="6" spans="1:10" x14ac:dyDescent="0.2">
      <c r="H6" s="2" t="s">
        <v>6</v>
      </c>
      <c r="I6" s="3">
        <f>2015.471+19.953</f>
        <v>2035.424</v>
      </c>
      <c r="J6" s="11" t="s">
        <v>47</v>
      </c>
    </row>
    <row r="7" spans="1:10" x14ac:dyDescent="0.2">
      <c r="H7" s="2" t="s">
        <v>7</v>
      </c>
      <c r="I7" s="3">
        <f>+I4-I5+I6</f>
        <v>17321.535913199998</v>
      </c>
    </row>
    <row r="10" spans="1:10" x14ac:dyDescent="0.2">
      <c r="H10" s="2" t="s">
        <v>36</v>
      </c>
      <c r="I10" s="3">
        <v>1007</v>
      </c>
      <c r="J10" s="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7958BF-2B17-4548-B028-78081AE6CD78}">
  <dimension ref="A1:BF238"/>
  <sheetViews>
    <sheetView zoomScale="200" zoomScaleNormal="200" workbookViewId="0">
      <pane xSplit="2" ySplit="2" topLeftCell="I3" activePane="bottomRight" state="frozen"/>
      <selection pane="topRight" activeCell="C1" sqref="C1"/>
      <selection pane="bottomLeft" activeCell="A3" sqref="A3"/>
      <selection pane="bottomRight" activeCell="M2" sqref="M2"/>
    </sheetView>
  </sheetViews>
  <sheetFormatPr defaultRowHeight="12.75" x14ac:dyDescent="0.2"/>
  <cols>
    <col min="1" max="1" width="5.42578125" style="2" bestFit="1" customWidth="1"/>
    <col min="2" max="2" width="23" style="2" customWidth="1"/>
    <col min="3" max="16384" width="9.140625" style="2"/>
  </cols>
  <sheetData>
    <row r="1" spans="1:58" x14ac:dyDescent="0.2">
      <c r="A1" s="5" t="s">
        <v>10</v>
      </c>
    </row>
    <row r="2" spans="1:58" x14ac:dyDescent="0.2">
      <c r="C2" s="10" t="s">
        <v>49</v>
      </c>
      <c r="D2" s="10" t="s">
        <v>50</v>
      </c>
      <c r="E2" s="10" t="s">
        <v>51</v>
      </c>
      <c r="F2" s="10" t="s">
        <v>52</v>
      </c>
      <c r="G2" s="10" t="s">
        <v>11</v>
      </c>
      <c r="H2" s="10" t="s">
        <v>12</v>
      </c>
      <c r="I2" s="10" t="s">
        <v>13</v>
      </c>
      <c r="J2" s="10" t="s">
        <v>14</v>
      </c>
      <c r="K2" s="10" t="s">
        <v>45</v>
      </c>
      <c r="L2" s="10" t="s">
        <v>46</v>
      </c>
      <c r="M2" s="10" t="s">
        <v>47</v>
      </c>
      <c r="N2" s="10" t="s">
        <v>48</v>
      </c>
      <c r="P2" s="4" t="s">
        <v>38</v>
      </c>
      <c r="Q2" s="4" t="s">
        <v>39</v>
      </c>
      <c r="R2" s="4" t="s">
        <v>40</v>
      </c>
      <c r="S2" s="4" t="s">
        <v>41</v>
      </c>
      <c r="T2" s="4" t="s">
        <v>42</v>
      </c>
      <c r="U2" s="4" t="s">
        <v>43</v>
      </c>
      <c r="V2" s="4" t="s">
        <v>44</v>
      </c>
    </row>
    <row r="3" spans="1:58" x14ac:dyDescent="0.2">
      <c r="B3" s="2" t="s">
        <v>37</v>
      </c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T3" s="2">
        <v>840</v>
      </c>
      <c r="U3" s="2">
        <v>927</v>
      </c>
      <c r="V3" s="2">
        <v>1007</v>
      </c>
    </row>
    <row r="4" spans="1:58" x14ac:dyDescent="0.2"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</row>
    <row r="5" spans="1:58" x14ac:dyDescent="0.2">
      <c r="B5" s="2" t="s">
        <v>15</v>
      </c>
      <c r="C5" s="6"/>
      <c r="D5" s="6"/>
      <c r="E5" s="6">
        <v>2284.6729999999998</v>
      </c>
      <c r="F5" s="6"/>
      <c r="G5" s="6">
        <v>2357.3180000000002</v>
      </c>
      <c r="H5" s="6"/>
      <c r="I5" s="6">
        <v>2526.174</v>
      </c>
      <c r="J5" s="6"/>
      <c r="K5" s="6">
        <v>2500.0749999999998</v>
      </c>
      <c r="L5" s="6">
        <v>2701.0259999999998</v>
      </c>
      <c r="M5" s="6">
        <v>2706.0030000000002</v>
      </c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6"/>
      <c r="AC5" s="6"/>
      <c r="AD5" s="6"/>
      <c r="AE5" s="6"/>
      <c r="AF5" s="6"/>
      <c r="AG5" s="6"/>
      <c r="AH5" s="6"/>
      <c r="AI5" s="6"/>
      <c r="AJ5" s="6"/>
      <c r="AK5" s="6"/>
      <c r="AL5" s="6"/>
      <c r="AM5" s="6"/>
      <c r="AN5" s="6"/>
      <c r="AO5" s="6"/>
      <c r="AP5" s="6"/>
      <c r="AQ5" s="6"/>
      <c r="AR5" s="6"/>
      <c r="AS5" s="6"/>
      <c r="AT5" s="6"/>
      <c r="AU5" s="6"/>
      <c r="AV5" s="6"/>
      <c r="AW5" s="6"/>
      <c r="AX5" s="6"/>
      <c r="AY5" s="6"/>
      <c r="AZ5" s="6"/>
      <c r="BA5" s="6"/>
      <c r="BB5" s="6"/>
      <c r="BC5" s="6"/>
      <c r="BD5" s="6"/>
      <c r="BE5" s="6"/>
      <c r="BF5" s="3"/>
    </row>
    <row r="6" spans="1:58" x14ac:dyDescent="0.2">
      <c r="B6" s="2" t="s">
        <v>16</v>
      </c>
      <c r="C6" s="6"/>
      <c r="D6" s="6"/>
      <c r="E6" s="6">
        <v>4.673</v>
      </c>
      <c r="F6" s="6"/>
      <c r="G6" s="6">
        <v>4.2350000000000003</v>
      </c>
      <c r="H6" s="6"/>
      <c r="I6" s="6">
        <v>4.5220000000000002</v>
      </c>
      <c r="J6" s="6"/>
      <c r="K6" s="6">
        <v>3.9449999999999998</v>
      </c>
      <c r="L6" s="6">
        <v>4.0449999999999999</v>
      </c>
      <c r="M6" s="6">
        <v>4.4370000000000003</v>
      </c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  <c r="AD6" s="6"/>
      <c r="AE6" s="6"/>
      <c r="AF6" s="6"/>
      <c r="AG6" s="6"/>
      <c r="AH6" s="6"/>
      <c r="AI6" s="6"/>
      <c r="AJ6" s="6"/>
      <c r="AK6" s="6"/>
      <c r="AL6" s="6"/>
      <c r="AM6" s="6"/>
      <c r="AN6" s="6"/>
      <c r="AO6" s="6"/>
      <c r="AP6" s="6"/>
      <c r="AQ6" s="6"/>
      <c r="AR6" s="6"/>
      <c r="AS6" s="6"/>
      <c r="AT6" s="6"/>
      <c r="AU6" s="6"/>
      <c r="AV6" s="6"/>
      <c r="AW6" s="6"/>
      <c r="AX6" s="6"/>
      <c r="AY6" s="6"/>
      <c r="AZ6" s="6"/>
      <c r="BA6" s="6"/>
      <c r="BB6" s="6"/>
      <c r="BC6" s="6"/>
      <c r="BD6" s="6"/>
      <c r="BE6" s="6"/>
      <c r="BF6" s="3"/>
    </row>
    <row r="7" spans="1:58" x14ac:dyDescent="0.2">
      <c r="B7" s="1" t="s">
        <v>17</v>
      </c>
      <c r="C7" s="7">
        <f t="shared" ref="C7:I7" si="0">+C5+C6</f>
        <v>0</v>
      </c>
      <c r="D7" s="7">
        <f t="shared" si="0"/>
        <v>0</v>
      </c>
      <c r="E7" s="7">
        <f t="shared" si="0"/>
        <v>2289.3459999999995</v>
      </c>
      <c r="F7" s="7">
        <f t="shared" si="0"/>
        <v>0</v>
      </c>
      <c r="G7" s="7">
        <f t="shared" si="0"/>
        <v>2361.5530000000003</v>
      </c>
      <c r="H7" s="7">
        <f t="shared" si="0"/>
        <v>0</v>
      </c>
      <c r="I7" s="7">
        <f t="shared" si="0"/>
        <v>2530.6959999999999</v>
      </c>
      <c r="J7" s="7">
        <f>+J5+J6</f>
        <v>0</v>
      </c>
      <c r="K7" s="7">
        <f>+K5+K6</f>
        <v>2504.02</v>
      </c>
      <c r="L7" s="7">
        <f>+L5+L6</f>
        <v>2705.0709999999999</v>
      </c>
      <c r="M7" s="7">
        <f>+M5+M6</f>
        <v>2710.44</v>
      </c>
      <c r="N7" s="7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  <c r="AY7" s="6"/>
      <c r="AZ7" s="6"/>
      <c r="BA7" s="6"/>
      <c r="BB7" s="6"/>
      <c r="BC7" s="6"/>
      <c r="BD7" s="6"/>
      <c r="BE7" s="6"/>
      <c r="BF7" s="3"/>
    </row>
    <row r="8" spans="1:58" x14ac:dyDescent="0.2">
      <c r="B8" s="2" t="s">
        <v>18</v>
      </c>
      <c r="C8" s="6"/>
      <c r="D8" s="6"/>
      <c r="E8" s="6">
        <v>1297.8050000000001</v>
      </c>
      <c r="F8" s="6"/>
      <c r="G8" s="6">
        <v>1330.7260000000001</v>
      </c>
      <c r="H8" s="6"/>
      <c r="I8" s="6">
        <v>1418.143</v>
      </c>
      <c r="J8" s="6"/>
      <c r="K8" s="6">
        <v>1405.0909999999999</v>
      </c>
      <c r="L8" s="6">
        <v>1519.6289999999999</v>
      </c>
      <c r="M8" s="6">
        <v>1509.8530000000001</v>
      </c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  <c r="AD8" s="6"/>
      <c r="AE8" s="6"/>
      <c r="AF8" s="6"/>
      <c r="AG8" s="6"/>
      <c r="AH8" s="6"/>
      <c r="AI8" s="6"/>
      <c r="AJ8" s="6"/>
      <c r="AK8" s="6"/>
      <c r="AL8" s="6"/>
      <c r="AM8" s="6"/>
      <c r="AN8" s="6"/>
      <c r="AO8" s="6"/>
      <c r="AP8" s="6"/>
      <c r="AQ8" s="6"/>
      <c r="AR8" s="6"/>
      <c r="AS8" s="6"/>
      <c r="AT8" s="6"/>
      <c r="AU8" s="6"/>
      <c r="AV8" s="6"/>
      <c r="AW8" s="6"/>
      <c r="AX8" s="6"/>
      <c r="AY8" s="6"/>
      <c r="AZ8" s="6"/>
      <c r="BA8" s="6"/>
      <c r="BB8" s="6"/>
      <c r="BC8" s="6"/>
      <c r="BD8" s="6"/>
      <c r="BE8" s="6"/>
      <c r="BF8" s="3"/>
    </row>
    <row r="9" spans="1:58" x14ac:dyDescent="0.2">
      <c r="B9" s="2" t="s">
        <v>19</v>
      </c>
      <c r="C9" s="6">
        <f t="shared" ref="C9:H9" si="1">+C7-C8</f>
        <v>0</v>
      </c>
      <c r="D9" s="6">
        <f t="shared" si="1"/>
        <v>0</v>
      </c>
      <c r="E9" s="6">
        <f t="shared" si="1"/>
        <v>991.54099999999949</v>
      </c>
      <c r="F9" s="6">
        <f t="shared" si="1"/>
        <v>0</v>
      </c>
      <c r="G9" s="6">
        <f t="shared" si="1"/>
        <v>1030.8270000000002</v>
      </c>
      <c r="H9" s="6">
        <f t="shared" si="1"/>
        <v>0</v>
      </c>
      <c r="I9" s="6">
        <f>+I7-I8</f>
        <v>1112.5529999999999</v>
      </c>
      <c r="J9" s="6">
        <f t="shared" ref="J9:M9" si="2">+J7-J8</f>
        <v>0</v>
      </c>
      <c r="K9" s="6">
        <f t="shared" si="2"/>
        <v>1098.9290000000001</v>
      </c>
      <c r="L9" s="6">
        <f t="shared" si="2"/>
        <v>1185.442</v>
      </c>
      <c r="M9" s="6">
        <f t="shared" si="2"/>
        <v>1200.587</v>
      </c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6"/>
      <c r="AH9" s="6"/>
      <c r="AI9" s="6"/>
      <c r="AJ9" s="6"/>
      <c r="AK9" s="6"/>
      <c r="AL9" s="6"/>
      <c r="AM9" s="6"/>
      <c r="AN9" s="6"/>
      <c r="AO9" s="6"/>
      <c r="AP9" s="6"/>
      <c r="AQ9" s="6"/>
      <c r="AR9" s="6"/>
      <c r="AS9" s="6"/>
      <c r="AT9" s="6"/>
      <c r="AU9" s="6"/>
      <c r="AV9" s="6"/>
      <c r="AW9" s="6"/>
      <c r="AX9" s="6"/>
      <c r="AY9" s="6"/>
      <c r="AZ9" s="6"/>
      <c r="BA9" s="6"/>
      <c r="BB9" s="6"/>
      <c r="BC9" s="6"/>
      <c r="BD9" s="6"/>
      <c r="BE9" s="6"/>
      <c r="BF9" s="3"/>
    </row>
    <row r="10" spans="1:58" x14ac:dyDescent="0.2">
      <c r="B10" s="2" t="s">
        <v>20</v>
      </c>
      <c r="C10" s="6"/>
      <c r="D10" s="6"/>
      <c r="E10" s="6">
        <v>826.822</v>
      </c>
      <c r="F10" s="6"/>
      <c r="G10" s="6">
        <v>825.226</v>
      </c>
      <c r="H10" s="6"/>
      <c r="I10" s="6">
        <v>893.09199999999998</v>
      </c>
      <c r="J10" s="6"/>
      <c r="K10" s="6">
        <v>868.05799999999999</v>
      </c>
      <c r="L10" s="6">
        <v>949.93100000000004</v>
      </c>
      <c r="M10" s="6">
        <v>947.51800000000003</v>
      </c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  <c r="AD10" s="6"/>
      <c r="AE10" s="6"/>
      <c r="AF10" s="6"/>
      <c r="AG10" s="6"/>
      <c r="AH10" s="6"/>
      <c r="AI10" s="6"/>
      <c r="AJ10" s="6"/>
      <c r="AK10" s="6"/>
      <c r="AL10" s="6"/>
      <c r="AM10" s="6"/>
      <c r="AN10" s="6"/>
      <c r="AO10" s="6"/>
      <c r="AP10" s="6"/>
      <c r="AQ10" s="6"/>
      <c r="AR10" s="6"/>
      <c r="AS10" s="6"/>
      <c r="AT10" s="6"/>
      <c r="AU10" s="6"/>
      <c r="AV10" s="6"/>
      <c r="AW10" s="6"/>
      <c r="AX10" s="6"/>
      <c r="AY10" s="6"/>
      <c r="AZ10" s="6"/>
      <c r="BA10" s="6"/>
      <c r="BB10" s="6"/>
      <c r="BC10" s="6"/>
      <c r="BD10" s="6"/>
      <c r="BE10" s="6"/>
      <c r="BF10" s="3"/>
    </row>
    <row r="11" spans="1:58" x14ac:dyDescent="0.2">
      <c r="B11" s="2" t="s">
        <v>21</v>
      </c>
      <c r="C11" s="6"/>
      <c r="D11" s="6"/>
      <c r="E11" s="6">
        <v>0</v>
      </c>
      <c r="F11" s="6"/>
      <c r="G11" s="6">
        <v>0</v>
      </c>
      <c r="H11" s="6"/>
      <c r="I11" s="6">
        <v>4.5330000000000004</v>
      </c>
      <c r="J11" s="6"/>
      <c r="K11" s="6">
        <v>0.112</v>
      </c>
      <c r="L11" s="6">
        <v>0</v>
      </c>
      <c r="M11" s="6">
        <v>0</v>
      </c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F11" s="6"/>
      <c r="AG11" s="6"/>
      <c r="AH11" s="6"/>
      <c r="AI11" s="6"/>
      <c r="AJ11" s="6"/>
      <c r="AK11" s="6"/>
      <c r="AL11" s="6"/>
      <c r="AM11" s="6"/>
      <c r="AN11" s="6"/>
      <c r="AO11" s="6"/>
      <c r="AP11" s="6"/>
      <c r="AQ11" s="6"/>
      <c r="AR11" s="6"/>
      <c r="AS11" s="6"/>
      <c r="AT11" s="6"/>
      <c r="AU11" s="6"/>
      <c r="AV11" s="6"/>
      <c r="AW11" s="6"/>
      <c r="AX11" s="6"/>
      <c r="AY11" s="6"/>
      <c r="AZ11" s="6"/>
      <c r="BA11" s="6"/>
      <c r="BB11" s="6"/>
      <c r="BC11" s="6"/>
      <c r="BD11" s="6"/>
      <c r="BE11" s="6"/>
      <c r="BF11" s="3"/>
    </row>
    <row r="12" spans="1:58" x14ac:dyDescent="0.2">
      <c r="B12" s="2" t="s">
        <v>22</v>
      </c>
      <c r="C12" s="6"/>
      <c r="D12" s="6"/>
      <c r="E12" s="6">
        <v>76.087000000000003</v>
      </c>
      <c r="F12" s="6"/>
      <c r="G12" s="6">
        <v>81.965000000000003</v>
      </c>
      <c r="H12" s="6"/>
      <c r="I12" s="6">
        <v>87.47</v>
      </c>
      <c r="J12" s="6"/>
      <c r="K12" s="6">
        <v>91.783000000000001</v>
      </c>
      <c r="L12" s="6">
        <v>94.81</v>
      </c>
      <c r="M12" s="6">
        <v>99.283000000000001</v>
      </c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  <c r="AD12" s="6"/>
      <c r="AE12" s="6"/>
      <c r="AF12" s="6"/>
      <c r="AG12" s="6"/>
      <c r="AH12" s="6"/>
      <c r="AI12" s="6"/>
      <c r="AJ12" s="6"/>
      <c r="AK12" s="6"/>
      <c r="AL12" s="6"/>
      <c r="AM12" s="6"/>
      <c r="AN12" s="6"/>
      <c r="AO12" s="6"/>
      <c r="AP12" s="6"/>
      <c r="AQ12" s="6"/>
      <c r="AR12" s="6"/>
      <c r="AS12" s="6"/>
      <c r="AT12" s="6"/>
      <c r="AU12" s="6"/>
      <c r="AV12" s="6"/>
      <c r="AW12" s="6"/>
      <c r="AX12" s="6"/>
      <c r="AY12" s="6"/>
      <c r="AZ12" s="6"/>
      <c r="BA12" s="6"/>
      <c r="BB12" s="6"/>
      <c r="BC12" s="6"/>
      <c r="BD12" s="6"/>
      <c r="BE12" s="6"/>
      <c r="BF12" s="3"/>
    </row>
    <row r="13" spans="1:58" x14ac:dyDescent="0.2">
      <c r="B13" s="2" t="s">
        <v>23</v>
      </c>
      <c r="C13" s="6"/>
      <c r="D13" s="6"/>
      <c r="E13" s="6">
        <v>0.81399999999999995</v>
      </c>
      <c r="F13" s="6"/>
      <c r="G13" s="6">
        <v>8.2100000000000009</v>
      </c>
      <c r="H13" s="6"/>
      <c r="I13" s="6">
        <v>3.044</v>
      </c>
      <c r="J13" s="6"/>
      <c r="K13" s="6">
        <v>0.51600000000000001</v>
      </c>
      <c r="L13" s="6">
        <v>1.58</v>
      </c>
      <c r="M13" s="6">
        <v>3.786</v>
      </c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  <c r="AD13" s="6"/>
      <c r="AE13" s="6"/>
      <c r="AF13" s="6"/>
      <c r="AG13" s="6"/>
      <c r="AH13" s="6"/>
      <c r="AI13" s="6"/>
      <c r="AJ13" s="6"/>
      <c r="AK13" s="6"/>
      <c r="AL13" s="6"/>
      <c r="AM13" s="6"/>
      <c r="AN13" s="6"/>
      <c r="AO13" s="6"/>
      <c r="AP13" s="6"/>
      <c r="AQ13" s="6"/>
      <c r="AR13" s="6"/>
      <c r="AS13" s="6"/>
      <c r="AT13" s="6"/>
      <c r="AU13" s="6"/>
      <c r="AV13" s="6"/>
      <c r="AW13" s="6"/>
      <c r="AX13" s="6"/>
      <c r="AY13" s="6"/>
      <c r="AZ13" s="6"/>
      <c r="BA13" s="6"/>
      <c r="BB13" s="6"/>
      <c r="BC13" s="6"/>
      <c r="BD13" s="6"/>
      <c r="BE13" s="6"/>
      <c r="BF13" s="3"/>
    </row>
    <row r="14" spans="1:58" x14ac:dyDescent="0.2">
      <c r="B14" s="2" t="s">
        <v>24</v>
      </c>
      <c r="C14" s="6"/>
      <c r="D14" s="6"/>
      <c r="E14" s="6">
        <v>12.384</v>
      </c>
      <c r="F14" s="6"/>
      <c r="G14" s="6">
        <v>10.862</v>
      </c>
      <c r="H14" s="6"/>
      <c r="I14" s="6">
        <v>12.824999999999999</v>
      </c>
      <c r="J14" s="6"/>
      <c r="K14" s="6">
        <v>10.222</v>
      </c>
      <c r="L14" s="6">
        <v>5.63</v>
      </c>
      <c r="M14" s="6">
        <v>2.3090000000000002</v>
      </c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6"/>
      <c r="AD14" s="6"/>
      <c r="AE14" s="6"/>
      <c r="AF14" s="6"/>
      <c r="AG14" s="6"/>
      <c r="AH14" s="6"/>
      <c r="AI14" s="6"/>
      <c r="AJ14" s="6"/>
      <c r="AK14" s="6"/>
      <c r="AL14" s="6"/>
      <c r="AM14" s="6"/>
      <c r="AN14" s="6"/>
      <c r="AO14" s="6"/>
      <c r="AP14" s="6"/>
      <c r="AQ14" s="6"/>
      <c r="AR14" s="6"/>
      <c r="AS14" s="6"/>
      <c r="AT14" s="6"/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3"/>
    </row>
    <row r="15" spans="1:58" x14ac:dyDescent="0.2">
      <c r="B15" s="2" t="s">
        <v>25</v>
      </c>
      <c r="C15" s="6">
        <f t="shared" ref="C15:H15" si="3">+C9-SUM(C10:C13)+C14</f>
        <v>0</v>
      </c>
      <c r="D15" s="6">
        <f t="shared" si="3"/>
        <v>0</v>
      </c>
      <c r="E15" s="6">
        <f t="shared" si="3"/>
        <v>100.20199999999953</v>
      </c>
      <c r="F15" s="6">
        <f t="shared" si="3"/>
        <v>0</v>
      </c>
      <c r="G15" s="6">
        <f t="shared" si="3"/>
        <v>126.28800000000015</v>
      </c>
      <c r="H15" s="6">
        <f t="shared" si="3"/>
        <v>0</v>
      </c>
      <c r="I15" s="6">
        <f>+I9-SUM(I10:I13)+I14</f>
        <v>137.23899999999986</v>
      </c>
      <c r="J15" s="6">
        <f t="shared" ref="J15:M15" si="4">+J9-SUM(J10:J13)+J14</f>
        <v>0</v>
      </c>
      <c r="K15" s="6">
        <f t="shared" si="4"/>
        <v>148.68200000000016</v>
      </c>
      <c r="L15" s="6">
        <f t="shared" si="4"/>
        <v>144.75100000000009</v>
      </c>
      <c r="M15" s="6">
        <f t="shared" si="4"/>
        <v>152.309</v>
      </c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  <c r="AD15" s="6"/>
      <c r="AE15" s="6"/>
      <c r="AF15" s="6"/>
      <c r="AG15" s="6"/>
      <c r="AH15" s="6"/>
      <c r="AI15" s="6"/>
      <c r="AJ15" s="6"/>
      <c r="AK15" s="6"/>
      <c r="AL15" s="6"/>
      <c r="AM15" s="6"/>
      <c r="AN15" s="6"/>
      <c r="AO15" s="6"/>
      <c r="AP15" s="6"/>
      <c r="AQ15" s="6"/>
      <c r="AR15" s="6"/>
      <c r="AS15" s="6"/>
      <c r="AT15" s="6"/>
      <c r="AU15" s="6"/>
      <c r="AV15" s="6"/>
      <c r="AW15" s="6"/>
      <c r="AX15" s="6"/>
      <c r="AY15" s="6"/>
      <c r="AZ15" s="6"/>
      <c r="BA15" s="6"/>
      <c r="BB15" s="6"/>
      <c r="BC15" s="6"/>
      <c r="BD15" s="6"/>
      <c r="BE15" s="6"/>
      <c r="BF15" s="3"/>
    </row>
    <row r="16" spans="1:58" x14ac:dyDescent="0.2">
      <c r="B16" s="2" t="s">
        <v>26</v>
      </c>
      <c r="C16" s="6"/>
      <c r="D16" s="6"/>
      <c r="E16" s="6">
        <v>13.63</v>
      </c>
      <c r="F16" s="6"/>
      <c r="G16" s="6">
        <v>0</v>
      </c>
      <c r="H16" s="6"/>
      <c r="I16" s="6">
        <v>1.4119999999999999</v>
      </c>
      <c r="J16" s="6"/>
      <c r="K16" s="6">
        <v>0</v>
      </c>
      <c r="L16" s="6">
        <v>0</v>
      </c>
      <c r="M16" s="6">
        <v>0</v>
      </c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  <c r="AD16" s="6"/>
      <c r="AE16" s="6"/>
      <c r="AF16" s="6"/>
      <c r="AG16" s="6"/>
      <c r="AH16" s="6"/>
      <c r="AI16" s="6"/>
      <c r="AJ16" s="6"/>
      <c r="AK16" s="6"/>
      <c r="AL16" s="6"/>
      <c r="AM16" s="6"/>
      <c r="AN16" s="6"/>
      <c r="AO16" s="6"/>
      <c r="AP16" s="6"/>
      <c r="AQ16" s="6"/>
      <c r="AR16" s="6"/>
      <c r="AS16" s="6"/>
      <c r="AT16" s="6"/>
      <c r="AU16" s="6"/>
      <c r="AV16" s="6"/>
      <c r="AW16" s="6"/>
      <c r="AX16" s="6"/>
      <c r="AY16" s="6"/>
      <c r="AZ16" s="6"/>
      <c r="BA16" s="6"/>
      <c r="BB16" s="6"/>
      <c r="BC16" s="6"/>
      <c r="BD16" s="6"/>
      <c r="BE16" s="6"/>
      <c r="BF16" s="3"/>
    </row>
    <row r="17" spans="2:58" x14ac:dyDescent="0.2">
      <c r="B17" s="2" t="s">
        <v>27</v>
      </c>
      <c r="C17" s="6"/>
      <c r="D17" s="6"/>
      <c r="E17" s="6">
        <v>19.68</v>
      </c>
      <c r="F17" s="6"/>
      <c r="G17" s="6">
        <v>16.649000000000001</v>
      </c>
      <c r="H17" s="6"/>
      <c r="I17" s="6">
        <v>17.768999999999998</v>
      </c>
      <c r="J17" s="6"/>
      <c r="K17" s="6">
        <v>15.81</v>
      </c>
      <c r="L17" s="6">
        <v>17.427</v>
      </c>
      <c r="M17" s="6">
        <f>19.154-4.904</f>
        <v>14.25</v>
      </c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  <c r="AG17" s="6"/>
      <c r="AH17" s="6"/>
      <c r="AI17" s="6"/>
      <c r="AJ17" s="6"/>
      <c r="AK17" s="6"/>
      <c r="AL17" s="6"/>
      <c r="AM17" s="6"/>
      <c r="AN17" s="6"/>
      <c r="AO17" s="6"/>
      <c r="AP17" s="6"/>
      <c r="AQ17" s="6"/>
      <c r="AR17" s="6"/>
      <c r="AS17" s="6"/>
      <c r="AT17" s="6"/>
      <c r="AU17" s="6"/>
      <c r="AV17" s="6"/>
      <c r="AW17" s="6"/>
      <c r="AX17" s="6"/>
      <c r="AY17" s="6"/>
      <c r="AZ17" s="6"/>
      <c r="BA17" s="6"/>
      <c r="BB17" s="6"/>
      <c r="BC17" s="6"/>
      <c r="BD17" s="6"/>
      <c r="BE17" s="6"/>
      <c r="BF17" s="3"/>
    </row>
    <row r="18" spans="2:58" x14ac:dyDescent="0.2">
      <c r="B18" s="2" t="s">
        <v>28</v>
      </c>
      <c r="C18" s="6">
        <f t="shared" ref="C18:H18" si="5">+C15-C16-C17</f>
        <v>0</v>
      </c>
      <c r="D18" s="6">
        <f t="shared" si="5"/>
        <v>0</v>
      </c>
      <c r="E18" s="6">
        <f t="shared" si="5"/>
        <v>66.891999999999541</v>
      </c>
      <c r="F18" s="6">
        <f t="shared" si="5"/>
        <v>0</v>
      </c>
      <c r="G18" s="6">
        <f t="shared" si="5"/>
        <v>109.63900000000015</v>
      </c>
      <c r="H18" s="6">
        <f t="shared" si="5"/>
        <v>0</v>
      </c>
      <c r="I18" s="6">
        <f>+I15-I16-I17</f>
        <v>118.05799999999985</v>
      </c>
      <c r="J18" s="6">
        <f t="shared" ref="J18:M18" si="6">+J15-J16-J17</f>
        <v>0</v>
      </c>
      <c r="K18" s="6">
        <f t="shared" si="6"/>
        <v>132.87200000000016</v>
      </c>
      <c r="L18" s="6">
        <f t="shared" si="6"/>
        <v>127.3240000000001</v>
      </c>
      <c r="M18" s="6">
        <f t="shared" si="6"/>
        <v>138.059</v>
      </c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6"/>
      <c r="AJ18" s="6"/>
      <c r="AK18" s="6"/>
      <c r="AL18" s="6"/>
      <c r="AM18" s="6"/>
      <c r="AN18" s="6"/>
      <c r="AO18" s="6"/>
      <c r="AP18" s="6"/>
      <c r="AQ18" s="6"/>
      <c r="AR18" s="6"/>
      <c r="AS18" s="6"/>
      <c r="AT18" s="6"/>
      <c r="AU18" s="6"/>
      <c r="AV18" s="6"/>
      <c r="AW18" s="6"/>
      <c r="AX18" s="6"/>
      <c r="AY18" s="6"/>
      <c r="AZ18" s="6"/>
      <c r="BA18" s="6"/>
      <c r="BB18" s="6"/>
      <c r="BC18" s="6"/>
      <c r="BD18" s="6"/>
      <c r="BE18" s="6"/>
      <c r="BF18" s="3"/>
    </row>
    <row r="19" spans="2:58" x14ac:dyDescent="0.2">
      <c r="B19" s="2" t="s">
        <v>35</v>
      </c>
      <c r="C19" s="6"/>
      <c r="D19" s="6"/>
      <c r="E19" s="6">
        <v>18.341000000000001</v>
      </c>
      <c r="F19" s="6"/>
      <c r="G19" s="6">
        <v>31.125</v>
      </c>
      <c r="H19" s="6"/>
      <c r="I19" s="6">
        <v>27.440999999999999</v>
      </c>
      <c r="J19" s="6"/>
      <c r="K19" s="6">
        <v>32.039000000000001</v>
      </c>
      <c r="L19" s="6">
        <v>33.139000000000003</v>
      </c>
      <c r="M19" s="6">
        <v>33.308999999999997</v>
      </c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6"/>
      <c r="AL19" s="6"/>
      <c r="AM19" s="6"/>
      <c r="AN19" s="6"/>
      <c r="AO19" s="6"/>
      <c r="AP19" s="6"/>
      <c r="AQ19" s="6"/>
      <c r="AR19" s="6"/>
      <c r="AS19" s="6"/>
      <c r="AT19" s="6"/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3"/>
    </row>
    <row r="20" spans="2:58" x14ac:dyDescent="0.2">
      <c r="B20" s="2" t="s">
        <v>29</v>
      </c>
      <c r="C20" s="6">
        <f t="shared" ref="C20:H20" si="7">+C18-C19</f>
        <v>0</v>
      </c>
      <c r="D20" s="6">
        <f t="shared" si="7"/>
        <v>0</v>
      </c>
      <c r="E20" s="6">
        <f t="shared" si="7"/>
        <v>48.55099999999954</v>
      </c>
      <c r="F20" s="6">
        <f t="shared" si="7"/>
        <v>0</v>
      </c>
      <c r="G20" s="6">
        <f t="shared" si="7"/>
        <v>78.514000000000152</v>
      </c>
      <c r="H20" s="6">
        <f t="shared" si="7"/>
        <v>0</v>
      </c>
      <c r="I20" s="6">
        <f>+I18-I19</f>
        <v>90.616999999999848</v>
      </c>
      <c r="J20" s="6">
        <f t="shared" ref="J20:M20" si="8">+J18-J19</f>
        <v>0</v>
      </c>
      <c r="K20" s="6">
        <f t="shared" si="8"/>
        <v>100.83300000000015</v>
      </c>
      <c r="L20" s="6">
        <f t="shared" si="8"/>
        <v>94.185000000000088</v>
      </c>
      <c r="M20" s="6">
        <f t="shared" si="8"/>
        <v>104.75</v>
      </c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  <c r="AL20" s="6"/>
      <c r="AM20" s="6"/>
      <c r="AN20" s="6"/>
      <c r="AO20" s="6"/>
      <c r="AP20" s="6"/>
      <c r="AQ20" s="6"/>
      <c r="AR20" s="6"/>
      <c r="AS20" s="6"/>
      <c r="AT20" s="6"/>
      <c r="AU20" s="6"/>
      <c r="AV20" s="6"/>
      <c r="AW20" s="6"/>
      <c r="AX20" s="6"/>
      <c r="AY20" s="6"/>
      <c r="AZ20" s="6"/>
      <c r="BA20" s="6"/>
      <c r="BB20" s="6"/>
      <c r="BC20" s="6"/>
      <c r="BD20" s="6"/>
      <c r="BE20" s="6"/>
      <c r="BF20" s="3"/>
    </row>
    <row r="21" spans="2:58" x14ac:dyDescent="0.2"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6"/>
      <c r="AO21" s="6"/>
      <c r="AP21" s="6"/>
      <c r="AQ21" s="6"/>
      <c r="AR21" s="6"/>
      <c r="AS21" s="6"/>
      <c r="AT21" s="6"/>
      <c r="AU21" s="6"/>
      <c r="AV21" s="6"/>
      <c r="AW21" s="6"/>
      <c r="AX21" s="6"/>
      <c r="AY21" s="6"/>
      <c r="AZ21" s="6"/>
      <c r="BA21" s="6"/>
      <c r="BB21" s="6"/>
      <c r="BC21" s="6"/>
      <c r="BD21" s="6"/>
      <c r="BE21" s="6"/>
      <c r="BF21" s="3"/>
    </row>
    <row r="22" spans="2:58" x14ac:dyDescent="0.2">
      <c r="B22" s="2" t="s">
        <v>30</v>
      </c>
      <c r="C22" s="6" t="e">
        <f t="shared" ref="C22:H22" si="9">+C20/C23</f>
        <v>#DIV/0!</v>
      </c>
      <c r="D22" s="6" t="e">
        <f t="shared" si="9"/>
        <v>#DIV/0!</v>
      </c>
      <c r="E22" s="6">
        <f t="shared" si="9"/>
        <v>0.75032067627922083</v>
      </c>
      <c r="F22" s="6" t="e">
        <f t="shared" si="9"/>
        <v>#DIV/0!</v>
      </c>
      <c r="G22" s="6">
        <f t="shared" si="9"/>
        <v>1.229258975121732</v>
      </c>
      <c r="H22" s="6" t="e">
        <f t="shared" si="9"/>
        <v>#DIV/0!</v>
      </c>
      <c r="I22" s="6">
        <f>+I20/I23</f>
        <v>1.4256249705017046</v>
      </c>
      <c r="J22" s="6" t="e">
        <f t="shared" ref="J22:M22" si="10">+J20/J23</f>
        <v>#DIV/0!</v>
      </c>
      <c r="K22" s="6">
        <f t="shared" si="10"/>
        <v>1.5982912756784198</v>
      </c>
      <c r="L22" s="6">
        <f t="shared" si="10"/>
        <v>1.4741051445385267</v>
      </c>
      <c r="M22" s="6">
        <f t="shared" si="10"/>
        <v>1.6631736051570289</v>
      </c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  <c r="AI22" s="6"/>
      <c r="AJ22" s="6"/>
      <c r="AK22" s="6"/>
      <c r="AL22" s="6"/>
      <c r="AM22" s="6"/>
      <c r="AN22" s="6"/>
      <c r="AO22" s="6"/>
      <c r="AP22" s="6"/>
      <c r="AQ22" s="6"/>
      <c r="AR22" s="6"/>
      <c r="AS22" s="6"/>
      <c r="AT22" s="6"/>
      <c r="AU22" s="6"/>
      <c r="AV22" s="6"/>
      <c r="AW22" s="6"/>
      <c r="AX22" s="6"/>
      <c r="AY22" s="6"/>
      <c r="AZ22" s="6"/>
      <c r="BA22" s="6"/>
      <c r="BB22" s="6"/>
      <c r="BC22" s="6"/>
      <c r="BD22" s="6"/>
      <c r="BE22" s="6"/>
      <c r="BF22" s="3"/>
    </row>
    <row r="23" spans="2:58" x14ac:dyDescent="0.2">
      <c r="B23" s="2" t="s">
        <v>3</v>
      </c>
      <c r="C23" s="6"/>
      <c r="D23" s="6"/>
      <c r="E23" s="6">
        <v>64.706999999999994</v>
      </c>
      <c r="F23" s="6"/>
      <c r="G23" s="6">
        <v>63.871000000000002</v>
      </c>
      <c r="H23" s="6"/>
      <c r="I23" s="6">
        <v>63.563000000000002</v>
      </c>
      <c r="J23" s="6"/>
      <c r="K23" s="6">
        <v>63.088000000000001</v>
      </c>
      <c r="L23" s="6">
        <v>63.893000000000001</v>
      </c>
      <c r="M23" s="6">
        <v>62.981999999999999</v>
      </c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6"/>
      <c r="AQ23" s="6"/>
      <c r="AR23" s="6"/>
      <c r="AS23" s="6"/>
      <c r="AT23" s="6"/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3"/>
    </row>
    <row r="24" spans="2:58" x14ac:dyDescent="0.2"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  <c r="AB24" s="6"/>
      <c r="AC24" s="6"/>
      <c r="AD24" s="6"/>
      <c r="AE24" s="6"/>
      <c r="AF24" s="6"/>
      <c r="AG24" s="6"/>
      <c r="AH24" s="6"/>
      <c r="AI24" s="6"/>
      <c r="AJ24" s="6"/>
      <c r="AK24" s="6"/>
      <c r="AL24" s="6"/>
      <c r="AM24" s="6"/>
      <c r="AN24" s="6"/>
      <c r="AO24" s="6"/>
      <c r="AP24" s="6"/>
      <c r="AQ24" s="6"/>
      <c r="AR24" s="6"/>
      <c r="AS24" s="6"/>
      <c r="AT24" s="6"/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3"/>
    </row>
    <row r="25" spans="2:58" x14ac:dyDescent="0.2">
      <c r="B25" s="1" t="s">
        <v>31</v>
      </c>
      <c r="C25" s="7"/>
      <c r="D25" s="7"/>
      <c r="E25" s="7"/>
      <c r="F25" s="7"/>
      <c r="G25" s="8" t="e">
        <f t="shared" ref="G25:H25" si="11">+G7/C7-1</f>
        <v>#DIV/0!</v>
      </c>
      <c r="H25" s="8" t="e">
        <f t="shared" si="11"/>
        <v>#DIV/0!</v>
      </c>
      <c r="I25" s="8">
        <f>+I7/E7-1</f>
        <v>0.10542312083887739</v>
      </c>
      <c r="J25" s="8" t="e">
        <f>+J7/F7-1</f>
        <v>#DIV/0!</v>
      </c>
      <c r="K25" s="8">
        <f>+K7/G7-1</f>
        <v>6.0327674204220472E-2</v>
      </c>
      <c r="L25" s="8" t="e">
        <f>+L7/H7-1</f>
        <v>#DIV/0!</v>
      </c>
      <c r="M25" s="8">
        <f>+M7/I7-1</f>
        <v>7.1025520252136154E-2</v>
      </c>
      <c r="N25" s="9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6"/>
      <c r="AQ25" s="6"/>
      <c r="AR25" s="6"/>
      <c r="AS25" s="6"/>
      <c r="AT25" s="6"/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3"/>
    </row>
    <row r="26" spans="2:58" x14ac:dyDescent="0.2">
      <c r="B26" s="2" t="s">
        <v>32</v>
      </c>
      <c r="C26" s="9" t="e">
        <f t="shared" ref="C26:H26" si="12">+C10/C7</f>
        <v>#DIV/0!</v>
      </c>
      <c r="D26" s="9" t="e">
        <f t="shared" si="12"/>
        <v>#DIV/0!</v>
      </c>
      <c r="E26" s="9">
        <f t="shared" si="12"/>
        <v>0.3611607856566898</v>
      </c>
      <c r="F26" s="9" t="e">
        <f t="shared" si="12"/>
        <v>#DIV/0!</v>
      </c>
      <c r="G26" s="9">
        <f t="shared" si="12"/>
        <v>0.34944208323929205</v>
      </c>
      <c r="H26" s="9" t="e">
        <f t="shared" si="12"/>
        <v>#DIV/0!</v>
      </c>
      <c r="I26" s="9">
        <f>+I10/I7</f>
        <v>0.35290370712246749</v>
      </c>
      <c r="J26" s="9" t="e">
        <f>+J10/J7</f>
        <v>#DIV/0!</v>
      </c>
      <c r="K26" s="9">
        <f>+K10/K7</f>
        <v>0.34666576145557942</v>
      </c>
      <c r="L26" s="9">
        <f>+L10/L7</f>
        <v>0.35116675310925299</v>
      </c>
      <c r="M26" s="9">
        <f>+M10/M7</f>
        <v>0.34958087985714498</v>
      </c>
      <c r="N26" s="9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  <c r="AJ26" s="6"/>
      <c r="AK26" s="6"/>
      <c r="AL26" s="6"/>
      <c r="AM26" s="6"/>
      <c r="AN26" s="6"/>
      <c r="AO26" s="6"/>
      <c r="AP26" s="6"/>
      <c r="AQ26" s="6"/>
      <c r="AR26" s="6"/>
      <c r="AS26" s="6"/>
      <c r="AT26" s="6"/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3"/>
    </row>
    <row r="27" spans="2:58" x14ac:dyDescent="0.2">
      <c r="B27" s="2" t="s">
        <v>33</v>
      </c>
      <c r="C27" s="9" t="e">
        <f t="shared" ref="C27:H27" si="13">+C15/C7</f>
        <v>#DIV/0!</v>
      </c>
      <c r="D27" s="9" t="e">
        <f t="shared" si="13"/>
        <v>#DIV/0!</v>
      </c>
      <c r="E27" s="9">
        <f t="shared" si="13"/>
        <v>4.3768831797377741E-2</v>
      </c>
      <c r="F27" s="9" t="e">
        <f t="shared" si="13"/>
        <v>#DIV/0!</v>
      </c>
      <c r="G27" s="9">
        <f t="shared" si="13"/>
        <v>5.347667403611104E-2</v>
      </c>
      <c r="H27" s="9" t="e">
        <f t="shared" si="13"/>
        <v>#DIV/0!</v>
      </c>
      <c r="I27" s="9">
        <f>+I15/I7</f>
        <v>5.4229745492939442E-2</v>
      </c>
      <c r="J27" s="9" t="e">
        <f>+J15/J7</f>
        <v>#DIV/0!</v>
      </c>
      <c r="K27" s="9">
        <f>+K15/K7</f>
        <v>5.9377321267402083E-2</v>
      </c>
      <c r="L27" s="9">
        <f>+L15/L7</f>
        <v>5.351097993361361E-2</v>
      </c>
      <c r="M27" s="9">
        <f>+M15/M7</f>
        <v>5.6193459364531219E-2</v>
      </c>
      <c r="N27" s="9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6"/>
      <c r="AQ27" s="6"/>
      <c r="AR27" s="6"/>
      <c r="AS27" s="6"/>
      <c r="AT27" s="6"/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3"/>
    </row>
    <row r="28" spans="2:58" x14ac:dyDescent="0.2">
      <c r="B28" s="2" t="s">
        <v>34</v>
      </c>
      <c r="C28" s="9" t="e">
        <f t="shared" ref="C28:H28" si="14">+C19/C18</f>
        <v>#DIV/0!</v>
      </c>
      <c r="D28" s="9" t="e">
        <f t="shared" si="14"/>
        <v>#DIV/0!</v>
      </c>
      <c r="E28" s="9">
        <f t="shared" si="14"/>
        <v>0.27418824373617362</v>
      </c>
      <c r="F28" s="9" t="e">
        <f t="shared" si="14"/>
        <v>#DIV/0!</v>
      </c>
      <c r="G28" s="9">
        <f t="shared" si="14"/>
        <v>0.28388620837475675</v>
      </c>
      <c r="H28" s="9" t="e">
        <f t="shared" si="14"/>
        <v>#DIV/0!</v>
      </c>
      <c r="I28" s="9">
        <f>+I19/I18</f>
        <v>0.2324365989598336</v>
      </c>
      <c r="J28" s="9" t="e">
        <f>+J19/J18</f>
        <v>#DIV/0!</v>
      </c>
      <c r="K28" s="9">
        <f>+K19/K18</f>
        <v>0.24112679872358334</v>
      </c>
      <c r="L28" s="9">
        <f>+L19/L18</f>
        <v>0.2602730043039802</v>
      </c>
      <c r="M28" s="9">
        <f>+M19/M18</f>
        <v>0.24126641508340635</v>
      </c>
      <c r="N28" s="9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  <c r="AB28" s="6"/>
      <c r="AC28" s="6"/>
      <c r="AD28" s="6"/>
      <c r="AE28" s="6"/>
      <c r="AF28" s="6"/>
      <c r="AG28" s="6"/>
      <c r="AH28" s="6"/>
      <c r="AI28" s="6"/>
      <c r="AJ28" s="6"/>
      <c r="AK28" s="6"/>
      <c r="AL28" s="6"/>
      <c r="AM28" s="6"/>
      <c r="AN28" s="6"/>
      <c r="AO28" s="6"/>
      <c r="AP28" s="6"/>
      <c r="AQ28" s="6"/>
      <c r="AR28" s="6"/>
      <c r="AS28" s="6"/>
      <c r="AT28" s="6"/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3"/>
    </row>
    <row r="29" spans="2:58" x14ac:dyDescent="0.2"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6"/>
      <c r="AQ29" s="6"/>
      <c r="AR29" s="6"/>
      <c r="AS29" s="6"/>
      <c r="AT29" s="6"/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3"/>
    </row>
    <row r="30" spans="2:58" x14ac:dyDescent="0.2"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  <c r="AD30" s="6"/>
      <c r="AE30" s="6"/>
      <c r="AF30" s="6"/>
      <c r="AG30" s="6"/>
      <c r="AH30" s="6"/>
      <c r="AI30" s="6"/>
      <c r="AJ30" s="6"/>
      <c r="AK30" s="6"/>
      <c r="AL30" s="6"/>
      <c r="AM30" s="6"/>
      <c r="AN30" s="6"/>
      <c r="AO30" s="6"/>
      <c r="AP30" s="6"/>
      <c r="AQ30" s="6"/>
      <c r="AR30" s="6"/>
      <c r="AS30" s="6"/>
      <c r="AT30" s="6"/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3"/>
    </row>
    <row r="31" spans="2:58" x14ac:dyDescent="0.2"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6"/>
      <c r="AQ31" s="6"/>
      <c r="AR31" s="6"/>
      <c r="AS31" s="6"/>
      <c r="AT31" s="6"/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3"/>
    </row>
    <row r="32" spans="2:58" x14ac:dyDescent="0.2"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6"/>
      <c r="AP32" s="6"/>
      <c r="AQ32" s="6"/>
      <c r="AR32" s="6"/>
      <c r="AS32" s="6"/>
      <c r="AT32" s="6"/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3"/>
    </row>
    <row r="33" spans="3:58" x14ac:dyDescent="0.2"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6"/>
      <c r="AP33" s="6"/>
      <c r="AQ33" s="6"/>
      <c r="AR33" s="6"/>
      <c r="AS33" s="6"/>
      <c r="AT33" s="6"/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3"/>
    </row>
    <row r="34" spans="3:58" x14ac:dyDescent="0.2"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6"/>
      <c r="AQ34" s="6"/>
      <c r="AR34" s="6"/>
      <c r="AS34" s="6"/>
      <c r="AT34" s="6"/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3"/>
    </row>
    <row r="35" spans="3:58" x14ac:dyDescent="0.2"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6"/>
      <c r="AP35" s="6"/>
      <c r="AQ35" s="6"/>
      <c r="AR35" s="6"/>
      <c r="AS35" s="6"/>
      <c r="AT35" s="6"/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3"/>
    </row>
    <row r="36" spans="3:58" x14ac:dyDescent="0.2"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6"/>
      <c r="AP36" s="6"/>
      <c r="AQ36" s="6"/>
      <c r="AR36" s="6"/>
      <c r="AS36" s="6"/>
      <c r="AT36" s="6"/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3"/>
    </row>
    <row r="37" spans="3:58" x14ac:dyDescent="0.2"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6"/>
      <c r="AQ37" s="6"/>
      <c r="AR37" s="6"/>
      <c r="AS37" s="6"/>
      <c r="AT37" s="6"/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3"/>
    </row>
    <row r="38" spans="3:58" x14ac:dyDescent="0.2"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6"/>
      <c r="AP38" s="6"/>
      <c r="AQ38" s="6"/>
      <c r="AR38" s="6"/>
      <c r="AS38" s="6"/>
      <c r="AT38" s="6"/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3"/>
    </row>
    <row r="39" spans="3:58" x14ac:dyDescent="0.2"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  <c r="AO39" s="6"/>
      <c r="AP39" s="6"/>
      <c r="AQ39" s="6"/>
      <c r="AR39" s="6"/>
      <c r="AS39" s="6"/>
      <c r="AT39" s="6"/>
      <c r="AU39" s="6"/>
      <c r="AV39" s="6"/>
      <c r="AW39" s="6"/>
      <c r="AX39" s="6"/>
      <c r="AY39" s="6"/>
      <c r="AZ39" s="6"/>
      <c r="BA39" s="6"/>
      <c r="BB39" s="6"/>
      <c r="BC39" s="6"/>
      <c r="BD39" s="6"/>
      <c r="BE39" s="6"/>
      <c r="BF39" s="3"/>
    </row>
    <row r="40" spans="3:58" x14ac:dyDescent="0.2"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6"/>
      <c r="AO40" s="6"/>
      <c r="AP40" s="6"/>
      <c r="AQ40" s="6"/>
      <c r="AR40" s="6"/>
      <c r="AS40" s="6"/>
      <c r="AT40" s="6"/>
      <c r="AU40" s="6"/>
      <c r="AV40" s="6"/>
      <c r="AW40" s="6"/>
      <c r="AX40" s="6"/>
      <c r="AY40" s="6"/>
      <c r="AZ40" s="6"/>
      <c r="BA40" s="6"/>
      <c r="BB40" s="6"/>
      <c r="BC40" s="6"/>
      <c r="BD40" s="6"/>
      <c r="BE40" s="6"/>
      <c r="BF40" s="3"/>
    </row>
    <row r="41" spans="3:58" x14ac:dyDescent="0.2"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6"/>
      <c r="AP41" s="6"/>
      <c r="AQ41" s="6"/>
      <c r="AR41" s="6"/>
      <c r="AS41" s="6"/>
      <c r="AT41" s="6"/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3"/>
    </row>
    <row r="42" spans="3:58" x14ac:dyDescent="0.2"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6"/>
      <c r="AQ42" s="6"/>
      <c r="AR42" s="6"/>
      <c r="AS42" s="6"/>
      <c r="AT42" s="6"/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3"/>
    </row>
    <row r="43" spans="3:58" x14ac:dyDescent="0.2"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6"/>
      <c r="AQ43" s="6"/>
      <c r="AR43" s="6"/>
      <c r="AS43" s="6"/>
      <c r="AT43" s="6"/>
      <c r="AU43" s="6"/>
      <c r="AV43" s="6"/>
      <c r="AW43" s="6"/>
      <c r="AX43" s="6"/>
      <c r="AY43" s="6"/>
      <c r="AZ43" s="6"/>
      <c r="BA43" s="6"/>
      <c r="BB43" s="6"/>
      <c r="BC43" s="6"/>
      <c r="BD43" s="6"/>
      <c r="BE43" s="6"/>
      <c r="BF43" s="3"/>
    </row>
    <row r="44" spans="3:58" x14ac:dyDescent="0.2"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  <c r="AP44" s="6"/>
      <c r="AQ44" s="6"/>
      <c r="AR44" s="6"/>
      <c r="AS44" s="6"/>
      <c r="AT44" s="6"/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3"/>
    </row>
    <row r="45" spans="3:58" x14ac:dyDescent="0.2"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6"/>
      <c r="AQ45" s="6"/>
      <c r="AR45" s="6"/>
      <c r="AS45" s="6"/>
      <c r="AT45" s="6"/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3"/>
    </row>
    <row r="46" spans="3:58" x14ac:dyDescent="0.2"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6"/>
      <c r="AR46" s="6"/>
      <c r="AS46" s="6"/>
      <c r="AT46" s="6"/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3"/>
    </row>
    <row r="47" spans="3:58" x14ac:dyDescent="0.2"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6"/>
      <c r="AR47" s="6"/>
      <c r="AS47" s="6"/>
      <c r="AT47" s="6"/>
      <c r="AU47" s="6"/>
      <c r="AV47" s="6"/>
      <c r="AW47" s="6"/>
      <c r="AX47" s="6"/>
      <c r="AY47" s="6"/>
      <c r="AZ47" s="6"/>
      <c r="BA47" s="6"/>
      <c r="BB47" s="6"/>
      <c r="BC47" s="6"/>
      <c r="BD47" s="6"/>
      <c r="BE47" s="6"/>
      <c r="BF47" s="3"/>
    </row>
    <row r="48" spans="3:58" x14ac:dyDescent="0.2"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6"/>
      <c r="AP48" s="6"/>
      <c r="AQ48" s="6"/>
      <c r="AR48" s="6"/>
      <c r="AS48" s="6"/>
      <c r="AT48" s="6"/>
      <c r="AU48" s="6"/>
      <c r="AV48" s="6"/>
      <c r="AW48" s="6"/>
      <c r="AX48" s="6"/>
      <c r="AY48" s="6"/>
      <c r="AZ48" s="6"/>
      <c r="BA48" s="6"/>
      <c r="BB48" s="6"/>
      <c r="BC48" s="6"/>
      <c r="BD48" s="6"/>
      <c r="BE48" s="6"/>
      <c r="BF48" s="3"/>
    </row>
    <row r="49" spans="3:58" x14ac:dyDescent="0.2"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6"/>
      <c r="AQ49" s="6"/>
      <c r="AR49" s="6"/>
      <c r="AS49" s="6"/>
      <c r="AT49" s="6"/>
      <c r="AU49" s="6"/>
      <c r="AV49" s="6"/>
      <c r="AW49" s="6"/>
      <c r="AX49" s="6"/>
      <c r="AY49" s="6"/>
      <c r="AZ49" s="6"/>
      <c r="BA49" s="6"/>
      <c r="BB49" s="6"/>
      <c r="BC49" s="6"/>
      <c r="BD49" s="6"/>
      <c r="BE49" s="6"/>
      <c r="BF49" s="3"/>
    </row>
    <row r="50" spans="3:58" x14ac:dyDescent="0.2"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6"/>
      <c r="AQ50" s="6"/>
      <c r="AR50" s="6"/>
      <c r="AS50" s="6"/>
      <c r="AT50" s="6"/>
      <c r="AU50" s="6"/>
      <c r="AV50" s="6"/>
      <c r="AW50" s="6"/>
      <c r="AX50" s="6"/>
      <c r="AY50" s="6"/>
      <c r="AZ50" s="6"/>
      <c r="BA50" s="6"/>
      <c r="BB50" s="6"/>
      <c r="BC50" s="6"/>
      <c r="BD50" s="6"/>
      <c r="BE50" s="6"/>
      <c r="BF50" s="3"/>
    </row>
    <row r="51" spans="3:58" x14ac:dyDescent="0.2"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6"/>
      <c r="AP51" s="6"/>
      <c r="AQ51" s="6"/>
      <c r="AR51" s="6"/>
      <c r="AS51" s="6"/>
      <c r="AT51" s="6"/>
      <c r="AU51" s="6"/>
      <c r="AV51" s="6"/>
      <c r="AW51" s="6"/>
      <c r="AX51" s="6"/>
      <c r="AY51" s="6"/>
      <c r="AZ51" s="6"/>
      <c r="BA51" s="6"/>
      <c r="BB51" s="6"/>
      <c r="BC51" s="6"/>
      <c r="BD51" s="6"/>
      <c r="BE51" s="6"/>
      <c r="BF51" s="3"/>
    </row>
    <row r="52" spans="3:58" x14ac:dyDescent="0.2"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6"/>
      <c r="AQ52" s="6"/>
      <c r="AR52" s="6"/>
      <c r="AS52" s="6"/>
      <c r="AT52" s="6"/>
      <c r="AU52" s="6"/>
      <c r="AV52" s="6"/>
      <c r="AW52" s="6"/>
      <c r="AX52" s="6"/>
      <c r="AY52" s="6"/>
      <c r="AZ52" s="6"/>
      <c r="BA52" s="6"/>
      <c r="BB52" s="6"/>
      <c r="BC52" s="6"/>
      <c r="BD52" s="6"/>
      <c r="BE52" s="6"/>
      <c r="BF52" s="3"/>
    </row>
    <row r="53" spans="3:58" x14ac:dyDescent="0.2"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/>
      <c r="AP53" s="6"/>
      <c r="AQ53" s="6"/>
      <c r="AR53" s="6"/>
      <c r="AS53" s="6"/>
      <c r="AT53" s="6"/>
      <c r="AU53" s="6"/>
      <c r="AV53" s="6"/>
      <c r="AW53" s="6"/>
      <c r="AX53" s="6"/>
      <c r="AY53" s="6"/>
      <c r="AZ53" s="6"/>
      <c r="BA53" s="6"/>
      <c r="BB53" s="6"/>
      <c r="BC53" s="6"/>
      <c r="BD53" s="6"/>
      <c r="BE53" s="6"/>
      <c r="BF53" s="3"/>
    </row>
    <row r="54" spans="3:58" x14ac:dyDescent="0.2"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6"/>
      <c r="AP54" s="6"/>
      <c r="AQ54" s="6"/>
      <c r="AR54" s="6"/>
      <c r="AS54" s="6"/>
      <c r="AT54" s="6"/>
      <c r="AU54" s="6"/>
      <c r="AV54" s="6"/>
      <c r="AW54" s="6"/>
      <c r="AX54" s="6"/>
      <c r="AY54" s="6"/>
      <c r="AZ54" s="6"/>
      <c r="BA54" s="6"/>
      <c r="BB54" s="6"/>
      <c r="BC54" s="6"/>
      <c r="BD54" s="6"/>
      <c r="BE54" s="6"/>
      <c r="BF54" s="3"/>
    </row>
    <row r="55" spans="3:58" x14ac:dyDescent="0.2"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6"/>
      <c r="AP55" s="6"/>
      <c r="AQ55" s="6"/>
      <c r="AR55" s="6"/>
      <c r="AS55" s="6"/>
      <c r="AT55" s="6"/>
      <c r="AU55" s="6"/>
      <c r="AV55" s="6"/>
      <c r="AW55" s="6"/>
      <c r="AX55" s="6"/>
      <c r="AY55" s="6"/>
      <c r="AZ55" s="6"/>
      <c r="BA55" s="6"/>
      <c r="BB55" s="6"/>
      <c r="BC55" s="6"/>
      <c r="BD55" s="6"/>
      <c r="BE55" s="6"/>
      <c r="BF55" s="3"/>
    </row>
    <row r="56" spans="3:58" x14ac:dyDescent="0.2"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/>
      <c r="AP56" s="6"/>
      <c r="AQ56" s="6"/>
      <c r="AR56" s="6"/>
      <c r="AS56" s="6"/>
      <c r="AT56" s="6"/>
      <c r="AU56" s="6"/>
      <c r="AV56" s="6"/>
      <c r="AW56" s="6"/>
      <c r="AX56" s="6"/>
      <c r="AY56" s="6"/>
      <c r="AZ56" s="6"/>
      <c r="BA56" s="6"/>
      <c r="BB56" s="6"/>
      <c r="BC56" s="6"/>
      <c r="BD56" s="6"/>
      <c r="BE56" s="6"/>
      <c r="BF56" s="3"/>
    </row>
    <row r="57" spans="3:58" x14ac:dyDescent="0.2"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6"/>
      <c r="AP57" s="6"/>
      <c r="AQ57" s="6"/>
      <c r="AR57" s="6"/>
      <c r="AS57" s="6"/>
      <c r="AT57" s="6"/>
      <c r="AU57" s="6"/>
      <c r="AV57" s="6"/>
      <c r="AW57" s="6"/>
      <c r="AX57" s="6"/>
      <c r="AY57" s="6"/>
      <c r="AZ57" s="6"/>
      <c r="BA57" s="6"/>
      <c r="BB57" s="6"/>
      <c r="BC57" s="6"/>
      <c r="BD57" s="6"/>
      <c r="BE57" s="6"/>
      <c r="BF57" s="3"/>
    </row>
    <row r="58" spans="3:58" x14ac:dyDescent="0.2"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6"/>
      <c r="AP58" s="6"/>
      <c r="AQ58" s="6"/>
      <c r="AR58" s="6"/>
      <c r="AS58" s="6"/>
      <c r="AT58" s="6"/>
      <c r="AU58" s="6"/>
      <c r="AV58" s="6"/>
      <c r="AW58" s="6"/>
      <c r="AX58" s="6"/>
      <c r="AY58" s="6"/>
      <c r="AZ58" s="6"/>
      <c r="BA58" s="6"/>
      <c r="BB58" s="6"/>
      <c r="BC58" s="6"/>
      <c r="BD58" s="6"/>
      <c r="BE58" s="6"/>
      <c r="BF58" s="3"/>
    </row>
    <row r="59" spans="3:58" x14ac:dyDescent="0.2"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6"/>
      <c r="AP59" s="6"/>
      <c r="AQ59" s="6"/>
      <c r="AR59" s="6"/>
      <c r="AS59" s="6"/>
      <c r="AT59" s="6"/>
      <c r="AU59" s="6"/>
      <c r="AV59" s="6"/>
      <c r="AW59" s="6"/>
      <c r="AX59" s="6"/>
      <c r="AY59" s="6"/>
      <c r="AZ59" s="6"/>
      <c r="BA59" s="6"/>
      <c r="BB59" s="6"/>
      <c r="BC59" s="6"/>
      <c r="BD59" s="6"/>
      <c r="BE59" s="6"/>
      <c r="BF59" s="3"/>
    </row>
    <row r="60" spans="3:58" x14ac:dyDescent="0.2"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  <c r="AB60" s="6"/>
      <c r="AC60" s="6"/>
      <c r="AD60" s="6"/>
      <c r="AE60" s="6"/>
      <c r="AF60" s="6"/>
      <c r="AG60" s="6"/>
      <c r="AH60" s="6"/>
      <c r="AI60" s="6"/>
      <c r="AJ60" s="6"/>
      <c r="AK60" s="6"/>
      <c r="AL60" s="6"/>
      <c r="AM60" s="6"/>
      <c r="AN60" s="6"/>
      <c r="AO60" s="6"/>
      <c r="AP60" s="6"/>
      <c r="AQ60" s="6"/>
      <c r="AR60" s="6"/>
      <c r="AS60" s="6"/>
      <c r="AT60" s="6"/>
      <c r="AU60" s="6"/>
      <c r="AV60" s="6"/>
      <c r="AW60" s="6"/>
      <c r="AX60" s="6"/>
      <c r="AY60" s="6"/>
      <c r="AZ60" s="6"/>
      <c r="BA60" s="6"/>
      <c r="BB60" s="6"/>
      <c r="BC60" s="6"/>
      <c r="BD60" s="6"/>
      <c r="BE60" s="6"/>
      <c r="BF60" s="3"/>
    </row>
    <row r="61" spans="3:58" x14ac:dyDescent="0.2"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  <c r="AC61" s="6"/>
      <c r="AD61" s="6"/>
      <c r="AE61" s="6"/>
      <c r="AF61" s="6"/>
      <c r="AG61" s="6"/>
      <c r="AH61" s="6"/>
      <c r="AI61" s="6"/>
      <c r="AJ61" s="6"/>
      <c r="AK61" s="6"/>
      <c r="AL61" s="6"/>
      <c r="AM61" s="6"/>
      <c r="AN61" s="6"/>
      <c r="AO61" s="6"/>
      <c r="AP61" s="6"/>
      <c r="AQ61" s="6"/>
      <c r="AR61" s="6"/>
      <c r="AS61" s="6"/>
      <c r="AT61" s="6"/>
      <c r="AU61" s="6"/>
      <c r="AV61" s="6"/>
      <c r="AW61" s="6"/>
      <c r="AX61" s="6"/>
      <c r="AY61" s="6"/>
      <c r="AZ61" s="6"/>
      <c r="BA61" s="6"/>
      <c r="BB61" s="6"/>
      <c r="BC61" s="6"/>
      <c r="BD61" s="6"/>
      <c r="BE61" s="6"/>
      <c r="BF61" s="3"/>
    </row>
    <row r="62" spans="3:58" x14ac:dyDescent="0.2"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  <c r="AB62" s="6"/>
      <c r="AC62" s="6"/>
      <c r="AD62" s="6"/>
      <c r="AE62" s="6"/>
      <c r="AF62" s="6"/>
      <c r="AG62" s="6"/>
      <c r="AH62" s="6"/>
      <c r="AI62" s="6"/>
      <c r="AJ62" s="6"/>
      <c r="AK62" s="6"/>
      <c r="AL62" s="6"/>
      <c r="AM62" s="6"/>
      <c r="AN62" s="6"/>
      <c r="AO62" s="6"/>
      <c r="AP62" s="6"/>
      <c r="AQ62" s="6"/>
      <c r="AR62" s="6"/>
      <c r="AS62" s="6"/>
      <c r="AT62" s="6"/>
      <c r="AU62" s="6"/>
      <c r="AV62" s="6"/>
      <c r="AW62" s="6"/>
      <c r="AX62" s="6"/>
      <c r="AY62" s="6"/>
      <c r="AZ62" s="6"/>
      <c r="BA62" s="6"/>
      <c r="BB62" s="6"/>
      <c r="BC62" s="6"/>
      <c r="BD62" s="6"/>
      <c r="BE62" s="6"/>
      <c r="BF62" s="3"/>
    </row>
    <row r="63" spans="3:58" x14ac:dyDescent="0.2"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  <c r="AD63" s="6"/>
      <c r="AE63" s="6"/>
      <c r="AF63" s="6"/>
      <c r="AG63" s="6"/>
      <c r="AH63" s="6"/>
      <c r="AI63" s="6"/>
      <c r="AJ63" s="6"/>
      <c r="AK63" s="6"/>
      <c r="AL63" s="6"/>
      <c r="AM63" s="6"/>
      <c r="AN63" s="6"/>
      <c r="AO63" s="6"/>
      <c r="AP63" s="6"/>
      <c r="AQ63" s="6"/>
      <c r="AR63" s="6"/>
      <c r="AS63" s="6"/>
      <c r="AT63" s="6"/>
      <c r="AU63" s="6"/>
      <c r="AV63" s="6"/>
      <c r="AW63" s="6"/>
      <c r="AX63" s="6"/>
      <c r="AY63" s="6"/>
      <c r="AZ63" s="6"/>
      <c r="BA63" s="6"/>
      <c r="BB63" s="6"/>
      <c r="BC63" s="6"/>
      <c r="BD63" s="6"/>
      <c r="BE63" s="6"/>
      <c r="BF63" s="3"/>
    </row>
    <row r="64" spans="3:58" x14ac:dyDescent="0.2"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  <c r="AB64" s="6"/>
      <c r="AC64" s="6"/>
      <c r="AD64" s="6"/>
      <c r="AE64" s="6"/>
      <c r="AF64" s="6"/>
      <c r="AG64" s="6"/>
      <c r="AH64" s="6"/>
      <c r="AI64" s="6"/>
      <c r="AJ64" s="6"/>
      <c r="AK64" s="6"/>
      <c r="AL64" s="6"/>
      <c r="AM64" s="6"/>
      <c r="AN64" s="6"/>
      <c r="AO64" s="6"/>
      <c r="AP64" s="6"/>
      <c r="AQ64" s="6"/>
      <c r="AR64" s="6"/>
      <c r="AS64" s="6"/>
      <c r="AT64" s="6"/>
      <c r="AU64" s="6"/>
      <c r="AV64" s="6"/>
      <c r="AW64" s="6"/>
      <c r="AX64" s="6"/>
      <c r="AY64" s="6"/>
      <c r="AZ64" s="6"/>
      <c r="BA64" s="6"/>
      <c r="BB64" s="6"/>
      <c r="BC64" s="6"/>
      <c r="BD64" s="6"/>
      <c r="BE64" s="6"/>
      <c r="BF64" s="3"/>
    </row>
    <row r="65" spans="3:58" x14ac:dyDescent="0.2"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  <c r="AD65" s="6"/>
      <c r="AE65" s="6"/>
      <c r="AF65" s="6"/>
      <c r="AG65" s="6"/>
      <c r="AH65" s="6"/>
      <c r="AI65" s="6"/>
      <c r="AJ65" s="6"/>
      <c r="AK65" s="6"/>
      <c r="AL65" s="6"/>
      <c r="AM65" s="6"/>
      <c r="AN65" s="6"/>
      <c r="AO65" s="6"/>
      <c r="AP65" s="6"/>
      <c r="AQ65" s="6"/>
      <c r="AR65" s="6"/>
      <c r="AS65" s="6"/>
      <c r="AT65" s="6"/>
      <c r="AU65" s="6"/>
      <c r="AV65" s="6"/>
      <c r="AW65" s="6"/>
      <c r="AX65" s="6"/>
      <c r="AY65" s="6"/>
      <c r="AZ65" s="6"/>
      <c r="BA65" s="6"/>
      <c r="BB65" s="6"/>
      <c r="BC65" s="6"/>
      <c r="BD65" s="6"/>
      <c r="BE65" s="6"/>
      <c r="BF65" s="3"/>
    </row>
    <row r="66" spans="3:58" x14ac:dyDescent="0.2"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  <c r="AB66" s="6"/>
      <c r="AC66" s="6"/>
      <c r="AD66" s="6"/>
      <c r="AE66" s="6"/>
      <c r="AF66" s="6"/>
      <c r="AG66" s="6"/>
      <c r="AH66" s="6"/>
      <c r="AI66" s="6"/>
      <c r="AJ66" s="6"/>
      <c r="AK66" s="6"/>
      <c r="AL66" s="6"/>
      <c r="AM66" s="6"/>
      <c r="AN66" s="6"/>
      <c r="AO66" s="6"/>
      <c r="AP66" s="6"/>
      <c r="AQ66" s="6"/>
      <c r="AR66" s="6"/>
      <c r="AS66" s="6"/>
      <c r="AT66" s="6"/>
      <c r="AU66" s="6"/>
      <c r="AV66" s="6"/>
      <c r="AW66" s="6"/>
      <c r="AX66" s="6"/>
      <c r="AY66" s="6"/>
      <c r="AZ66" s="6"/>
      <c r="BA66" s="6"/>
      <c r="BB66" s="6"/>
      <c r="BC66" s="6"/>
      <c r="BD66" s="6"/>
      <c r="BE66" s="6"/>
      <c r="BF66" s="3"/>
    </row>
    <row r="67" spans="3:58" x14ac:dyDescent="0.2"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6"/>
      <c r="AJ67" s="6"/>
      <c r="AK67" s="6"/>
      <c r="AL67" s="6"/>
      <c r="AM67" s="6"/>
      <c r="AN67" s="6"/>
      <c r="AO67" s="6"/>
      <c r="AP67" s="6"/>
      <c r="AQ67" s="6"/>
      <c r="AR67" s="6"/>
      <c r="AS67" s="6"/>
      <c r="AT67" s="6"/>
      <c r="AU67" s="6"/>
      <c r="AV67" s="6"/>
      <c r="AW67" s="6"/>
      <c r="AX67" s="6"/>
      <c r="AY67" s="6"/>
      <c r="AZ67" s="6"/>
      <c r="BA67" s="6"/>
      <c r="BB67" s="6"/>
      <c r="BC67" s="6"/>
      <c r="BD67" s="6"/>
      <c r="BE67" s="6"/>
      <c r="BF67" s="3"/>
    </row>
    <row r="68" spans="3:58" x14ac:dyDescent="0.2"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6"/>
      <c r="AJ68" s="6"/>
      <c r="AK68" s="6"/>
      <c r="AL68" s="6"/>
      <c r="AM68" s="6"/>
      <c r="AN68" s="6"/>
      <c r="AO68" s="6"/>
      <c r="AP68" s="6"/>
      <c r="AQ68" s="6"/>
      <c r="AR68" s="6"/>
      <c r="AS68" s="6"/>
      <c r="AT68" s="6"/>
      <c r="AU68" s="6"/>
      <c r="AV68" s="6"/>
      <c r="AW68" s="6"/>
      <c r="AX68" s="6"/>
      <c r="AY68" s="6"/>
      <c r="AZ68" s="6"/>
      <c r="BA68" s="6"/>
      <c r="BB68" s="6"/>
      <c r="BC68" s="6"/>
      <c r="BD68" s="6"/>
      <c r="BE68" s="6"/>
      <c r="BF68" s="3"/>
    </row>
    <row r="69" spans="3:58" x14ac:dyDescent="0.2"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  <c r="AD69" s="6"/>
      <c r="AE69" s="6"/>
      <c r="AF69" s="6"/>
      <c r="AG69" s="6"/>
      <c r="AH69" s="6"/>
      <c r="AI69" s="6"/>
      <c r="AJ69" s="6"/>
      <c r="AK69" s="6"/>
      <c r="AL69" s="6"/>
      <c r="AM69" s="6"/>
      <c r="AN69" s="6"/>
      <c r="AO69" s="6"/>
      <c r="AP69" s="6"/>
      <c r="AQ69" s="6"/>
      <c r="AR69" s="6"/>
      <c r="AS69" s="6"/>
      <c r="AT69" s="6"/>
      <c r="AU69" s="6"/>
      <c r="AV69" s="6"/>
      <c r="AW69" s="6"/>
      <c r="AX69" s="6"/>
      <c r="AY69" s="6"/>
      <c r="AZ69" s="6"/>
      <c r="BA69" s="6"/>
      <c r="BB69" s="6"/>
      <c r="BC69" s="6"/>
      <c r="BD69" s="6"/>
      <c r="BE69" s="6"/>
      <c r="BF69" s="3"/>
    </row>
    <row r="70" spans="3:58" x14ac:dyDescent="0.2"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  <c r="AA70" s="6"/>
      <c r="AB70" s="6"/>
      <c r="AC70" s="6"/>
      <c r="AD70" s="6"/>
      <c r="AE70" s="6"/>
      <c r="AF70" s="6"/>
      <c r="AG70" s="6"/>
      <c r="AH70" s="6"/>
      <c r="AI70" s="6"/>
      <c r="AJ70" s="6"/>
      <c r="AK70" s="6"/>
      <c r="AL70" s="6"/>
      <c r="AM70" s="6"/>
      <c r="AN70" s="6"/>
      <c r="AO70" s="6"/>
      <c r="AP70" s="6"/>
      <c r="AQ70" s="6"/>
      <c r="AR70" s="6"/>
      <c r="AS70" s="6"/>
      <c r="AT70" s="6"/>
      <c r="AU70" s="6"/>
      <c r="AV70" s="6"/>
      <c r="AW70" s="6"/>
      <c r="AX70" s="6"/>
      <c r="AY70" s="6"/>
      <c r="AZ70" s="6"/>
      <c r="BA70" s="6"/>
      <c r="BB70" s="6"/>
      <c r="BC70" s="6"/>
      <c r="BD70" s="6"/>
      <c r="BE70" s="6"/>
      <c r="BF70" s="3"/>
    </row>
    <row r="71" spans="3:58" x14ac:dyDescent="0.2"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  <c r="AL71" s="6"/>
      <c r="AM71" s="6"/>
      <c r="AN71" s="6"/>
      <c r="AO71" s="6"/>
      <c r="AP71" s="6"/>
      <c r="AQ71" s="6"/>
      <c r="AR71" s="6"/>
      <c r="AS71" s="6"/>
      <c r="AT71" s="6"/>
      <c r="AU71" s="6"/>
      <c r="AV71" s="6"/>
      <c r="AW71" s="6"/>
      <c r="AX71" s="6"/>
      <c r="AY71" s="6"/>
      <c r="AZ71" s="6"/>
      <c r="BA71" s="6"/>
      <c r="BB71" s="6"/>
      <c r="BC71" s="6"/>
      <c r="BD71" s="6"/>
      <c r="BE71" s="6"/>
      <c r="BF71" s="3"/>
    </row>
    <row r="72" spans="3:58" x14ac:dyDescent="0.2"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  <c r="AO72" s="6"/>
      <c r="AP72" s="6"/>
      <c r="AQ72" s="6"/>
      <c r="AR72" s="6"/>
      <c r="AS72" s="6"/>
      <c r="AT72" s="6"/>
      <c r="AU72" s="6"/>
      <c r="AV72" s="6"/>
      <c r="AW72" s="6"/>
      <c r="AX72" s="6"/>
      <c r="AY72" s="6"/>
      <c r="AZ72" s="6"/>
      <c r="BA72" s="6"/>
      <c r="BB72" s="6"/>
      <c r="BC72" s="6"/>
      <c r="BD72" s="6"/>
      <c r="BE72" s="6"/>
      <c r="BF72" s="3"/>
    </row>
    <row r="73" spans="3:58" x14ac:dyDescent="0.2"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  <c r="AO73" s="6"/>
      <c r="AP73" s="6"/>
      <c r="AQ73" s="6"/>
      <c r="AR73" s="6"/>
      <c r="AS73" s="6"/>
      <c r="AT73" s="6"/>
      <c r="AU73" s="6"/>
      <c r="AV73" s="6"/>
      <c r="AW73" s="6"/>
      <c r="AX73" s="6"/>
      <c r="AY73" s="6"/>
      <c r="AZ73" s="6"/>
      <c r="BA73" s="6"/>
      <c r="BB73" s="6"/>
      <c r="BC73" s="6"/>
      <c r="BD73" s="6"/>
      <c r="BE73" s="6"/>
      <c r="BF73" s="3"/>
    </row>
    <row r="74" spans="3:58" x14ac:dyDescent="0.2"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  <c r="AO74" s="6"/>
      <c r="AP74" s="6"/>
      <c r="AQ74" s="6"/>
      <c r="AR74" s="6"/>
      <c r="AS74" s="6"/>
      <c r="AT74" s="6"/>
      <c r="AU74" s="6"/>
      <c r="AV74" s="6"/>
      <c r="AW74" s="6"/>
      <c r="AX74" s="6"/>
      <c r="AY74" s="6"/>
      <c r="AZ74" s="6"/>
      <c r="BA74" s="6"/>
      <c r="BB74" s="6"/>
      <c r="BC74" s="6"/>
      <c r="BD74" s="6"/>
      <c r="BE74" s="6"/>
      <c r="BF74" s="3"/>
    </row>
    <row r="75" spans="3:58" x14ac:dyDescent="0.2"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  <c r="AP75" s="6"/>
      <c r="AQ75" s="6"/>
      <c r="AR75" s="6"/>
      <c r="AS75" s="6"/>
      <c r="AT75" s="6"/>
      <c r="AU75" s="6"/>
      <c r="AV75" s="6"/>
      <c r="AW75" s="6"/>
      <c r="AX75" s="6"/>
      <c r="AY75" s="6"/>
      <c r="AZ75" s="6"/>
      <c r="BA75" s="6"/>
      <c r="BB75" s="6"/>
      <c r="BC75" s="6"/>
      <c r="BD75" s="6"/>
      <c r="BE75" s="6"/>
      <c r="BF75" s="3"/>
    </row>
    <row r="76" spans="3:58" x14ac:dyDescent="0.2"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  <c r="AL76" s="6"/>
      <c r="AM76" s="6"/>
      <c r="AN76" s="6"/>
      <c r="AO76" s="6"/>
      <c r="AP76" s="6"/>
      <c r="AQ76" s="6"/>
      <c r="AR76" s="6"/>
      <c r="AS76" s="6"/>
      <c r="AT76" s="6"/>
      <c r="AU76" s="6"/>
      <c r="AV76" s="6"/>
      <c r="AW76" s="6"/>
      <c r="AX76" s="6"/>
      <c r="AY76" s="6"/>
      <c r="AZ76" s="6"/>
      <c r="BA76" s="6"/>
      <c r="BB76" s="6"/>
      <c r="BC76" s="6"/>
      <c r="BD76" s="6"/>
      <c r="BE76" s="6"/>
      <c r="BF76" s="3"/>
    </row>
    <row r="77" spans="3:58" x14ac:dyDescent="0.2"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  <c r="AL77" s="6"/>
      <c r="AM77" s="6"/>
      <c r="AN77" s="6"/>
      <c r="AO77" s="6"/>
      <c r="AP77" s="6"/>
      <c r="AQ77" s="6"/>
      <c r="AR77" s="6"/>
      <c r="AS77" s="6"/>
      <c r="AT77" s="6"/>
      <c r="AU77" s="6"/>
      <c r="AV77" s="6"/>
      <c r="AW77" s="6"/>
      <c r="AX77" s="6"/>
      <c r="AY77" s="6"/>
      <c r="AZ77" s="6"/>
      <c r="BA77" s="6"/>
      <c r="BB77" s="6"/>
      <c r="BC77" s="6"/>
      <c r="BD77" s="6"/>
      <c r="BE77" s="6"/>
      <c r="BF77" s="3"/>
    </row>
    <row r="78" spans="3:58" x14ac:dyDescent="0.2"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  <c r="AA78" s="6"/>
      <c r="AB78" s="6"/>
      <c r="AC78" s="6"/>
      <c r="AD78" s="6"/>
      <c r="AE78" s="6"/>
      <c r="AF78" s="6"/>
      <c r="AG78" s="6"/>
      <c r="AH78" s="6"/>
      <c r="AI78" s="6"/>
      <c r="AJ78" s="6"/>
      <c r="AK78" s="6"/>
      <c r="AL78" s="6"/>
      <c r="AM78" s="6"/>
      <c r="AN78" s="6"/>
      <c r="AO78" s="6"/>
      <c r="AP78" s="6"/>
      <c r="AQ78" s="6"/>
      <c r="AR78" s="6"/>
      <c r="AS78" s="6"/>
      <c r="AT78" s="6"/>
      <c r="AU78" s="6"/>
      <c r="AV78" s="6"/>
      <c r="AW78" s="6"/>
      <c r="AX78" s="6"/>
      <c r="AY78" s="6"/>
      <c r="AZ78" s="6"/>
      <c r="BA78" s="6"/>
      <c r="BB78" s="6"/>
      <c r="BC78" s="6"/>
      <c r="BD78" s="6"/>
      <c r="BE78" s="6"/>
      <c r="BF78" s="3"/>
    </row>
    <row r="79" spans="3:58" x14ac:dyDescent="0.2"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  <c r="AL79" s="6"/>
      <c r="AM79" s="6"/>
      <c r="AN79" s="6"/>
      <c r="AO79" s="6"/>
      <c r="AP79" s="6"/>
      <c r="AQ79" s="6"/>
      <c r="AR79" s="6"/>
      <c r="AS79" s="6"/>
      <c r="AT79" s="6"/>
      <c r="AU79" s="6"/>
      <c r="AV79" s="6"/>
      <c r="AW79" s="6"/>
      <c r="AX79" s="6"/>
      <c r="AY79" s="6"/>
      <c r="AZ79" s="6"/>
      <c r="BA79" s="6"/>
      <c r="BB79" s="6"/>
      <c r="BC79" s="6"/>
      <c r="BD79" s="6"/>
      <c r="BE79" s="6"/>
      <c r="BF79" s="3"/>
    </row>
    <row r="80" spans="3:58" x14ac:dyDescent="0.2"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  <c r="AO80" s="6"/>
      <c r="AP80" s="6"/>
      <c r="AQ80" s="6"/>
      <c r="AR80" s="6"/>
      <c r="AS80" s="6"/>
      <c r="AT80" s="6"/>
      <c r="AU80" s="6"/>
      <c r="AV80" s="6"/>
      <c r="AW80" s="6"/>
      <c r="AX80" s="6"/>
      <c r="AY80" s="6"/>
      <c r="AZ80" s="6"/>
      <c r="BA80" s="6"/>
      <c r="BB80" s="6"/>
      <c r="BC80" s="6"/>
      <c r="BD80" s="6"/>
      <c r="BE80" s="6"/>
      <c r="BF80" s="3"/>
    </row>
    <row r="81" spans="3:58" x14ac:dyDescent="0.2"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  <c r="AL81" s="6"/>
      <c r="AM81" s="6"/>
      <c r="AN81" s="6"/>
      <c r="AO81" s="6"/>
      <c r="AP81" s="6"/>
      <c r="AQ81" s="6"/>
      <c r="AR81" s="6"/>
      <c r="AS81" s="6"/>
      <c r="AT81" s="6"/>
      <c r="AU81" s="6"/>
      <c r="AV81" s="6"/>
      <c r="AW81" s="6"/>
      <c r="AX81" s="6"/>
      <c r="AY81" s="6"/>
      <c r="AZ81" s="6"/>
      <c r="BA81" s="6"/>
      <c r="BB81" s="6"/>
      <c r="BC81" s="6"/>
      <c r="BD81" s="6"/>
      <c r="BE81" s="6"/>
      <c r="BF81" s="3"/>
    </row>
    <row r="82" spans="3:58" x14ac:dyDescent="0.2"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  <c r="AN82" s="6"/>
      <c r="AO82" s="6"/>
      <c r="AP82" s="6"/>
      <c r="AQ82" s="6"/>
      <c r="AR82" s="6"/>
      <c r="AS82" s="6"/>
      <c r="AT82" s="6"/>
      <c r="AU82" s="6"/>
      <c r="AV82" s="6"/>
      <c r="AW82" s="6"/>
      <c r="AX82" s="6"/>
      <c r="AY82" s="6"/>
      <c r="AZ82" s="6"/>
      <c r="BA82" s="6"/>
      <c r="BB82" s="6"/>
      <c r="BC82" s="6"/>
      <c r="BD82" s="6"/>
      <c r="BE82" s="6"/>
      <c r="BF82" s="3"/>
    </row>
    <row r="83" spans="3:58" x14ac:dyDescent="0.2"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6"/>
      <c r="AM83" s="6"/>
      <c r="AN83" s="6"/>
      <c r="AO83" s="6"/>
      <c r="AP83" s="6"/>
      <c r="AQ83" s="6"/>
      <c r="AR83" s="6"/>
      <c r="AS83" s="6"/>
      <c r="AT83" s="6"/>
      <c r="AU83" s="6"/>
      <c r="AV83" s="6"/>
      <c r="AW83" s="6"/>
      <c r="AX83" s="6"/>
      <c r="AY83" s="6"/>
      <c r="AZ83" s="6"/>
      <c r="BA83" s="6"/>
      <c r="BB83" s="6"/>
      <c r="BC83" s="6"/>
      <c r="BD83" s="6"/>
      <c r="BE83" s="6"/>
      <c r="BF83" s="3"/>
    </row>
    <row r="84" spans="3:58" x14ac:dyDescent="0.2"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6"/>
      <c r="AJ84" s="6"/>
      <c r="AK84" s="6"/>
      <c r="AL84" s="6"/>
      <c r="AM84" s="6"/>
      <c r="AN84" s="6"/>
      <c r="AO84" s="6"/>
      <c r="AP84" s="6"/>
      <c r="AQ84" s="6"/>
      <c r="AR84" s="6"/>
      <c r="AS84" s="6"/>
      <c r="AT84" s="6"/>
      <c r="AU84" s="6"/>
      <c r="AV84" s="6"/>
      <c r="AW84" s="6"/>
      <c r="AX84" s="6"/>
      <c r="AY84" s="6"/>
      <c r="AZ84" s="6"/>
      <c r="BA84" s="6"/>
      <c r="BB84" s="6"/>
      <c r="BC84" s="6"/>
      <c r="BD84" s="6"/>
      <c r="BE84" s="6"/>
      <c r="BF84" s="3"/>
    </row>
    <row r="85" spans="3:58" x14ac:dyDescent="0.2"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  <c r="AA85" s="6"/>
      <c r="AB85" s="6"/>
      <c r="AC85" s="6"/>
      <c r="AD85" s="6"/>
      <c r="AE85" s="6"/>
      <c r="AF85" s="6"/>
      <c r="AG85" s="6"/>
      <c r="AH85" s="6"/>
      <c r="AI85" s="6"/>
      <c r="AJ85" s="6"/>
      <c r="AK85" s="6"/>
      <c r="AL85" s="6"/>
      <c r="AM85" s="6"/>
      <c r="AN85" s="6"/>
      <c r="AO85" s="6"/>
      <c r="AP85" s="6"/>
      <c r="AQ85" s="6"/>
      <c r="AR85" s="6"/>
      <c r="AS85" s="6"/>
      <c r="AT85" s="6"/>
      <c r="AU85" s="6"/>
      <c r="AV85" s="6"/>
      <c r="AW85" s="6"/>
      <c r="AX85" s="6"/>
      <c r="AY85" s="6"/>
      <c r="AZ85" s="6"/>
      <c r="BA85" s="6"/>
      <c r="BB85" s="6"/>
      <c r="BC85" s="6"/>
      <c r="BD85" s="6"/>
      <c r="BE85" s="6"/>
      <c r="BF85" s="3"/>
    </row>
    <row r="86" spans="3:58" x14ac:dyDescent="0.2"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  <c r="AA86" s="6"/>
      <c r="AB86" s="6"/>
      <c r="AC86" s="6"/>
      <c r="AD86" s="6"/>
      <c r="AE86" s="6"/>
      <c r="AF86" s="6"/>
      <c r="AG86" s="6"/>
      <c r="AH86" s="6"/>
      <c r="AI86" s="6"/>
      <c r="AJ86" s="6"/>
      <c r="AK86" s="6"/>
      <c r="AL86" s="6"/>
      <c r="AM86" s="6"/>
      <c r="AN86" s="6"/>
      <c r="AO86" s="6"/>
      <c r="AP86" s="6"/>
      <c r="AQ86" s="6"/>
      <c r="AR86" s="6"/>
      <c r="AS86" s="6"/>
      <c r="AT86" s="6"/>
      <c r="AU86" s="6"/>
      <c r="AV86" s="6"/>
      <c r="AW86" s="6"/>
      <c r="AX86" s="6"/>
      <c r="AY86" s="6"/>
      <c r="AZ86" s="6"/>
      <c r="BA86" s="6"/>
      <c r="BB86" s="6"/>
      <c r="BC86" s="6"/>
      <c r="BD86" s="6"/>
      <c r="BE86" s="6"/>
      <c r="BF86" s="3"/>
    </row>
    <row r="87" spans="3:58" x14ac:dyDescent="0.2"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  <c r="AM87" s="6"/>
      <c r="AN87" s="6"/>
      <c r="AO87" s="6"/>
      <c r="AP87" s="6"/>
      <c r="AQ87" s="6"/>
      <c r="AR87" s="6"/>
      <c r="AS87" s="6"/>
      <c r="AT87" s="6"/>
      <c r="AU87" s="6"/>
      <c r="AV87" s="6"/>
      <c r="AW87" s="6"/>
      <c r="AX87" s="6"/>
      <c r="AY87" s="6"/>
      <c r="AZ87" s="6"/>
      <c r="BA87" s="6"/>
      <c r="BB87" s="6"/>
      <c r="BC87" s="6"/>
      <c r="BD87" s="6"/>
      <c r="BE87" s="6"/>
      <c r="BF87" s="3"/>
    </row>
    <row r="88" spans="3:58" x14ac:dyDescent="0.2"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  <c r="AM88" s="6"/>
      <c r="AN88" s="6"/>
      <c r="AO88" s="6"/>
      <c r="AP88" s="6"/>
      <c r="AQ88" s="6"/>
      <c r="AR88" s="6"/>
      <c r="AS88" s="6"/>
      <c r="AT88" s="6"/>
      <c r="AU88" s="6"/>
      <c r="AV88" s="6"/>
      <c r="AW88" s="6"/>
      <c r="AX88" s="6"/>
      <c r="AY88" s="6"/>
      <c r="AZ88" s="6"/>
      <c r="BA88" s="6"/>
      <c r="BB88" s="6"/>
      <c r="BC88" s="6"/>
      <c r="BD88" s="6"/>
      <c r="BE88" s="6"/>
      <c r="BF88" s="3"/>
    </row>
    <row r="89" spans="3:58" x14ac:dyDescent="0.2"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  <c r="AB89" s="6"/>
      <c r="AC89" s="6"/>
      <c r="AD89" s="6"/>
      <c r="AE89" s="6"/>
      <c r="AF89" s="6"/>
      <c r="AG89" s="6"/>
      <c r="AH89" s="6"/>
      <c r="AI89" s="6"/>
      <c r="AJ89" s="6"/>
      <c r="AK89" s="6"/>
      <c r="AL89" s="6"/>
      <c r="AM89" s="6"/>
      <c r="AN89" s="6"/>
      <c r="AO89" s="6"/>
      <c r="AP89" s="6"/>
      <c r="AQ89" s="6"/>
      <c r="AR89" s="6"/>
      <c r="AS89" s="6"/>
      <c r="AT89" s="6"/>
      <c r="AU89" s="6"/>
      <c r="AV89" s="6"/>
      <c r="AW89" s="6"/>
      <c r="AX89" s="6"/>
      <c r="AY89" s="6"/>
      <c r="AZ89" s="6"/>
      <c r="BA89" s="6"/>
      <c r="BB89" s="6"/>
      <c r="BC89" s="6"/>
      <c r="BD89" s="6"/>
      <c r="BE89" s="6"/>
      <c r="BF89" s="3"/>
    </row>
    <row r="90" spans="3:58" x14ac:dyDescent="0.2"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  <c r="AB90" s="6"/>
      <c r="AC90" s="6"/>
      <c r="AD90" s="6"/>
      <c r="AE90" s="6"/>
      <c r="AF90" s="6"/>
      <c r="AG90" s="6"/>
      <c r="AH90" s="6"/>
      <c r="AI90" s="6"/>
      <c r="AJ90" s="6"/>
      <c r="AK90" s="6"/>
      <c r="AL90" s="6"/>
      <c r="AM90" s="6"/>
      <c r="AN90" s="6"/>
      <c r="AO90" s="6"/>
      <c r="AP90" s="6"/>
      <c r="AQ90" s="6"/>
      <c r="AR90" s="6"/>
      <c r="AS90" s="6"/>
      <c r="AT90" s="6"/>
      <c r="AU90" s="6"/>
      <c r="AV90" s="6"/>
      <c r="AW90" s="6"/>
      <c r="AX90" s="6"/>
      <c r="AY90" s="6"/>
      <c r="AZ90" s="6"/>
      <c r="BA90" s="6"/>
      <c r="BB90" s="6"/>
      <c r="BC90" s="6"/>
      <c r="BD90" s="6"/>
      <c r="BE90" s="6"/>
      <c r="BF90" s="3"/>
    </row>
    <row r="91" spans="3:58" x14ac:dyDescent="0.2"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6"/>
      <c r="AJ91" s="6"/>
      <c r="AK91" s="6"/>
      <c r="AL91" s="6"/>
      <c r="AM91" s="6"/>
      <c r="AN91" s="6"/>
      <c r="AO91" s="6"/>
      <c r="AP91" s="6"/>
      <c r="AQ91" s="6"/>
      <c r="AR91" s="6"/>
      <c r="AS91" s="6"/>
      <c r="AT91" s="6"/>
      <c r="AU91" s="6"/>
      <c r="AV91" s="6"/>
      <c r="AW91" s="6"/>
      <c r="AX91" s="6"/>
      <c r="AY91" s="6"/>
      <c r="AZ91" s="6"/>
      <c r="BA91" s="6"/>
      <c r="BB91" s="6"/>
      <c r="BC91" s="6"/>
      <c r="BD91" s="6"/>
      <c r="BE91" s="6"/>
      <c r="BF91" s="3"/>
    </row>
    <row r="92" spans="3:58" x14ac:dyDescent="0.2"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6"/>
      <c r="AJ92" s="6"/>
      <c r="AK92" s="6"/>
      <c r="AL92" s="6"/>
      <c r="AM92" s="6"/>
      <c r="AN92" s="6"/>
      <c r="AO92" s="6"/>
      <c r="AP92" s="6"/>
      <c r="AQ92" s="6"/>
      <c r="AR92" s="6"/>
      <c r="AS92" s="6"/>
      <c r="AT92" s="6"/>
      <c r="AU92" s="6"/>
      <c r="AV92" s="6"/>
      <c r="AW92" s="6"/>
      <c r="AX92" s="6"/>
      <c r="AY92" s="6"/>
      <c r="AZ92" s="6"/>
      <c r="BA92" s="6"/>
      <c r="BB92" s="6"/>
      <c r="BC92" s="6"/>
      <c r="BD92" s="6"/>
      <c r="BE92" s="6"/>
      <c r="BF92" s="3"/>
    </row>
    <row r="93" spans="3:58" x14ac:dyDescent="0.2"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  <c r="AB93" s="6"/>
      <c r="AC93" s="6"/>
      <c r="AD93" s="6"/>
      <c r="AE93" s="6"/>
      <c r="AF93" s="6"/>
      <c r="AG93" s="6"/>
      <c r="AH93" s="6"/>
      <c r="AI93" s="6"/>
      <c r="AJ93" s="6"/>
      <c r="AK93" s="6"/>
      <c r="AL93" s="6"/>
      <c r="AM93" s="6"/>
      <c r="AN93" s="6"/>
      <c r="AO93" s="6"/>
      <c r="AP93" s="6"/>
      <c r="AQ93" s="6"/>
      <c r="AR93" s="6"/>
      <c r="AS93" s="6"/>
      <c r="AT93" s="6"/>
      <c r="AU93" s="6"/>
      <c r="AV93" s="6"/>
      <c r="AW93" s="6"/>
      <c r="AX93" s="6"/>
      <c r="AY93" s="6"/>
      <c r="AZ93" s="6"/>
      <c r="BA93" s="6"/>
      <c r="BB93" s="6"/>
      <c r="BC93" s="6"/>
      <c r="BD93" s="6"/>
      <c r="BE93" s="6"/>
      <c r="BF93" s="3"/>
    </row>
    <row r="94" spans="3:58" x14ac:dyDescent="0.2"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  <c r="AB94" s="6"/>
      <c r="AC94" s="6"/>
      <c r="AD94" s="6"/>
      <c r="AE94" s="6"/>
      <c r="AF94" s="6"/>
      <c r="AG94" s="6"/>
      <c r="AH94" s="6"/>
      <c r="AI94" s="6"/>
      <c r="AJ94" s="6"/>
      <c r="AK94" s="6"/>
      <c r="AL94" s="6"/>
      <c r="AM94" s="6"/>
      <c r="AN94" s="6"/>
      <c r="AO94" s="6"/>
      <c r="AP94" s="6"/>
      <c r="AQ94" s="6"/>
      <c r="AR94" s="6"/>
      <c r="AS94" s="6"/>
      <c r="AT94" s="6"/>
      <c r="AU94" s="6"/>
      <c r="AV94" s="6"/>
      <c r="AW94" s="6"/>
      <c r="AX94" s="6"/>
      <c r="AY94" s="6"/>
      <c r="AZ94" s="6"/>
      <c r="BA94" s="6"/>
      <c r="BB94" s="6"/>
      <c r="BC94" s="6"/>
      <c r="BD94" s="6"/>
      <c r="BE94" s="6"/>
      <c r="BF94" s="3"/>
    </row>
    <row r="95" spans="3:58" x14ac:dyDescent="0.2"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  <c r="AA95" s="6"/>
      <c r="AB95" s="6"/>
      <c r="AC95" s="6"/>
      <c r="AD95" s="6"/>
      <c r="AE95" s="6"/>
      <c r="AF95" s="6"/>
      <c r="AG95" s="6"/>
      <c r="AH95" s="6"/>
      <c r="AI95" s="6"/>
      <c r="AJ95" s="6"/>
      <c r="AK95" s="6"/>
      <c r="AL95" s="6"/>
      <c r="AM95" s="6"/>
      <c r="AN95" s="6"/>
      <c r="AO95" s="6"/>
      <c r="AP95" s="6"/>
      <c r="AQ95" s="6"/>
      <c r="AR95" s="6"/>
      <c r="AS95" s="6"/>
      <c r="AT95" s="6"/>
      <c r="AU95" s="6"/>
      <c r="AV95" s="6"/>
      <c r="AW95" s="6"/>
      <c r="AX95" s="6"/>
      <c r="AY95" s="6"/>
      <c r="AZ95" s="6"/>
      <c r="BA95" s="6"/>
      <c r="BB95" s="6"/>
      <c r="BC95" s="6"/>
      <c r="BD95" s="6"/>
      <c r="BE95" s="6"/>
      <c r="BF95" s="3"/>
    </row>
    <row r="96" spans="3:58" x14ac:dyDescent="0.2"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  <c r="AB96" s="6"/>
      <c r="AC96" s="6"/>
      <c r="AD96" s="6"/>
      <c r="AE96" s="6"/>
      <c r="AF96" s="6"/>
      <c r="AG96" s="6"/>
      <c r="AH96" s="6"/>
      <c r="AI96" s="6"/>
      <c r="AJ96" s="6"/>
      <c r="AK96" s="6"/>
      <c r="AL96" s="6"/>
      <c r="AM96" s="6"/>
      <c r="AN96" s="6"/>
      <c r="AO96" s="6"/>
      <c r="AP96" s="6"/>
      <c r="AQ96" s="6"/>
      <c r="AR96" s="6"/>
      <c r="AS96" s="6"/>
      <c r="AT96" s="6"/>
      <c r="AU96" s="6"/>
      <c r="AV96" s="6"/>
      <c r="AW96" s="6"/>
      <c r="AX96" s="6"/>
      <c r="AY96" s="6"/>
      <c r="AZ96" s="6"/>
      <c r="BA96" s="6"/>
      <c r="BB96" s="6"/>
      <c r="BC96" s="6"/>
      <c r="BD96" s="6"/>
      <c r="BE96" s="6"/>
      <c r="BF96" s="3"/>
    </row>
    <row r="97" spans="3:58" x14ac:dyDescent="0.2"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  <c r="AA97" s="6"/>
      <c r="AB97" s="6"/>
      <c r="AC97" s="6"/>
      <c r="AD97" s="6"/>
      <c r="AE97" s="6"/>
      <c r="AF97" s="6"/>
      <c r="AG97" s="6"/>
      <c r="AH97" s="6"/>
      <c r="AI97" s="6"/>
      <c r="AJ97" s="6"/>
      <c r="AK97" s="6"/>
      <c r="AL97" s="6"/>
      <c r="AM97" s="6"/>
      <c r="AN97" s="6"/>
      <c r="AO97" s="6"/>
      <c r="AP97" s="6"/>
      <c r="AQ97" s="6"/>
      <c r="AR97" s="6"/>
      <c r="AS97" s="6"/>
      <c r="AT97" s="6"/>
      <c r="AU97" s="6"/>
      <c r="AV97" s="6"/>
      <c r="AW97" s="6"/>
      <c r="AX97" s="6"/>
      <c r="AY97" s="6"/>
      <c r="AZ97" s="6"/>
      <c r="BA97" s="6"/>
      <c r="BB97" s="6"/>
      <c r="BC97" s="6"/>
      <c r="BD97" s="6"/>
      <c r="BE97" s="6"/>
      <c r="BF97" s="3"/>
    </row>
    <row r="98" spans="3:58" x14ac:dyDescent="0.2"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  <c r="AA98" s="6"/>
      <c r="AB98" s="6"/>
      <c r="AC98" s="6"/>
      <c r="AD98" s="6"/>
      <c r="AE98" s="6"/>
      <c r="AF98" s="6"/>
      <c r="AG98" s="6"/>
      <c r="AH98" s="6"/>
      <c r="AI98" s="6"/>
      <c r="AJ98" s="6"/>
      <c r="AK98" s="6"/>
      <c r="AL98" s="6"/>
      <c r="AM98" s="6"/>
      <c r="AN98" s="6"/>
      <c r="AO98" s="6"/>
      <c r="AP98" s="6"/>
      <c r="AQ98" s="6"/>
      <c r="AR98" s="6"/>
      <c r="AS98" s="6"/>
      <c r="AT98" s="6"/>
      <c r="AU98" s="6"/>
      <c r="AV98" s="6"/>
      <c r="AW98" s="6"/>
      <c r="AX98" s="6"/>
      <c r="AY98" s="6"/>
      <c r="AZ98" s="6"/>
      <c r="BA98" s="6"/>
      <c r="BB98" s="6"/>
      <c r="BC98" s="6"/>
      <c r="BD98" s="6"/>
      <c r="BE98" s="6"/>
      <c r="BF98" s="3"/>
    </row>
    <row r="99" spans="3:58" x14ac:dyDescent="0.2"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6"/>
      <c r="AJ99" s="6"/>
      <c r="AK99" s="6"/>
      <c r="AL99" s="6"/>
      <c r="AM99" s="6"/>
      <c r="AN99" s="6"/>
      <c r="AO99" s="6"/>
      <c r="AP99" s="6"/>
      <c r="AQ99" s="6"/>
      <c r="AR99" s="6"/>
      <c r="AS99" s="6"/>
      <c r="AT99" s="6"/>
      <c r="AU99" s="6"/>
      <c r="AV99" s="6"/>
      <c r="AW99" s="6"/>
      <c r="AX99" s="6"/>
      <c r="AY99" s="6"/>
      <c r="AZ99" s="6"/>
      <c r="BA99" s="6"/>
      <c r="BB99" s="6"/>
      <c r="BC99" s="6"/>
      <c r="BD99" s="6"/>
      <c r="BE99" s="6"/>
      <c r="BF99" s="3"/>
    </row>
    <row r="100" spans="3:58" x14ac:dyDescent="0.2"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  <c r="AL100" s="6"/>
      <c r="AM100" s="6"/>
      <c r="AN100" s="6"/>
      <c r="AO100" s="6"/>
      <c r="AP100" s="6"/>
      <c r="AQ100" s="6"/>
      <c r="AR100" s="6"/>
      <c r="AS100" s="6"/>
      <c r="AT100" s="6"/>
      <c r="AU100" s="6"/>
      <c r="AV100" s="6"/>
      <c r="AW100" s="6"/>
      <c r="AX100" s="6"/>
      <c r="AY100" s="6"/>
      <c r="AZ100" s="6"/>
      <c r="BA100" s="6"/>
      <c r="BB100" s="6"/>
      <c r="BC100" s="6"/>
      <c r="BD100" s="6"/>
      <c r="BE100" s="6"/>
      <c r="BF100" s="3"/>
    </row>
    <row r="101" spans="3:58" x14ac:dyDescent="0.2"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6"/>
      <c r="AJ101" s="6"/>
      <c r="AK101" s="6"/>
      <c r="AL101" s="6"/>
      <c r="AM101" s="6"/>
      <c r="AN101" s="6"/>
      <c r="AO101" s="6"/>
      <c r="AP101" s="6"/>
      <c r="AQ101" s="6"/>
      <c r="AR101" s="6"/>
      <c r="AS101" s="6"/>
      <c r="AT101" s="6"/>
      <c r="AU101" s="6"/>
      <c r="AV101" s="6"/>
      <c r="AW101" s="6"/>
      <c r="AX101" s="6"/>
      <c r="AY101" s="6"/>
      <c r="AZ101" s="6"/>
      <c r="BA101" s="6"/>
      <c r="BB101" s="6"/>
      <c r="BC101" s="6"/>
      <c r="BD101" s="6"/>
      <c r="BE101" s="6"/>
      <c r="BF101" s="3"/>
    </row>
    <row r="102" spans="3:58" x14ac:dyDescent="0.2"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6"/>
      <c r="AJ102" s="6"/>
      <c r="AK102" s="6"/>
      <c r="AL102" s="6"/>
      <c r="AM102" s="6"/>
      <c r="AN102" s="6"/>
      <c r="AO102" s="6"/>
      <c r="AP102" s="6"/>
      <c r="AQ102" s="6"/>
      <c r="AR102" s="6"/>
      <c r="AS102" s="6"/>
      <c r="AT102" s="6"/>
      <c r="AU102" s="6"/>
      <c r="AV102" s="6"/>
      <c r="AW102" s="6"/>
      <c r="AX102" s="6"/>
      <c r="AY102" s="6"/>
      <c r="AZ102" s="6"/>
      <c r="BA102" s="6"/>
      <c r="BB102" s="6"/>
      <c r="BC102" s="6"/>
      <c r="BD102" s="6"/>
      <c r="BE102" s="6"/>
      <c r="BF102" s="3"/>
    </row>
    <row r="103" spans="3:58" x14ac:dyDescent="0.2"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6"/>
      <c r="AJ103" s="6"/>
      <c r="AK103" s="6"/>
      <c r="AL103" s="6"/>
      <c r="AM103" s="6"/>
      <c r="AN103" s="6"/>
      <c r="AO103" s="6"/>
      <c r="AP103" s="6"/>
      <c r="AQ103" s="6"/>
      <c r="AR103" s="6"/>
      <c r="AS103" s="6"/>
      <c r="AT103" s="6"/>
      <c r="AU103" s="6"/>
      <c r="AV103" s="6"/>
      <c r="AW103" s="6"/>
      <c r="AX103" s="6"/>
      <c r="AY103" s="6"/>
      <c r="AZ103" s="6"/>
      <c r="BA103" s="6"/>
      <c r="BB103" s="6"/>
      <c r="BC103" s="6"/>
      <c r="BD103" s="6"/>
      <c r="BE103" s="6"/>
      <c r="BF103" s="3"/>
    </row>
    <row r="104" spans="3:58" x14ac:dyDescent="0.2"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6"/>
      <c r="AJ104" s="6"/>
      <c r="AK104" s="6"/>
      <c r="AL104" s="6"/>
      <c r="AM104" s="6"/>
      <c r="AN104" s="6"/>
      <c r="AO104" s="6"/>
      <c r="AP104" s="6"/>
      <c r="AQ104" s="6"/>
      <c r="AR104" s="6"/>
      <c r="AS104" s="6"/>
      <c r="AT104" s="6"/>
      <c r="AU104" s="6"/>
      <c r="AV104" s="6"/>
      <c r="AW104" s="6"/>
      <c r="AX104" s="6"/>
      <c r="AY104" s="6"/>
      <c r="AZ104" s="6"/>
      <c r="BA104" s="6"/>
      <c r="BB104" s="6"/>
      <c r="BC104" s="6"/>
      <c r="BD104" s="6"/>
      <c r="BE104" s="6"/>
      <c r="BF104" s="3"/>
    </row>
    <row r="105" spans="3:58" x14ac:dyDescent="0.2"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6"/>
      <c r="AJ105" s="6"/>
      <c r="AK105" s="6"/>
      <c r="AL105" s="6"/>
      <c r="AM105" s="6"/>
      <c r="AN105" s="6"/>
      <c r="AO105" s="6"/>
      <c r="AP105" s="6"/>
      <c r="AQ105" s="6"/>
      <c r="AR105" s="6"/>
      <c r="AS105" s="6"/>
      <c r="AT105" s="6"/>
      <c r="AU105" s="6"/>
      <c r="AV105" s="6"/>
      <c r="AW105" s="6"/>
      <c r="AX105" s="6"/>
      <c r="AY105" s="6"/>
      <c r="AZ105" s="6"/>
      <c r="BA105" s="6"/>
      <c r="BB105" s="6"/>
      <c r="BC105" s="6"/>
      <c r="BD105" s="6"/>
      <c r="BE105" s="6"/>
      <c r="BF105" s="3"/>
    </row>
    <row r="106" spans="3:58" x14ac:dyDescent="0.2"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6"/>
      <c r="AJ106" s="6"/>
      <c r="AK106" s="6"/>
      <c r="AL106" s="6"/>
      <c r="AM106" s="6"/>
      <c r="AN106" s="6"/>
      <c r="AO106" s="6"/>
      <c r="AP106" s="6"/>
      <c r="AQ106" s="6"/>
      <c r="AR106" s="6"/>
      <c r="AS106" s="6"/>
      <c r="AT106" s="6"/>
      <c r="AU106" s="6"/>
      <c r="AV106" s="6"/>
      <c r="AW106" s="6"/>
      <c r="AX106" s="6"/>
      <c r="AY106" s="6"/>
      <c r="AZ106" s="6"/>
      <c r="BA106" s="6"/>
      <c r="BB106" s="6"/>
      <c r="BC106" s="6"/>
      <c r="BD106" s="6"/>
      <c r="BE106" s="6"/>
      <c r="BF106" s="3"/>
    </row>
    <row r="107" spans="3:58" x14ac:dyDescent="0.2"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6"/>
      <c r="AJ107" s="6"/>
      <c r="AK107" s="6"/>
      <c r="AL107" s="6"/>
      <c r="AM107" s="6"/>
      <c r="AN107" s="6"/>
      <c r="AO107" s="6"/>
      <c r="AP107" s="6"/>
      <c r="AQ107" s="6"/>
      <c r="AR107" s="6"/>
      <c r="AS107" s="6"/>
      <c r="AT107" s="6"/>
      <c r="AU107" s="6"/>
      <c r="AV107" s="6"/>
      <c r="AW107" s="6"/>
      <c r="AX107" s="6"/>
      <c r="AY107" s="6"/>
      <c r="AZ107" s="6"/>
      <c r="BA107" s="6"/>
      <c r="BB107" s="6"/>
      <c r="BC107" s="6"/>
      <c r="BD107" s="6"/>
      <c r="BE107" s="6"/>
      <c r="BF107" s="3"/>
    </row>
    <row r="108" spans="3:58" x14ac:dyDescent="0.2"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6"/>
      <c r="AJ108" s="6"/>
      <c r="AK108" s="6"/>
      <c r="AL108" s="6"/>
      <c r="AM108" s="6"/>
      <c r="AN108" s="6"/>
      <c r="AO108" s="6"/>
      <c r="AP108" s="6"/>
      <c r="AQ108" s="6"/>
      <c r="AR108" s="6"/>
      <c r="AS108" s="6"/>
      <c r="AT108" s="6"/>
      <c r="AU108" s="6"/>
      <c r="AV108" s="6"/>
      <c r="AW108" s="6"/>
      <c r="AX108" s="6"/>
      <c r="AY108" s="6"/>
      <c r="AZ108" s="6"/>
      <c r="BA108" s="6"/>
      <c r="BB108" s="6"/>
      <c r="BC108" s="6"/>
      <c r="BD108" s="6"/>
      <c r="BE108" s="6"/>
      <c r="BF108" s="3"/>
    </row>
    <row r="109" spans="3:58" x14ac:dyDescent="0.2"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6"/>
      <c r="AJ109" s="6"/>
      <c r="AK109" s="6"/>
      <c r="AL109" s="6"/>
      <c r="AM109" s="6"/>
      <c r="AN109" s="6"/>
      <c r="AO109" s="6"/>
      <c r="AP109" s="6"/>
      <c r="AQ109" s="6"/>
      <c r="AR109" s="6"/>
      <c r="AS109" s="6"/>
      <c r="AT109" s="6"/>
      <c r="AU109" s="6"/>
      <c r="AV109" s="6"/>
      <c r="AW109" s="6"/>
      <c r="AX109" s="6"/>
      <c r="AY109" s="6"/>
      <c r="AZ109" s="6"/>
      <c r="BA109" s="6"/>
      <c r="BB109" s="6"/>
      <c r="BC109" s="6"/>
      <c r="BD109" s="6"/>
      <c r="BE109" s="6"/>
      <c r="BF109" s="3"/>
    </row>
    <row r="110" spans="3:58" x14ac:dyDescent="0.2"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6"/>
      <c r="AJ110" s="6"/>
      <c r="AK110" s="6"/>
      <c r="AL110" s="6"/>
      <c r="AM110" s="6"/>
      <c r="AN110" s="6"/>
      <c r="AO110" s="6"/>
      <c r="AP110" s="6"/>
      <c r="AQ110" s="6"/>
      <c r="AR110" s="6"/>
      <c r="AS110" s="6"/>
      <c r="AT110" s="6"/>
      <c r="AU110" s="6"/>
      <c r="AV110" s="6"/>
      <c r="AW110" s="6"/>
      <c r="AX110" s="6"/>
      <c r="AY110" s="6"/>
      <c r="AZ110" s="6"/>
      <c r="BA110" s="6"/>
      <c r="BB110" s="6"/>
      <c r="BC110" s="6"/>
      <c r="BD110" s="6"/>
      <c r="BE110" s="6"/>
      <c r="BF110" s="3"/>
    </row>
    <row r="111" spans="3:58" x14ac:dyDescent="0.2"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6"/>
      <c r="AJ111" s="6"/>
      <c r="AK111" s="6"/>
      <c r="AL111" s="6"/>
      <c r="AM111" s="6"/>
      <c r="AN111" s="6"/>
      <c r="AO111" s="6"/>
      <c r="AP111" s="6"/>
      <c r="AQ111" s="6"/>
      <c r="AR111" s="6"/>
      <c r="AS111" s="6"/>
      <c r="AT111" s="6"/>
      <c r="AU111" s="6"/>
      <c r="AV111" s="6"/>
      <c r="AW111" s="6"/>
      <c r="AX111" s="6"/>
      <c r="AY111" s="6"/>
      <c r="AZ111" s="6"/>
      <c r="BA111" s="6"/>
      <c r="BB111" s="6"/>
      <c r="BC111" s="6"/>
      <c r="BD111" s="6"/>
      <c r="BE111" s="6"/>
      <c r="BF111" s="3"/>
    </row>
    <row r="112" spans="3:58" x14ac:dyDescent="0.2"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6"/>
      <c r="AJ112" s="6"/>
      <c r="AK112" s="6"/>
      <c r="AL112" s="6"/>
      <c r="AM112" s="6"/>
      <c r="AN112" s="6"/>
      <c r="AO112" s="6"/>
      <c r="AP112" s="6"/>
      <c r="AQ112" s="6"/>
      <c r="AR112" s="6"/>
      <c r="AS112" s="6"/>
      <c r="AT112" s="6"/>
      <c r="AU112" s="6"/>
      <c r="AV112" s="6"/>
      <c r="AW112" s="6"/>
      <c r="AX112" s="6"/>
      <c r="AY112" s="6"/>
      <c r="AZ112" s="6"/>
      <c r="BA112" s="6"/>
      <c r="BB112" s="6"/>
      <c r="BC112" s="6"/>
      <c r="BD112" s="6"/>
      <c r="BE112" s="6"/>
      <c r="BF112" s="3"/>
    </row>
    <row r="113" spans="3:58" x14ac:dyDescent="0.2"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6"/>
      <c r="AJ113" s="6"/>
      <c r="AK113" s="6"/>
      <c r="AL113" s="6"/>
      <c r="AM113" s="6"/>
      <c r="AN113" s="6"/>
      <c r="AO113" s="6"/>
      <c r="AP113" s="6"/>
      <c r="AQ113" s="6"/>
      <c r="AR113" s="6"/>
      <c r="AS113" s="6"/>
      <c r="AT113" s="6"/>
      <c r="AU113" s="6"/>
      <c r="AV113" s="6"/>
      <c r="AW113" s="6"/>
      <c r="AX113" s="6"/>
      <c r="AY113" s="6"/>
      <c r="AZ113" s="6"/>
      <c r="BA113" s="6"/>
      <c r="BB113" s="6"/>
      <c r="BC113" s="6"/>
      <c r="BD113" s="6"/>
      <c r="BE113" s="6"/>
      <c r="BF113" s="3"/>
    </row>
    <row r="114" spans="3:58" x14ac:dyDescent="0.2"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6"/>
      <c r="AJ114" s="6"/>
      <c r="AK114" s="6"/>
      <c r="AL114" s="6"/>
      <c r="AM114" s="6"/>
      <c r="AN114" s="6"/>
      <c r="AO114" s="6"/>
      <c r="AP114" s="6"/>
      <c r="AQ114" s="6"/>
      <c r="AR114" s="6"/>
      <c r="AS114" s="6"/>
      <c r="AT114" s="6"/>
      <c r="AU114" s="6"/>
      <c r="AV114" s="6"/>
      <c r="AW114" s="6"/>
      <c r="AX114" s="6"/>
      <c r="AY114" s="6"/>
      <c r="AZ114" s="6"/>
      <c r="BA114" s="6"/>
      <c r="BB114" s="6"/>
      <c r="BC114" s="6"/>
      <c r="BD114" s="6"/>
      <c r="BE114" s="6"/>
      <c r="BF114" s="3"/>
    </row>
    <row r="115" spans="3:58" x14ac:dyDescent="0.2"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6"/>
      <c r="AJ115" s="6"/>
      <c r="AK115" s="6"/>
      <c r="AL115" s="6"/>
      <c r="AM115" s="6"/>
      <c r="AN115" s="6"/>
      <c r="AO115" s="6"/>
      <c r="AP115" s="6"/>
      <c r="AQ115" s="6"/>
      <c r="AR115" s="6"/>
      <c r="AS115" s="6"/>
      <c r="AT115" s="6"/>
      <c r="AU115" s="6"/>
      <c r="AV115" s="6"/>
      <c r="AW115" s="6"/>
      <c r="AX115" s="6"/>
      <c r="AY115" s="6"/>
      <c r="AZ115" s="6"/>
      <c r="BA115" s="6"/>
      <c r="BB115" s="6"/>
      <c r="BC115" s="6"/>
      <c r="BD115" s="6"/>
      <c r="BE115" s="6"/>
      <c r="BF115" s="3"/>
    </row>
    <row r="116" spans="3:58" x14ac:dyDescent="0.2"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6"/>
      <c r="AJ116" s="6"/>
      <c r="AK116" s="6"/>
      <c r="AL116" s="6"/>
      <c r="AM116" s="6"/>
      <c r="AN116" s="6"/>
      <c r="AO116" s="6"/>
      <c r="AP116" s="6"/>
      <c r="AQ116" s="6"/>
      <c r="AR116" s="6"/>
      <c r="AS116" s="6"/>
      <c r="AT116" s="6"/>
      <c r="AU116" s="6"/>
      <c r="AV116" s="6"/>
      <c r="AW116" s="6"/>
      <c r="AX116" s="6"/>
      <c r="AY116" s="6"/>
      <c r="AZ116" s="6"/>
      <c r="BA116" s="6"/>
      <c r="BB116" s="6"/>
      <c r="BC116" s="6"/>
      <c r="BD116" s="6"/>
      <c r="BE116" s="6"/>
      <c r="BF116" s="3"/>
    </row>
    <row r="117" spans="3:58" x14ac:dyDescent="0.2"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6"/>
      <c r="AJ117" s="6"/>
      <c r="AK117" s="6"/>
      <c r="AL117" s="6"/>
      <c r="AM117" s="6"/>
      <c r="AN117" s="6"/>
      <c r="AO117" s="6"/>
      <c r="AP117" s="6"/>
      <c r="AQ117" s="6"/>
      <c r="AR117" s="6"/>
      <c r="AS117" s="6"/>
      <c r="AT117" s="6"/>
      <c r="AU117" s="6"/>
      <c r="AV117" s="6"/>
      <c r="AW117" s="6"/>
      <c r="AX117" s="6"/>
      <c r="AY117" s="6"/>
      <c r="AZ117" s="6"/>
      <c r="BA117" s="6"/>
      <c r="BB117" s="6"/>
      <c r="BC117" s="6"/>
      <c r="BD117" s="6"/>
      <c r="BE117" s="6"/>
      <c r="BF117" s="3"/>
    </row>
    <row r="118" spans="3:58" x14ac:dyDescent="0.2"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6"/>
      <c r="AJ118" s="6"/>
      <c r="AK118" s="6"/>
      <c r="AL118" s="6"/>
      <c r="AM118" s="6"/>
      <c r="AN118" s="6"/>
      <c r="AO118" s="6"/>
      <c r="AP118" s="6"/>
      <c r="AQ118" s="6"/>
      <c r="AR118" s="6"/>
      <c r="AS118" s="6"/>
      <c r="AT118" s="6"/>
      <c r="AU118" s="6"/>
      <c r="AV118" s="6"/>
      <c r="AW118" s="6"/>
      <c r="AX118" s="6"/>
      <c r="AY118" s="6"/>
      <c r="AZ118" s="6"/>
      <c r="BA118" s="6"/>
      <c r="BB118" s="6"/>
      <c r="BC118" s="6"/>
      <c r="BD118" s="6"/>
      <c r="BE118" s="6"/>
      <c r="BF118" s="3"/>
    </row>
    <row r="119" spans="3:58" x14ac:dyDescent="0.2"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6"/>
      <c r="AJ119" s="6"/>
      <c r="AK119" s="6"/>
      <c r="AL119" s="6"/>
      <c r="AM119" s="6"/>
      <c r="AN119" s="6"/>
      <c r="AO119" s="6"/>
      <c r="AP119" s="6"/>
      <c r="AQ119" s="6"/>
      <c r="AR119" s="6"/>
      <c r="AS119" s="6"/>
      <c r="AT119" s="6"/>
      <c r="AU119" s="6"/>
      <c r="AV119" s="6"/>
      <c r="AW119" s="6"/>
      <c r="AX119" s="6"/>
      <c r="AY119" s="6"/>
      <c r="AZ119" s="6"/>
      <c r="BA119" s="6"/>
      <c r="BB119" s="6"/>
      <c r="BC119" s="6"/>
      <c r="BD119" s="6"/>
      <c r="BE119" s="6"/>
      <c r="BF119" s="3"/>
    </row>
    <row r="120" spans="3:58" x14ac:dyDescent="0.2"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6"/>
      <c r="AJ120" s="6"/>
      <c r="AK120" s="6"/>
      <c r="AL120" s="6"/>
      <c r="AM120" s="6"/>
      <c r="AN120" s="6"/>
      <c r="AO120" s="6"/>
      <c r="AP120" s="6"/>
      <c r="AQ120" s="6"/>
      <c r="AR120" s="6"/>
      <c r="AS120" s="6"/>
      <c r="AT120" s="6"/>
      <c r="AU120" s="6"/>
      <c r="AV120" s="6"/>
      <c r="AW120" s="6"/>
      <c r="AX120" s="6"/>
      <c r="AY120" s="6"/>
      <c r="AZ120" s="6"/>
      <c r="BA120" s="6"/>
      <c r="BB120" s="6"/>
      <c r="BC120" s="6"/>
      <c r="BD120" s="6"/>
      <c r="BE120" s="6"/>
      <c r="BF120" s="3"/>
    </row>
    <row r="121" spans="3:58" x14ac:dyDescent="0.2"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6"/>
      <c r="AJ121" s="6"/>
      <c r="AK121" s="6"/>
      <c r="AL121" s="6"/>
      <c r="AM121" s="6"/>
      <c r="AN121" s="6"/>
      <c r="AO121" s="6"/>
      <c r="AP121" s="6"/>
      <c r="AQ121" s="6"/>
      <c r="AR121" s="6"/>
      <c r="AS121" s="6"/>
      <c r="AT121" s="6"/>
      <c r="AU121" s="6"/>
      <c r="AV121" s="6"/>
      <c r="AW121" s="6"/>
      <c r="AX121" s="6"/>
      <c r="AY121" s="6"/>
      <c r="AZ121" s="6"/>
      <c r="BA121" s="6"/>
      <c r="BB121" s="6"/>
      <c r="BC121" s="6"/>
      <c r="BD121" s="6"/>
      <c r="BE121" s="6"/>
      <c r="BF121" s="3"/>
    </row>
    <row r="122" spans="3:58" x14ac:dyDescent="0.2"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6"/>
      <c r="AJ122" s="6"/>
      <c r="AK122" s="6"/>
      <c r="AL122" s="6"/>
      <c r="AM122" s="6"/>
      <c r="AN122" s="6"/>
      <c r="AO122" s="6"/>
      <c r="AP122" s="6"/>
      <c r="AQ122" s="6"/>
      <c r="AR122" s="6"/>
      <c r="AS122" s="6"/>
      <c r="AT122" s="6"/>
      <c r="AU122" s="6"/>
      <c r="AV122" s="6"/>
      <c r="AW122" s="6"/>
      <c r="AX122" s="6"/>
      <c r="AY122" s="6"/>
      <c r="AZ122" s="6"/>
      <c r="BA122" s="6"/>
      <c r="BB122" s="6"/>
      <c r="BC122" s="6"/>
      <c r="BD122" s="6"/>
      <c r="BE122" s="6"/>
      <c r="BF122" s="3"/>
    </row>
    <row r="123" spans="3:58" x14ac:dyDescent="0.2"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6"/>
      <c r="AJ123" s="6"/>
      <c r="AK123" s="6"/>
      <c r="AL123" s="6"/>
      <c r="AM123" s="6"/>
      <c r="AN123" s="6"/>
      <c r="AO123" s="6"/>
      <c r="AP123" s="6"/>
      <c r="AQ123" s="6"/>
      <c r="AR123" s="6"/>
      <c r="AS123" s="6"/>
      <c r="AT123" s="6"/>
      <c r="AU123" s="6"/>
      <c r="AV123" s="6"/>
      <c r="AW123" s="6"/>
      <c r="AX123" s="6"/>
      <c r="AY123" s="6"/>
      <c r="AZ123" s="6"/>
      <c r="BA123" s="6"/>
      <c r="BB123" s="6"/>
      <c r="BC123" s="6"/>
      <c r="BD123" s="6"/>
      <c r="BE123" s="6"/>
      <c r="BF123" s="3"/>
    </row>
    <row r="124" spans="3:58" x14ac:dyDescent="0.2"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6"/>
      <c r="AJ124" s="6"/>
      <c r="AK124" s="6"/>
      <c r="AL124" s="6"/>
      <c r="AM124" s="6"/>
      <c r="AN124" s="6"/>
      <c r="AO124" s="6"/>
      <c r="AP124" s="6"/>
      <c r="AQ124" s="6"/>
      <c r="AR124" s="6"/>
      <c r="AS124" s="6"/>
      <c r="AT124" s="6"/>
      <c r="AU124" s="6"/>
      <c r="AV124" s="6"/>
      <c r="AW124" s="6"/>
      <c r="AX124" s="6"/>
      <c r="AY124" s="6"/>
      <c r="AZ124" s="6"/>
      <c r="BA124" s="6"/>
      <c r="BB124" s="6"/>
      <c r="BC124" s="6"/>
      <c r="BD124" s="6"/>
      <c r="BE124" s="6"/>
      <c r="BF124" s="3"/>
    </row>
    <row r="125" spans="3:58" x14ac:dyDescent="0.2"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6"/>
      <c r="AJ125" s="6"/>
      <c r="AK125" s="6"/>
      <c r="AL125" s="6"/>
      <c r="AM125" s="6"/>
      <c r="AN125" s="6"/>
      <c r="AO125" s="6"/>
      <c r="AP125" s="6"/>
      <c r="AQ125" s="6"/>
      <c r="AR125" s="6"/>
      <c r="AS125" s="6"/>
      <c r="AT125" s="6"/>
      <c r="AU125" s="6"/>
      <c r="AV125" s="6"/>
      <c r="AW125" s="6"/>
      <c r="AX125" s="6"/>
      <c r="AY125" s="6"/>
      <c r="AZ125" s="6"/>
      <c r="BA125" s="6"/>
      <c r="BB125" s="6"/>
      <c r="BC125" s="6"/>
      <c r="BD125" s="6"/>
      <c r="BE125" s="6"/>
      <c r="BF125" s="3"/>
    </row>
    <row r="126" spans="3:58" x14ac:dyDescent="0.2"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6"/>
      <c r="AJ126" s="6"/>
      <c r="AK126" s="6"/>
      <c r="AL126" s="6"/>
      <c r="AM126" s="6"/>
      <c r="AN126" s="6"/>
      <c r="AO126" s="6"/>
      <c r="AP126" s="6"/>
      <c r="AQ126" s="6"/>
      <c r="AR126" s="6"/>
      <c r="AS126" s="6"/>
      <c r="AT126" s="6"/>
      <c r="AU126" s="6"/>
      <c r="AV126" s="6"/>
      <c r="AW126" s="6"/>
      <c r="AX126" s="6"/>
      <c r="AY126" s="6"/>
      <c r="AZ126" s="6"/>
      <c r="BA126" s="6"/>
      <c r="BB126" s="6"/>
      <c r="BC126" s="6"/>
      <c r="BD126" s="6"/>
      <c r="BE126" s="6"/>
      <c r="BF126" s="3"/>
    </row>
    <row r="127" spans="3:58" x14ac:dyDescent="0.2"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6"/>
      <c r="AJ127" s="6"/>
      <c r="AK127" s="6"/>
      <c r="AL127" s="6"/>
      <c r="AM127" s="6"/>
      <c r="AN127" s="6"/>
      <c r="AO127" s="6"/>
      <c r="AP127" s="6"/>
      <c r="AQ127" s="6"/>
      <c r="AR127" s="6"/>
      <c r="AS127" s="6"/>
      <c r="AT127" s="6"/>
      <c r="AU127" s="6"/>
      <c r="AV127" s="6"/>
      <c r="AW127" s="6"/>
      <c r="AX127" s="6"/>
      <c r="AY127" s="6"/>
      <c r="AZ127" s="6"/>
      <c r="BA127" s="6"/>
      <c r="BB127" s="6"/>
      <c r="BC127" s="6"/>
      <c r="BD127" s="6"/>
      <c r="BE127" s="6"/>
      <c r="BF127" s="3"/>
    </row>
    <row r="128" spans="3:58" x14ac:dyDescent="0.2"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6"/>
      <c r="AJ128" s="6"/>
      <c r="AK128" s="6"/>
      <c r="AL128" s="6"/>
      <c r="AM128" s="6"/>
      <c r="AN128" s="6"/>
      <c r="AO128" s="6"/>
      <c r="AP128" s="6"/>
      <c r="AQ128" s="6"/>
      <c r="AR128" s="6"/>
      <c r="AS128" s="6"/>
      <c r="AT128" s="6"/>
      <c r="AU128" s="6"/>
      <c r="AV128" s="6"/>
      <c r="AW128" s="6"/>
      <c r="AX128" s="6"/>
      <c r="AY128" s="6"/>
      <c r="AZ128" s="6"/>
      <c r="BA128" s="6"/>
      <c r="BB128" s="6"/>
      <c r="BC128" s="6"/>
      <c r="BD128" s="6"/>
      <c r="BE128" s="6"/>
      <c r="BF128" s="3"/>
    </row>
    <row r="129" spans="3:58" x14ac:dyDescent="0.2"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6"/>
      <c r="AJ129" s="6"/>
      <c r="AK129" s="6"/>
      <c r="AL129" s="6"/>
      <c r="AM129" s="6"/>
      <c r="AN129" s="6"/>
      <c r="AO129" s="6"/>
      <c r="AP129" s="6"/>
      <c r="AQ129" s="6"/>
      <c r="AR129" s="6"/>
      <c r="AS129" s="6"/>
      <c r="AT129" s="6"/>
      <c r="AU129" s="6"/>
      <c r="AV129" s="6"/>
      <c r="AW129" s="6"/>
      <c r="AX129" s="6"/>
      <c r="AY129" s="6"/>
      <c r="AZ129" s="6"/>
      <c r="BA129" s="6"/>
      <c r="BB129" s="6"/>
      <c r="BC129" s="6"/>
      <c r="BD129" s="6"/>
      <c r="BE129" s="6"/>
      <c r="BF129" s="3"/>
    </row>
    <row r="130" spans="3:58" x14ac:dyDescent="0.2"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6"/>
      <c r="AJ130" s="6"/>
      <c r="AK130" s="6"/>
      <c r="AL130" s="6"/>
      <c r="AM130" s="6"/>
      <c r="AN130" s="6"/>
      <c r="AO130" s="6"/>
      <c r="AP130" s="6"/>
      <c r="AQ130" s="6"/>
      <c r="AR130" s="6"/>
      <c r="AS130" s="6"/>
      <c r="AT130" s="6"/>
      <c r="AU130" s="6"/>
      <c r="AV130" s="6"/>
      <c r="AW130" s="6"/>
      <c r="AX130" s="6"/>
      <c r="AY130" s="6"/>
      <c r="AZ130" s="6"/>
      <c r="BA130" s="6"/>
      <c r="BB130" s="6"/>
      <c r="BC130" s="6"/>
      <c r="BD130" s="6"/>
      <c r="BE130" s="6"/>
      <c r="BF130" s="3"/>
    </row>
    <row r="131" spans="3:58" x14ac:dyDescent="0.2"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6"/>
      <c r="AJ131" s="6"/>
      <c r="AK131" s="6"/>
      <c r="AL131" s="6"/>
      <c r="AM131" s="6"/>
      <c r="AN131" s="6"/>
      <c r="AO131" s="6"/>
      <c r="AP131" s="6"/>
      <c r="AQ131" s="6"/>
      <c r="AR131" s="6"/>
      <c r="AS131" s="6"/>
      <c r="AT131" s="6"/>
      <c r="AU131" s="6"/>
      <c r="AV131" s="6"/>
      <c r="AW131" s="6"/>
      <c r="AX131" s="6"/>
      <c r="AY131" s="6"/>
      <c r="AZ131" s="6"/>
      <c r="BA131" s="6"/>
      <c r="BB131" s="6"/>
      <c r="BC131" s="6"/>
      <c r="BD131" s="6"/>
      <c r="BE131" s="6"/>
      <c r="BF131" s="3"/>
    </row>
    <row r="132" spans="3:58" x14ac:dyDescent="0.2"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6"/>
      <c r="AJ132" s="6"/>
      <c r="AK132" s="6"/>
      <c r="AL132" s="6"/>
      <c r="AM132" s="6"/>
      <c r="AN132" s="6"/>
      <c r="AO132" s="6"/>
      <c r="AP132" s="6"/>
      <c r="AQ132" s="6"/>
      <c r="AR132" s="6"/>
      <c r="AS132" s="6"/>
      <c r="AT132" s="6"/>
      <c r="AU132" s="6"/>
      <c r="AV132" s="6"/>
      <c r="AW132" s="6"/>
      <c r="AX132" s="6"/>
      <c r="AY132" s="6"/>
      <c r="AZ132" s="6"/>
      <c r="BA132" s="6"/>
      <c r="BB132" s="6"/>
      <c r="BC132" s="6"/>
      <c r="BD132" s="6"/>
      <c r="BE132" s="6"/>
      <c r="BF132" s="3"/>
    </row>
    <row r="133" spans="3:58" x14ac:dyDescent="0.2"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6"/>
      <c r="AJ133" s="6"/>
      <c r="AK133" s="6"/>
      <c r="AL133" s="6"/>
      <c r="AM133" s="6"/>
      <c r="AN133" s="6"/>
      <c r="AO133" s="6"/>
      <c r="AP133" s="6"/>
      <c r="AQ133" s="6"/>
      <c r="AR133" s="6"/>
      <c r="AS133" s="6"/>
      <c r="AT133" s="6"/>
      <c r="AU133" s="6"/>
      <c r="AV133" s="6"/>
      <c r="AW133" s="6"/>
      <c r="AX133" s="6"/>
      <c r="AY133" s="6"/>
      <c r="AZ133" s="6"/>
      <c r="BA133" s="6"/>
      <c r="BB133" s="6"/>
      <c r="BC133" s="6"/>
      <c r="BD133" s="6"/>
      <c r="BE133" s="6"/>
      <c r="BF133" s="3"/>
    </row>
    <row r="134" spans="3:58" x14ac:dyDescent="0.2"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6"/>
      <c r="AJ134" s="6"/>
      <c r="AK134" s="6"/>
      <c r="AL134" s="6"/>
      <c r="AM134" s="6"/>
      <c r="AN134" s="6"/>
      <c r="AO134" s="6"/>
      <c r="AP134" s="6"/>
      <c r="AQ134" s="6"/>
      <c r="AR134" s="6"/>
      <c r="AS134" s="6"/>
      <c r="AT134" s="6"/>
      <c r="AU134" s="6"/>
      <c r="AV134" s="6"/>
      <c r="AW134" s="6"/>
      <c r="AX134" s="6"/>
      <c r="AY134" s="6"/>
      <c r="AZ134" s="6"/>
      <c r="BA134" s="6"/>
      <c r="BB134" s="6"/>
      <c r="BC134" s="6"/>
      <c r="BD134" s="6"/>
      <c r="BE134" s="6"/>
      <c r="BF134" s="3"/>
    </row>
    <row r="135" spans="3:58" x14ac:dyDescent="0.2"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6"/>
      <c r="AJ135" s="6"/>
      <c r="AK135" s="6"/>
      <c r="AL135" s="6"/>
      <c r="AM135" s="6"/>
      <c r="AN135" s="6"/>
      <c r="AO135" s="6"/>
      <c r="AP135" s="6"/>
      <c r="AQ135" s="6"/>
      <c r="AR135" s="6"/>
      <c r="AS135" s="6"/>
      <c r="AT135" s="6"/>
      <c r="AU135" s="6"/>
      <c r="AV135" s="6"/>
      <c r="AW135" s="6"/>
      <c r="AX135" s="6"/>
      <c r="AY135" s="6"/>
      <c r="AZ135" s="6"/>
      <c r="BA135" s="6"/>
      <c r="BB135" s="6"/>
      <c r="BC135" s="6"/>
      <c r="BD135" s="6"/>
      <c r="BE135" s="6"/>
      <c r="BF135" s="3"/>
    </row>
    <row r="136" spans="3:58" x14ac:dyDescent="0.2"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6"/>
      <c r="AJ136" s="6"/>
      <c r="AK136" s="6"/>
      <c r="AL136" s="6"/>
      <c r="AM136" s="6"/>
      <c r="AN136" s="6"/>
      <c r="AO136" s="6"/>
      <c r="AP136" s="6"/>
      <c r="AQ136" s="6"/>
      <c r="AR136" s="6"/>
      <c r="AS136" s="6"/>
      <c r="AT136" s="6"/>
      <c r="AU136" s="6"/>
      <c r="AV136" s="6"/>
      <c r="AW136" s="6"/>
      <c r="AX136" s="6"/>
      <c r="AY136" s="6"/>
      <c r="AZ136" s="6"/>
      <c r="BA136" s="6"/>
      <c r="BB136" s="6"/>
      <c r="BC136" s="6"/>
      <c r="BD136" s="6"/>
      <c r="BE136" s="6"/>
      <c r="BF136" s="3"/>
    </row>
    <row r="137" spans="3:58" x14ac:dyDescent="0.2"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6"/>
      <c r="AJ137" s="6"/>
      <c r="AK137" s="6"/>
      <c r="AL137" s="6"/>
      <c r="AM137" s="6"/>
      <c r="AN137" s="6"/>
      <c r="AO137" s="6"/>
      <c r="AP137" s="6"/>
      <c r="AQ137" s="6"/>
      <c r="AR137" s="6"/>
      <c r="AS137" s="6"/>
      <c r="AT137" s="6"/>
      <c r="AU137" s="6"/>
      <c r="AV137" s="6"/>
      <c r="AW137" s="6"/>
      <c r="AX137" s="6"/>
      <c r="AY137" s="6"/>
      <c r="AZ137" s="6"/>
      <c r="BA137" s="6"/>
      <c r="BB137" s="6"/>
      <c r="BC137" s="6"/>
      <c r="BD137" s="6"/>
      <c r="BE137" s="6"/>
      <c r="BF137" s="3"/>
    </row>
    <row r="138" spans="3:58" x14ac:dyDescent="0.2"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6"/>
      <c r="AJ138" s="6"/>
      <c r="AK138" s="6"/>
      <c r="AL138" s="6"/>
      <c r="AM138" s="6"/>
      <c r="AN138" s="6"/>
      <c r="AO138" s="6"/>
      <c r="AP138" s="6"/>
      <c r="AQ138" s="6"/>
      <c r="AR138" s="6"/>
      <c r="AS138" s="6"/>
      <c r="AT138" s="6"/>
      <c r="AU138" s="6"/>
      <c r="AV138" s="6"/>
      <c r="AW138" s="6"/>
      <c r="AX138" s="6"/>
      <c r="AY138" s="6"/>
      <c r="AZ138" s="6"/>
      <c r="BA138" s="6"/>
      <c r="BB138" s="6"/>
      <c r="BC138" s="6"/>
      <c r="BD138" s="6"/>
      <c r="BE138" s="6"/>
      <c r="BF138" s="3"/>
    </row>
    <row r="139" spans="3:58" x14ac:dyDescent="0.2"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  <c r="AW139" s="6"/>
      <c r="AX139" s="6"/>
      <c r="AY139" s="6"/>
      <c r="AZ139" s="6"/>
      <c r="BA139" s="6"/>
      <c r="BB139" s="6"/>
      <c r="BC139" s="6"/>
      <c r="BD139" s="6"/>
      <c r="BE139" s="6"/>
      <c r="BF139" s="3"/>
    </row>
    <row r="140" spans="3:58" x14ac:dyDescent="0.2"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6"/>
      <c r="AJ140" s="6"/>
      <c r="AK140" s="6"/>
      <c r="AL140" s="6"/>
      <c r="AM140" s="6"/>
      <c r="AN140" s="6"/>
      <c r="AO140" s="6"/>
      <c r="AP140" s="6"/>
      <c r="AQ140" s="6"/>
      <c r="AR140" s="6"/>
      <c r="AS140" s="6"/>
      <c r="AT140" s="6"/>
      <c r="AU140" s="6"/>
      <c r="AV140" s="6"/>
      <c r="AW140" s="6"/>
      <c r="AX140" s="6"/>
      <c r="AY140" s="6"/>
      <c r="AZ140" s="6"/>
      <c r="BA140" s="6"/>
      <c r="BB140" s="6"/>
      <c r="BC140" s="6"/>
      <c r="BD140" s="6"/>
      <c r="BE140" s="6"/>
      <c r="BF140" s="3"/>
    </row>
    <row r="141" spans="3:58" x14ac:dyDescent="0.2"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6"/>
      <c r="AJ141" s="6"/>
      <c r="AK141" s="6"/>
      <c r="AL141" s="6"/>
      <c r="AM141" s="6"/>
      <c r="AN141" s="6"/>
      <c r="AO141" s="6"/>
      <c r="AP141" s="6"/>
      <c r="AQ141" s="6"/>
      <c r="AR141" s="6"/>
      <c r="AS141" s="6"/>
      <c r="AT141" s="6"/>
      <c r="AU141" s="6"/>
      <c r="AV141" s="6"/>
      <c r="AW141" s="6"/>
      <c r="AX141" s="6"/>
      <c r="AY141" s="6"/>
      <c r="AZ141" s="6"/>
      <c r="BA141" s="6"/>
      <c r="BB141" s="6"/>
      <c r="BC141" s="6"/>
      <c r="BD141" s="6"/>
      <c r="BE141" s="6"/>
      <c r="BF141" s="3"/>
    </row>
    <row r="142" spans="3:58" x14ac:dyDescent="0.2"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6"/>
      <c r="AJ142" s="6"/>
      <c r="AK142" s="6"/>
      <c r="AL142" s="6"/>
      <c r="AM142" s="6"/>
      <c r="AN142" s="6"/>
      <c r="AO142" s="6"/>
      <c r="AP142" s="6"/>
      <c r="AQ142" s="6"/>
      <c r="AR142" s="6"/>
      <c r="AS142" s="6"/>
      <c r="AT142" s="6"/>
      <c r="AU142" s="6"/>
      <c r="AV142" s="6"/>
      <c r="AW142" s="6"/>
      <c r="AX142" s="6"/>
      <c r="AY142" s="6"/>
      <c r="AZ142" s="6"/>
      <c r="BA142" s="6"/>
      <c r="BB142" s="6"/>
      <c r="BC142" s="6"/>
      <c r="BD142" s="6"/>
      <c r="BE142" s="6"/>
      <c r="BF142" s="3"/>
    </row>
    <row r="143" spans="3:58" x14ac:dyDescent="0.2"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6"/>
      <c r="AJ143" s="6"/>
      <c r="AK143" s="6"/>
      <c r="AL143" s="6"/>
      <c r="AM143" s="6"/>
      <c r="AN143" s="6"/>
      <c r="AO143" s="6"/>
      <c r="AP143" s="6"/>
      <c r="AQ143" s="6"/>
      <c r="AR143" s="6"/>
      <c r="AS143" s="6"/>
      <c r="AT143" s="6"/>
      <c r="AU143" s="6"/>
      <c r="AV143" s="6"/>
      <c r="AW143" s="6"/>
      <c r="AX143" s="6"/>
      <c r="AY143" s="6"/>
      <c r="AZ143" s="6"/>
      <c r="BA143" s="6"/>
      <c r="BB143" s="6"/>
      <c r="BC143" s="6"/>
      <c r="BD143" s="6"/>
      <c r="BE143" s="6"/>
      <c r="BF143" s="3"/>
    </row>
    <row r="144" spans="3:58" x14ac:dyDescent="0.2"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6"/>
      <c r="AJ144" s="6"/>
      <c r="AK144" s="6"/>
      <c r="AL144" s="6"/>
      <c r="AM144" s="6"/>
      <c r="AN144" s="6"/>
      <c r="AO144" s="6"/>
      <c r="AP144" s="6"/>
      <c r="AQ144" s="6"/>
      <c r="AR144" s="6"/>
      <c r="AS144" s="6"/>
      <c r="AT144" s="6"/>
      <c r="AU144" s="6"/>
      <c r="AV144" s="6"/>
      <c r="AW144" s="6"/>
      <c r="AX144" s="6"/>
      <c r="AY144" s="6"/>
      <c r="AZ144" s="6"/>
      <c r="BA144" s="6"/>
      <c r="BB144" s="6"/>
      <c r="BC144" s="6"/>
      <c r="BD144" s="6"/>
      <c r="BE144" s="6"/>
      <c r="BF144" s="3"/>
    </row>
    <row r="145" spans="3:58" x14ac:dyDescent="0.2"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6"/>
      <c r="AJ145" s="6"/>
      <c r="AK145" s="6"/>
      <c r="AL145" s="6"/>
      <c r="AM145" s="6"/>
      <c r="AN145" s="6"/>
      <c r="AO145" s="6"/>
      <c r="AP145" s="6"/>
      <c r="AQ145" s="6"/>
      <c r="AR145" s="6"/>
      <c r="AS145" s="6"/>
      <c r="AT145" s="6"/>
      <c r="AU145" s="6"/>
      <c r="AV145" s="6"/>
      <c r="AW145" s="6"/>
      <c r="AX145" s="6"/>
      <c r="AY145" s="6"/>
      <c r="AZ145" s="6"/>
      <c r="BA145" s="6"/>
      <c r="BB145" s="6"/>
      <c r="BC145" s="6"/>
      <c r="BD145" s="6"/>
      <c r="BE145" s="6"/>
      <c r="BF145" s="3"/>
    </row>
    <row r="146" spans="3:58" x14ac:dyDescent="0.2"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6"/>
      <c r="AJ146" s="6"/>
      <c r="AK146" s="6"/>
      <c r="AL146" s="6"/>
      <c r="AM146" s="6"/>
      <c r="AN146" s="6"/>
      <c r="AO146" s="6"/>
      <c r="AP146" s="6"/>
      <c r="AQ146" s="6"/>
      <c r="AR146" s="6"/>
      <c r="AS146" s="6"/>
      <c r="AT146" s="6"/>
      <c r="AU146" s="6"/>
      <c r="AV146" s="6"/>
      <c r="AW146" s="6"/>
      <c r="AX146" s="6"/>
      <c r="AY146" s="6"/>
      <c r="AZ146" s="6"/>
      <c r="BA146" s="6"/>
      <c r="BB146" s="6"/>
      <c r="BC146" s="6"/>
      <c r="BD146" s="6"/>
      <c r="BE146" s="6"/>
      <c r="BF146" s="3"/>
    </row>
    <row r="147" spans="3:58" x14ac:dyDescent="0.2"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6"/>
      <c r="AJ147" s="6"/>
      <c r="AK147" s="6"/>
      <c r="AL147" s="6"/>
      <c r="AM147" s="6"/>
      <c r="AN147" s="6"/>
      <c r="AO147" s="6"/>
      <c r="AP147" s="6"/>
      <c r="AQ147" s="6"/>
      <c r="AR147" s="6"/>
      <c r="AS147" s="6"/>
      <c r="AT147" s="6"/>
      <c r="AU147" s="6"/>
      <c r="AV147" s="6"/>
      <c r="AW147" s="6"/>
      <c r="AX147" s="6"/>
      <c r="AY147" s="6"/>
      <c r="AZ147" s="6"/>
      <c r="BA147" s="6"/>
      <c r="BB147" s="6"/>
      <c r="BC147" s="6"/>
      <c r="BD147" s="6"/>
      <c r="BE147" s="6"/>
      <c r="BF147" s="3"/>
    </row>
    <row r="148" spans="3:58" x14ac:dyDescent="0.2"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6"/>
      <c r="AJ148" s="6"/>
      <c r="AK148" s="6"/>
      <c r="AL148" s="6"/>
      <c r="AM148" s="6"/>
      <c r="AN148" s="6"/>
      <c r="AO148" s="6"/>
      <c r="AP148" s="6"/>
      <c r="AQ148" s="6"/>
      <c r="AR148" s="6"/>
      <c r="AS148" s="6"/>
      <c r="AT148" s="6"/>
      <c r="AU148" s="6"/>
      <c r="AV148" s="6"/>
      <c r="AW148" s="6"/>
      <c r="AX148" s="6"/>
      <c r="AY148" s="6"/>
      <c r="AZ148" s="6"/>
      <c r="BA148" s="6"/>
      <c r="BB148" s="6"/>
      <c r="BC148" s="6"/>
      <c r="BD148" s="6"/>
      <c r="BE148" s="6"/>
      <c r="BF148" s="3"/>
    </row>
    <row r="149" spans="3:58" x14ac:dyDescent="0.2"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6"/>
      <c r="AJ149" s="6"/>
      <c r="AK149" s="6"/>
      <c r="AL149" s="6"/>
      <c r="AM149" s="6"/>
      <c r="AN149" s="6"/>
      <c r="AO149" s="6"/>
      <c r="AP149" s="6"/>
      <c r="AQ149" s="6"/>
      <c r="AR149" s="6"/>
      <c r="AS149" s="6"/>
      <c r="AT149" s="6"/>
      <c r="AU149" s="6"/>
      <c r="AV149" s="6"/>
      <c r="AW149" s="6"/>
      <c r="AX149" s="6"/>
      <c r="AY149" s="6"/>
      <c r="AZ149" s="6"/>
      <c r="BA149" s="6"/>
      <c r="BB149" s="6"/>
      <c r="BC149" s="6"/>
      <c r="BD149" s="6"/>
      <c r="BE149" s="6"/>
      <c r="BF149" s="3"/>
    </row>
    <row r="150" spans="3:58" x14ac:dyDescent="0.2"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6"/>
      <c r="AJ150" s="6"/>
      <c r="AK150" s="6"/>
      <c r="AL150" s="6"/>
      <c r="AM150" s="6"/>
      <c r="AN150" s="6"/>
      <c r="AO150" s="6"/>
      <c r="AP150" s="6"/>
      <c r="AQ150" s="6"/>
      <c r="AR150" s="6"/>
      <c r="AS150" s="6"/>
      <c r="AT150" s="6"/>
      <c r="AU150" s="6"/>
      <c r="AV150" s="6"/>
      <c r="AW150" s="6"/>
      <c r="AX150" s="6"/>
      <c r="AY150" s="6"/>
      <c r="AZ150" s="6"/>
      <c r="BA150" s="6"/>
      <c r="BB150" s="6"/>
      <c r="BC150" s="6"/>
      <c r="BD150" s="6"/>
      <c r="BE150" s="6"/>
      <c r="BF150" s="3"/>
    </row>
    <row r="151" spans="3:58" x14ac:dyDescent="0.2"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6"/>
      <c r="AJ151" s="6"/>
      <c r="AK151" s="6"/>
      <c r="AL151" s="6"/>
      <c r="AM151" s="6"/>
      <c r="AN151" s="6"/>
      <c r="AO151" s="6"/>
      <c r="AP151" s="6"/>
      <c r="AQ151" s="6"/>
      <c r="AR151" s="6"/>
      <c r="AS151" s="6"/>
      <c r="AT151" s="6"/>
      <c r="AU151" s="6"/>
      <c r="AV151" s="6"/>
      <c r="AW151" s="6"/>
      <c r="AX151" s="6"/>
      <c r="AY151" s="6"/>
      <c r="AZ151" s="6"/>
      <c r="BA151" s="6"/>
      <c r="BB151" s="6"/>
      <c r="BC151" s="6"/>
      <c r="BD151" s="6"/>
      <c r="BE151" s="6"/>
      <c r="BF151" s="3"/>
    </row>
    <row r="152" spans="3:58" x14ac:dyDescent="0.2"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6"/>
      <c r="AJ152" s="6"/>
      <c r="AK152" s="6"/>
      <c r="AL152" s="6"/>
      <c r="AM152" s="6"/>
      <c r="AN152" s="6"/>
      <c r="AO152" s="6"/>
      <c r="AP152" s="6"/>
      <c r="AQ152" s="6"/>
      <c r="AR152" s="6"/>
      <c r="AS152" s="6"/>
      <c r="AT152" s="6"/>
      <c r="AU152" s="6"/>
      <c r="AV152" s="6"/>
      <c r="AW152" s="6"/>
      <c r="AX152" s="6"/>
      <c r="AY152" s="6"/>
      <c r="AZ152" s="6"/>
      <c r="BA152" s="6"/>
      <c r="BB152" s="6"/>
      <c r="BC152" s="6"/>
      <c r="BD152" s="6"/>
      <c r="BE152" s="6"/>
      <c r="BF152" s="3"/>
    </row>
    <row r="153" spans="3:58" x14ac:dyDescent="0.2"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6"/>
      <c r="AJ153" s="6"/>
      <c r="AK153" s="6"/>
      <c r="AL153" s="6"/>
      <c r="AM153" s="6"/>
      <c r="AN153" s="6"/>
      <c r="AO153" s="6"/>
      <c r="AP153" s="6"/>
      <c r="AQ153" s="6"/>
      <c r="AR153" s="6"/>
      <c r="AS153" s="6"/>
      <c r="AT153" s="6"/>
      <c r="AU153" s="6"/>
      <c r="AV153" s="6"/>
      <c r="AW153" s="6"/>
      <c r="AX153" s="6"/>
      <c r="AY153" s="6"/>
      <c r="AZ153" s="6"/>
      <c r="BA153" s="6"/>
      <c r="BB153" s="6"/>
      <c r="BC153" s="6"/>
      <c r="BD153" s="6"/>
      <c r="BE153" s="6"/>
      <c r="BF153" s="3"/>
    </row>
    <row r="154" spans="3:58" x14ac:dyDescent="0.2"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6"/>
      <c r="AJ154" s="6"/>
      <c r="AK154" s="6"/>
      <c r="AL154" s="6"/>
      <c r="AM154" s="6"/>
      <c r="AN154" s="6"/>
      <c r="AO154" s="6"/>
      <c r="AP154" s="6"/>
      <c r="AQ154" s="6"/>
      <c r="AR154" s="6"/>
      <c r="AS154" s="6"/>
      <c r="AT154" s="6"/>
      <c r="AU154" s="6"/>
      <c r="AV154" s="6"/>
      <c r="AW154" s="6"/>
      <c r="AX154" s="6"/>
      <c r="AY154" s="6"/>
      <c r="AZ154" s="6"/>
      <c r="BA154" s="6"/>
      <c r="BB154" s="6"/>
      <c r="BC154" s="6"/>
      <c r="BD154" s="6"/>
      <c r="BE154" s="6"/>
      <c r="BF154" s="3"/>
    </row>
    <row r="155" spans="3:58" x14ac:dyDescent="0.2"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6"/>
      <c r="AJ155" s="6"/>
      <c r="AK155" s="6"/>
      <c r="AL155" s="6"/>
      <c r="AM155" s="6"/>
      <c r="AN155" s="6"/>
      <c r="AO155" s="6"/>
      <c r="AP155" s="6"/>
      <c r="AQ155" s="6"/>
      <c r="AR155" s="6"/>
      <c r="AS155" s="6"/>
      <c r="AT155" s="6"/>
      <c r="AU155" s="6"/>
      <c r="AV155" s="6"/>
      <c r="AW155" s="6"/>
      <c r="AX155" s="6"/>
      <c r="AY155" s="6"/>
      <c r="AZ155" s="6"/>
      <c r="BA155" s="6"/>
      <c r="BB155" s="6"/>
      <c r="BC155" s="6"/>
      <c r="BD155" s="6"/>
      <c r="BE155" s="6"/>
      <c r="BF155" s="3"/>
    </row>
    <row r="156" spans="3:58" x14ac:dyDescent="0.2"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6"/>
      <c r="AJ156" s="6"/>
      <c r="AK156" s="6"/>
      <c r="AL156" s="6"/>
      <c r="AM156" s="6"/>
      <c r="AN156" s="6"/>
      <c r="AO156" s="6"/>
      <c r="AP156" s="6"/>
      <c r="AQ156" s="6"/>
      <c r="AR156" s="6"/>
      <c r="AS156" s="6"/>
      <c r="AT156" s="6"/>
      <c r="AU156" s="6"/>
      <c r="AV156" s="6"/>
      <c r="AW156" s="6"/>
      <c r="AX156" s="6"/>
      <c r="AY156" s="6"/>
      <c r="AZ156" s="6"/>
      <c r="BA156" s="6"/>
      <c r="BB156" s="6"/>
      <c r="BC156" s="6"/>
      <c r="BD156" s="6"/>
      <c r="BE156" s="6"/>
      <c r="BF156" s="3"/>
    </row>
    <row r="157" spans="3:58" x14ac:dyDescent="0.2"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6"/>
      <c r="AJ157" s="6"/>
      <c r="AK157" s="6"/>
      <c r="AL157" s="6"/>
      <c r="AM157" s="6"/>
      <c r="AN157" s="6"/>
      <c r="AO157" s="6"/>
      <c r="AP157" s="6"/>
      <c r="AQ157" s="6"/>
      <c r="AR157" s="6"/>
      <c r="AS157" s="6"/>
      <c r="AT157" s="6"/>
      <c r="AU157" s="6"/>
      <c r="AV157" s="6"/>
      <c r="AW157" s="6"/>
      <c r="AX157" s="6"/>
      <c r="AY157" s="6"/>
      <c r="AZ157" s="6"/>
      <c r="BA157" s="6"/>
      <c r="BB157" s="6"/>
      <c r="BC157" s="6"/>
      <c r="BD157" s="6"/>
      <c r="BE157" s="6"/>
      <c r="BF157" s="3"/>
    </row>
    <row r="158" spans="3:58" x14ac:dyDescent="0.2"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6"/>
      <c r="AJ158" s="6"/>
      <c r="AK158" s="6"/>
      <c r="AL158" s="6"/>
      <c r="AM158" s="6"/>
      <c r="AN158" s="6"/>
      <c r="AO158" s="6"/>
      <c r="AP158" s="6"/>
      <c r="AQ158" s="6"/>
      <c r="AR158" s="6"/>
      <c r="AS158" s="6"/>
      <c r="AT158" s="6"/>
      <c r="AU158" s="6"/>
      <c r="AV158" s="6"/>
      <c r="AW158" s="6"/>
      <c r="AX158" s="6"/>
      <c r="AY158" s="6"/>
      <c r="AZ158" s="6"/>
      <c r="BA158" s="6"/>
      <c r="BB158" s="6"/>
      <c r="BC158" s="6"/>
      <c r="BD158" s="6"/>
      <c r="BE158" s="6"/>
      <c r="BF158" s="3"/>
    </row>
    <row r="159" spans="3:58" x14ac:dyDescent="0.2"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6"/>
      <c r="AJ159" s="6"/>
      <c r="AK159" s="6"/>
      <c r="AL159" s="6"/>
      <c r="AM159" s="6"/>
      <c r="AN159" s="6"/>
      <c r="AO159" s="6"/>
      <c r="AP159" s="6"/>
      <c r="AQ159" s="6"/>
      <c r="AR159" s="6"/>
      <c r="AS159" s="6"/>
      <c r="AT159" s="6"/>
      <c r="AU159" s="6"/>
      <c r="AV159" s="6"/>
      <c r="AW159" s="6"/>
      <c r="AX159" s="6"/>
      <c r="AY159" s="6"/>
      <c r="AZ159" s="6"/>
      <c r="BA159" s="6"/>
      <c r="BB159" s="6"/>
      <c r="BC159" s="6"/>
      <c r="BD159" s="6"/>
      <c r="BE159" s="6"/>
      <c r="BF159" s="3"/>
    </row>
    <row r="160" spans="3:58" x14ac:dyDescent="0.2"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6"/>
      <c r="AJ160" s="6"/>
      <c r="AK160" s="6"/>
      <c r="AL160" s="6"/>
      <c r="AM160" s="6"/>
      <c r="AN160" s="6"/>
      <c r="AO160" s="6"/>
      <c r="AP160" s="6"/>
      <c r="AQ160" s="6"/>
      <c r="AR160" s="6"/>
      <c r="AS160" s="6"/>
      <c r="AT160" s="6"/>
      <c r="AU160" s="6"/>
      <c r="AV160" s="6"/>
      <c r="AW160" s="6"/>
      <c r="AX160" s="6"/>
      <c r="AY160" s="6"/>
      <c r="AZ160" s="6"/>
      <c r="BA160" s="6"/>
      <c r="BB160" s="6"/>
      <c r="BC160" s="6"/>
      <c r="BD160" s="6"/>
      <c r="BE160" s="6"/>
      <c r="BF160" s="3"/>
    </row>
    <row r="161" spans="3:58" x14ac:dyDescent="0.2"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6"/>
      <c r="AJ161" s="6"/>
      <c r="AK161" s="6"/>
      <c r="AL161" s="6"/>
      <c r="AM161" s="6"/>
      <c r="AN161" s="6"/>
      <c r="AO161" s="6"/>
      <c r="AP161" s="6"/>
      <c r="AQ161" s="6"/>
      <c r="AR161" s="6"/>
      <c r="AS161" s="6"/>
      <c r="AT161" s="6"/>
      <c r="AU161" s="6"/>
      <c r="AV161" s="6"/>
      <c r="AW161" s="6"/>
      <c r="AX161" s="6"/>
      <c r="AY161" s="6"/>
      <c r="AZ161" s="6"/>
      <c r="BA161" s="6"/>
      <c r="BB161" s="6"/>
      <c r="BC161" s="6"/>
      <c r="BD161" s="6"/>
      <c r="BE161" s="6"/>
      <c r="BF161" s="3"/>
    </row>
    <row r="162" spans="3:58" x14ac:dyDescent="0.2"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6"/>
      <c r="AJ162" s="6"/>
      <c r="AK162" s="6"/>
      <c r="AL162" s="6"/>
      <c r="AM162" s="6"/>
      <c r="AN162" s="6"/>
      <c r="AO162" s="6"/>
      <c r="AP162" s="6"/>
      <c r="AQ162" s="6"/>
      <c r="AR162" s="6"/>
      <c r="AS162" s="6"/>
      <c r="AT162" s="6"/>
      <c r="AU162" s="6"/>
      <c r="AV162" s="6"/>
      <c r="AW162" s="6"/>
      <c r="AX162" s="6"/>
      <c r="AY162" s="6"/>
      <c r="AZ162" s="6"/>
      <c r="BA162" s="6"/>
      <c r="BB162" s="6"/>
      <c r="BC162" s="6"/>
      <c r="BD162" s="6"/>
      <c r="BE162" s="6"/>
      <c r="BF162" s="3"/>
    </row>
    <row r="163" spans="3:58" x14ac:dyDescent="0.2"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6"/>
      <c r="AJ163" s="6"/>
      <c r="AK163" s="6"/>
      <c r="AL163" s="6"/>
      <c r="AM163" s="6"/>
      <c r="AN163" s="6"/>
      <c r="AO163" s="6"/>
      <c r="AP163" s="6"/>
      <c r="AQ163" s="6"/>
      <c r="AR163" s="6"/>
      <c r="AS163" s="6"/>
      <c r="AT163" s="6"/>
      <c r="AU163" s="6"/>
      <c r="AV163" s="6"/>
      <c r="AW163" s="6"/>
      <c r="AX163" s="6"/>
      <c r="AY163" s="6"/>
      <c r="AZ163" s="6"/>
      <c r="BA163" s="6"/>
      <c r="BB163" s="6"/>
      <c r="BC163" s="6"/>
      <c r="BD163" s="6"/>
      <c r="BE163" s="6"/>
      <c r="BF163" s="3"/>
    </row>
    <row r="164" spans="3:58" x14ac:dyDescent="0.2"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6"/>
      <c r="AJ164" s="6"/>
      <c r="AK164" s="6"/>
      <c r="AL164" s="6"/>
      <c r="AM164" s="6"/>
      <c r="AN164" s="6"/>
      <c r="AO164" s="6"/>
      <c r="AP164" s="6"/>
      <c r="AQ164" s="6"/>
      <c r="AR164" s="6"/>
      <c r="AS164" s="6"/>
      <c r="AT164" s="6"/>
      <c r="AU164" s="6"/>
      <c r="AV164" s="6"/>
      <c r="AW164" s="6"/>
      <c r="AX164" s="6"/>
      <c r="AY164" s="6"/>
      <c r="AZ164" s="6"/>
      <c r="BA164" s="6"/>
      <c r="BB164" s="6"/>
      <c r="BC164" s="6"/>
      <c r="BD164" s="6"/>
      <c r="BE164" s="6"/>
      <c r="BF164" s="3"/>
    </row>
    <row r="165" spans="3:58" x14ac:dyDescent="0.2"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6"/>
      <c r="AJ165" s="6"/>
      <c r="AK165" s="6"/>
      <c r="AL165" s="6"/>
      <c r="AM165" s="6"/>
      <c r="AN165" s="6"/>
      <c r="AO165" s="6"/>
      <c r="AP165" s="6"/>
      <c r="AQ165" s="6"/>
      <c r="AR165" s="6"/>
      <c r="AS165" s="6"/>
      <c r="AT165" s="6"/>
      <c r="AU165" s="6"/>
      <c r="AV165" s="6"/>
      <c r="AW165" s="6"/>
      <c r="AX165" s="6"/>
      <c r="AY165" s="6"/>
      <c r="AZ165" s="6"/>
      <c r="BA165" s="6"/>
      <c r="BB165" s="6"/>
      <c r="BC165" s="6"/>
      <c r="BD165" s="6"/>
      <c r="BE165" s="6"/>
      <c r="BF165" s="3"/>
    </row>
    <row r="166" spans="3:58" x14ac:dyDescent="0.2"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6"/>
      <c r="AJ166" s="6"/>
      <c r="AK166" s="6"/>
      <c r="AL166" s="6"/>
      <c r="AM166" s="6"/>
      <c r="AN166" s="6"/>
      <c r="AO166" s="6"/>
      <c r="AP166" s="6"/>
      <c r="AQ166" s="6"/>
      <c r="AR166" s="6"/>
      <c r="AS166" s="6"/>
      <c r="AT166" s="6"/>
      <c r="AU166" s="6"/>
      <c r="AV166" s="6"/>
      <c r="AW166" s="6"/>
      <c r="AX166" s="6"/>
      <c r="AY166" s="6"/>
      <c r="AZ166" s="6"/>
      <c r="BA166" s="6"/>
      <c r="BB166" s="6"/>
      <c r="BC166" s="6"/>
      <c r="BD166" s="6"/>
      <c r="BE166" s="6"/>
      <c r="BF166" s="3"/>
    </row>
    <row r="167" spans="3:58" x14ac:dyDescent="0.2"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6"/>
      <c r="AJ167" s="6"/>
      <c r="AK167" s="6"/>
      <c r="AL167" s="6"/>
      <c r="AM167" s="6"/>
      <c r="AN167" s="6"/>
      <c r="AO167" s="6"/>
      <c r="AP167" s="6"/>
      <c r="AQ167" s="6"/>
      <c r="AR167" s="6"/>
      <c r="AS167" s="6"/>
      <c r="AT167" s="6"/>
      <c r="AU167" s="6"/>
      <c r="AV167" s="6"/>
      <c r="AW167" s="6"/>
      <c r="AX167" s="6"/>
      <c r="AY167" s="6"/>
      <c r="AZ167" s="6"/>
      <c r="BA167" s="6"/>
      <c r="BB167" s="6"/>
      <c r="BC167" s="6"/>
      <c r="BD167" s="6"/>
      <c r="BE167" s="6"/>
      <c r="BF167" s="3"/>
    </row>
    <row r="168" spans="3:58" x14ac:dyDescent="0.2"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6"/>
      <c r="AJ168" s="6"/>
      <c r="AK168" s="6"/>
      <c r="AL168" s="6"/>
      <c r="AM168" s="6"/>
      <c r="AN168" s="6"/>
      <c r="AO168" s="6"/>
      <c r="AP168" s="6"/>
      <c r="AQ168" s="6"/>
      <c r="AR168" s="6"/>
      <c r="AS168" s="6"/>
      <c r="AT168" s="6"/>
      <c r="AU168" s="6"/>
      <c r="AV168" s="6"/>
      <c r="AW168" s="6"/>
      <c r="AX168" s="6"/>
      <c r="AY168" s="6"/>
      <c r="AZ168" s="6"/>
      <c r="BA168" s="6"/>
      <c r="BB168" s="6"/>
      <c r="BC168" s="6"/>
      <c r="BD168" s="6"/>
      <c r="BE168" s="6"/>
      <c r="BF168" s="3"/>
    </row>
    <row r="169" spans="3:58" x14ac:dyDescent="0.2"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6"/>
      <c r="AJ169" s="6"/>
      <c r="AK169" s="6"/>
      <c r="AL169" s="6"/>
      <c r="AM169" s="6"/>
      <c r="AN169" s="6"/>
      <c r="AO169" s="6"/>
      <c r="AP169" s="6"/>
      <c r="AQ169" s="6"/>
      <c r="AR169" s="6"/>
      <c r="AS169" s="6"/>
      <c r="AT169" s="6"/>
      <c r="AU169" s="6"/>
      <c r="AV169" s="6"/>
      <c r="AW169" s="6"/>
      <c r="AX169" s="6"/>
      <c r="AY169" s="6"/>
      <c r="AZ169" s="6"/>
      <c r="BA169" s="6"/>
      <c r="BB169" s="6"/>
      <c r="BC169" s="6"/>
      <c r="BD169" s="6"/>
      <c r="BE169" s="6"/>
      <c r="BF169" s="3"/>
    </row>
    <row r="170" spans="3:58" x14ac:dyDescent="0.2"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6"/>
      <c r="AJ170" s="6"/>
      <c r="AK170" s="6"/>
      <c r="AL170" s="6"/>
      <c r="AM170" s="6"/>
      <c r="AN170" s="6"/>
      <c r="AO170" s="6"/>
      <c r="AP170" s="6"/>
      <c r="AQ170" s="6"/>
      <c r="AR170" s="6"/>
      <c r="AS170" s="6"/>
      <c r="AT170" s="6"/>
      <c r="AU170" s="6"/>
      <c r="AV170" s="6"/>
      <c r="AW170" s="6"/>
      <c r="AX170" s="6"/>
      <c r="AY170" s="6"/>
      <c r="AZ170" s="6"/>
      <c r="BA170" s="6"/>
      <c r="BB170" s="6"/>
      <c r="BC170" s="6"/>
      <c r="BD170" s="6"/>
      <c r="BE170" s="6"/>
      <c r="BF170" s="3"/>
    </row>
    <row r="171" spans="3:58" x14ac:dyDescent="0.2"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6"/>
      <c r="AJ171" s="6"/>
      <c r="AK171" s="6"/>
      <c r="AL171" s="6"/>
      <c r="AM171" s="6"/>
      <c r="AN171" s="6"/>
      <c r="AO171" s="6"/>
      <c r="AP171" s="6"/>
      <c r="AQ171" s="6"/>
      <c r="AR171" s="6"/>
      <c r="AS171" s="6"/>
      <c r="AT171" s="6"/>
      <c r="AU171" s="6"/>
      <c r="AV171" s="6"/>
      <c r="AW171" s="6"/>
      <c r="AX171" s="6"/>
      <c r="AY171" s="6"/>
      <c r="AZ171" s="6"/>
      <c r="BA171" s="6"/>
      <c r="BB171" s="6"/>
      <c r="BC171" s="6"/>
      <c r="BD171" s="6"/>
      <c r="BE171" s="6"/>
      <c r="BF171" s="3"/>
    </row>
    <row r="172" spans="3:58" x14ac:dyDescent="0.2"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6"/>
      <c r="AJ172" s="6"/>
      <c r="AK172" s="6"/>
      <c r="AL172" s="6"/>
      <c r="AM172" s="6"/>
      <c r="AN172" s="6"/>
      <c r="AO172" s="6"/>
      <c r="AP172" s="6"/>
      <c r="AQ172" s="6"/>
      <c r="AR172" s="6"/>
      <c r="AS172" s="6"/>
      <c r="AT172" s="6"/>
      <c r="AU172" s="6"/>
      <c r="AV172" s="6"/>
      <c r="AW172" s="6"/>
      <c r="AX172" s="6"/>
      <c r="AY172" s="6"/>
      <c r="AZ172" s="6"/>
      <c r="BA172" s="6"/>
      <c r="BB172" s="6"/>
      <c r="BC172" s="6"/>
      <c r="BD172" s="6"/>
      <c r="BE172" s="6"/>
      <c r="BF172" s="3"/>
    </row>
    <row r="173" spans="3:58" x14ac:dyDescent="0.2"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6"/>
      <c r="AJ173" s="6"/>
      <c r="AK173" s="6"/>
      <c r="AL173" s="6"/>
      <c r="AM173" s="6"/>
      <c r="AN173" s="6"/>
      <c r="AO173" s="6"/>
      <c r="AP173" s="6"/>
      <c r="AQ173" s="6"/>
      <c r="AR173" s="6"/>
      <c r="AS173" s="6"/>
      <c r="AT173" s="6"/>
      <c r="AU173" s="6"/>
      <c r="AV173" s="6"/>
      <c r="AW173" s="6"/>
      <c r="AX173" s="6"/>
      <c r="AY173" s="6"/>
      <c r="AZ173" s="6"/>
      <c r="BA173" s="6"/>
      <c r="BB173" s="6"/>
      <c r="BC173" s="6"/>
      <c r="BD173" s="6"/>
      <c r="BE173" s="6"/>
      <c r="BF173" s="3"/>
    </row>
    <row r="174" spans="3:58" x14ac:dyDescent="0.2"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6"/>
      <c r="AJ174" s="6"/>
      <c r="AK174" s="6"/>
      <c r="AL174" s="6"/>
      <c r="AM174" s="6"/>
      <c r="AN174" s="6"/>
      <c r="AO174" s="6"/>
      <c r="AP174" s="6"/>
      <c r="AQ174" s="6"/>
      <c r="AR174" s="6"/>
      <c r="AS174" s="6"/>
      <c r="AT174" s="6"/>
      <c r="AU174" s="6"/>
      <c r="AV174" s="6"/>
      <c r="AW174" s="6"/>
      <c r="AX174" s="6"/>
      <c r="AY174" s="6"/>
      <c r="AZ174" s="6"/>
      <c r="BA174" s="6"/>
      <c r="BB174" s="6"/>
      <c r="BC174" s="6"/>
      <c r="BD174" s="6"/>
      <c r="BE174" s="6"/>
      <c r="BF174" s="3"/>
    </row>
    <row r="175" spans="3:58" x14ac:dyDescent="0.2"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6"/>
      <c r="AJ175" s="6"/>
      <c r="AK175" s="6"/>
      <c r="AL175" s="6"/>
      <c r="AM175" s="6"/>
      <c r="AN175" s="6"/>
      <c r="AO175" s="6"/>
      <c r="AP175" s="6"/>
      <c r="AQ175" s="6"/>
      <c r="AR175" s="6"/>
      <c r="AS175" s="6"/>
      <c r="AT175" s="6"/>
      <c r="AU175" s="6"/>
      <c r="AV175" s="6"/>
      <c r="AW175" s="6"/>
      <c r="AX175" s="6"/>
      <c r="AY175" s="6"/>
      <c r="AZ175" s="6"/>
      <c r="BA175" s="6"/>
      <c r="BB175" s="6"/>
      <c r="BC175" s="6"/>
      <c r="BD175" s="6"/>
      <c r="BE175" s="6"/>
      <c r="BF175" s="3"/>
    </row>
    <row r="176" spans="3:58" x14ac:dyDescent="0.2"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6"/>
      <c r="AJ176" s="6"/>
      <c r="AK176" s="6"/>
      <c r="AL176" s="6"/>
      <c r="AM176" s="6"/>
      <c r="AN176" s="6"/>
      <c r="AO176" s="6"/>
      <c r="AP176" s="6"/>
      <c r="AQ176" s="6"/>
      <c r="AR176" s="6"/>
      <c r="AS176" s="6"/>
      <c r="AT176" s="6"/>
      <c r="AU176" s="6"/>
      <c r="AV176" s="6"/>
      <c r="AW176" s="6"/>
      <c r="AX176" s="6"/>
      <c r="AY176" s="6"/>
      <c r="AZ176" s="6"/>
      <c r="BA176" s="6"/>
      <c r="BB176" s="6"/>
      <c r="BC176" s="6"/>
      <c r="BD176" s="6"/>
      <c r="BE176" s="6"/>
      <c r="BF176" s="3"/>
    </row>
    <row r="177" spans="3:58" x14ac:dyDescent="0.2"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6"/>
      <c r="AJ177" s="6"/>
      <c r="AK177" s="6"/>
      <c r="AL177" s="6"/>
      <c r="AM177" s="6"/>
      <c r="AN177" s="6"/>
      <c r="AO177" s="6"/>
      <c r="AP177" s="6"/>
      <c r="AQ177" s="6"/>
      <c r="AR177" s="6"/>
      <c r="AS177" s="6"/>
      <c r="AT177" s="6"/>
      <c r="AU177" s="6"/>
      <c r="AV177" s="6"/>
      <c r="AW177" s="6"/>
      <c r="AX177" s="6"/>
      <c r="AY177" s="6"/>
      <c r="AZ177" s="6"/>
      <c r="BA177" s="6"/>
      <c r="BB177" s="6"/>
      <c r="BC177" s="6"/>
      <c r="BD177" s="6"/>
      <c r="BE177" s="6"/>
      <c r="BF177" s="3"/>
    </row>
    <row r="178" spans="3:58" x14ac:dyDescent="0.2"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  <c r="BF178" s="3"/>
    </row>
    <row r="179" spans="3:58" x14ac:dyDescent="0.2"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  <c r="BF179" s="3"/>
    </row>
    <row r="180" spans="3:58" x14ac:dyDescent="0.2"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  <c r="BF180" s="3"/>
    </row>
    <row r="181" spans="3:58" x14ac:dyDescent="0.2"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  <c r="BF181" s="3"/>
    </row>
    <row r="182" spans="3:58" x14ac:dyDescent="0.2"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  <c r="AW182" s="3"/>
      <c r="AX182" s="3"/>
      <c r="AY182" s="3"/>
      <c r="AZ182" s="3"/>
      <c r="BA182" s="3"/>
      <c r="BB182" s="3"/>
      <c r="BC182" s="3"/>
      <c r="BD182" s="3"/>
      <c r="BE182" s="3"/>
      <c r="BF182" s="3"/>
    </row>
    <row r="183" spans="3:58" x14ac:dyDescent="0.2"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  <c r="AW183" s="3"/>
      <c r="AX183" s="3"/>
      <c r="AY183" s="3"/>
      <c r="AZ183" s="3"/>
      <c r="BA183" s="3"/>
      <c r="BB183" s="3"/>
      <c r="BC183" s="3"/>
      <c r="BD183" s="3"/>
      <c r="BE183" s="3"/>
      <c r="BF183" s="3"/>
    </row>
    <row r="184" spans="3:58" x14ac:dyDescent="0.2"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  <c r="BF184" s="3"/>
    </row>
    <row r="185" spans="3:58" x14ac:dyDescent="0.2"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  <c r="BF185" s="3"/>
    </row>
    <row r="186" spans="3:58" x14ac:dyDescent="0.2"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  <c r="BF186" s="3"/>
    </row>
    <row r="187" spans="3:58" x14ac:dyDescent="0.2"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  <c r="BF187" s="3"/>
    </row>
    <row r="188" spans="3:58" x14ac:dyDescent="0.2"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  <c r="BF188" s="3"/>
    </row>
    <row r="189" spans="3:58" x14ac:dyDescent="0.2"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  <c r="BF189" s="3"/>
    </row>
    <row r="190" spans="3:58" x14ac:dyDescent="0.2"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  <c r="BF190" s="3"/>
    </row>
    <row r="191" spans="3:58" x14ac:dyDescent="0.2"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  <c r="BF191" s="3"/>
    </row>
    <row r="192" spans="3:58" x14ac:dyDescent="0.2"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  <c r="BF192" s="3"/>
    </row>
    <row r="193" spans="3:58" x14ac:dyDescent="0.2"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  <c r="BF193" s="3"/>
    </row>
    <row r="194" spans="3:58" x14ac:dyDescent="0.2"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  <c r="BF194" s="3"/>
    </row>
    <row r="195" spans="3:58" x14ac:dyDescent="0.2"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  <c r="BF195" s="3"/>
    </row>
    <row r="196" spans="3:58" x14ac:dyDescent="0.2"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  <c r="AL196" s="3"/>
      <c r="AM196" s="3"/>
      <c r="AN196" s="3"/>
      <c r="AO196" s="3"/>
      <c r="AP196" s="3"/>
      <c r="AQ196" s="3"/>
      <c r="AR196" s="3"/>
      <c r="AS196" s="3"/>
      <c r="AT196" s="3"/>
      <c r="AU196" s="3"/>
      <c r="AV196" s="3"/>
      <c r="AW196" s="3"/>
      <c r="AX196" s="3"/>
      <c r="AY196" s="3"/>
      <c r="AZ196" s="3"/>
      <c r="BA196" s="3"/>
      <c r="BB196" s="3"/>
      <c r="BC196" s="3"/>
      <c r="BD196" s="3"/>
      <c r="BE196" s="3"/>
      <c r="BF196" s="3"/>
    </row>
    <row r="197" spans="3:58" x14ac:dyDescent="0.2"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  <c r="AW197" s="3"/>
      <c r="AX197" s="3"/>
      <c r="AY197" s="3"/>
      <c r="AZ197" s="3"/>
      <c r="BA197" s="3"/>
      <c r="BB197" s="3"/>
      <c r="BC197" s="3"/>
      <c r="BD197" s="3"/>
      <c r="BE197" s="3"/>
      <c r="BF197" s="3"/>
    </row>
    <row r="198" spans="3:58" x14ac:dyDescent="0.2"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  <c r="BF198" s="3"/>
    </row>
    <row r="199" spans="3:58" x14ac:dyDescent="0.2"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  <c r="BF199" s="3"/>
    </row>
    <row r="200" spans="3:58" x14ac:dyDescent="0.2"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  <c r="BF200" s="3"/>
    </row>
    <row r="201" spans="3:58" x14ac:dyDescent="0.2"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  <c r="BF201" s="3"/>
    </row>
    <row r="202" spans="3:58" x14ac:dyDescent="0.2"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  <c r="BF202" s="3"/>
    </row>
    <row r="203" spans="3:58" x14ac:dyDescent="0.2"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  <c r="BF203" s="3"/>
    </row>
    <row r="204" spans="3:58" x14ac:dyDescent="0.2"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  <c r="BF204" s="3"/>
    </row>
    <row r="205" spans="3:58" x14ac:dyDescent="0.2"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  <c r="BF205" s="3"/>
    </row>
    <row r="206" spans="3:58" x14ac:dyDescent="0.2"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  <c r="BF206" s="3"/>
    </row>
    <row r="207" spans="3:58" x14ac:dyDescent="0.2"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  <c r="BF207" s="3"/>
    </row>
    <row r="208" spans="3:58" x14ac:dyDescent="0.2"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  <c r="BF208" s="3"/>
    </row>
    <row r="209" spans="3:58" x14ac:dyDescent="0.2"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  <c r="BF209" s="3"/>
    </row>
    <row r="210" spans="3:58" x14ac:dyDescent="0.2"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3"/>
      <c r="AI210" s="3"/>
      <c r="AJ210" s="3"/>
      <c r="AK210" s="3"/>
      <c r="AL210" s="3"/>
      <c r="AM210" s="3"/>
      <c r="AN210" s="3"/>
      <c r="AO210" s="3"/>
      <c r="AP210" s="3"/>
      <c r="AQ210" s="3"/>
      <c r="AR210" s="3"/>
      <c r="AS210" s="3"/>
      <c r="AT210" s="3"/>
      <c r="AU210" s="3"/>
      <c r="AV210" s="3"/>
      <c r="AW210" s="3"/>
      <c r="AX210" s="3"/>
      <c r="AY210" s="3"/>
      <c r="AZ210" s="3"/>
      <c r="BA210" s="3"/>
      <c r="BB210" s="3"/>
      <c r="BC210" s="3"/>
      <c r="BD210" s="3"/>
      <c r="BE210" s="3"/>
      <c r="BF210" s="3"/>
    </row>
    <row r="211" spans="3:58" x14ac:dyDescent="0.2"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3"/>
      <c r="AI211" s="3"/>
      <c r="AJ211" s="3"/>
      <c r="AK211" s="3"/>
      <c r="AL211" s="3"/>
      <c r="AM211" s="3"/>
      <c r="AN211" s="3"/>
      <c r="AO211" s="3"/>
      <c r="AP211" s="3"/>
      <c r="AQ211" s="3"/>
      <c r="AR211" s="3"/>
      <c r="AS211" s="3"/>
      <c r="AT211" s="3"/>
      <c r="AU211" s="3"/>
      <c r="AV211" s="3"/>
      <c r="AW211" s="3"/>
      <c r="AX211" s="3"/>
      <c r="AY211" s="3"/>
      <c r="AZ211" s="3"/>
      <c r="BA211" s="3"/>
      <c r="BB211" s="3"/>
      <c r="BC211" s="3"/>
      <c r="BD211" s="3"/>
      <c r="BE211" s="3"/>
      <c r="BF211" s="3"/>
    </row>
    <row r="212" spans="3:58" x14ac:dyDescent="0.2"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  <c r="BF212" s="3"/>
    </row>
    <row r="213" spans="3:58" x14ac:dyDescent="0.2"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  <c r="BF213" s="3"/>
    </row>
    <row r="214" spans="3:58" x14ac:dyDescent="0.2"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  <c r="BF214" s="3"/>
    </row>
    <row r="215" spans="3:58" x14ac:dyDescent="0.2"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  <c r="BF215" s="3"/>
    </row>
    <row r="216" spans="3:58" x14ac:dyDescent="0.2"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  <c r="BF216" s="3"/>
    </row>
    <row r="217" spans="3:58" x14ac:dyDescent="0.2"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  <c r="BF217" s="3"/>
    </row>
    <row r="218" spans="3:58" x14ac:dyDescent="0.2"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  <c r="BF218" s="3"/>
    </row>
    <row r="219" spans="3:58" x14ac:dyDescent="0.2"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  <c r="BF219" s="3"/>
    </row>
    <row r="220" spans="3:58" x14ac:dyDescent="0.2"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  <c r="BF220" s="3"/>
    </row>
    <row r="221" spans="3:58" x14ac:dyDescent="0.2"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  <c r="BF221" s="3"/>
    </row>
    <row r="222" spans="3:58" x14ac:dyDescent="0.2"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  <c r="BF222" s="3"/>
    </row>
    <row r="223" spans="3:58" x14ac:dyDescent="0.2"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  <c r="BF223" s="3"/>
    </row>
    <row r="224" spans="3:58" x14ac:dyDescent="0.2"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  <c r="AS224" s="3"/>
      <c r="AT224" s="3"/>
      <c r="AU224" s="3"/>
      <c r="AV224" s="3"/>
      <c r="AW224" s="3"/>
      <c r="AX224" s="3"/>
      <c r="AY224" s="3"/>
      <c r="AZ224" s="3"/>
      <c r="BA224" s="3"/>
      <c r="BB224" s="3"/>
      <c r="BC224" s="3"/>
      <c r="BD224" s="3"/>
      <c r="BE224" s="3"/>
      <c r="BF224" s="3"/>
    </row>
    <row r="225" spans="3:58" x14ac:dyDescent="0.2"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3"/>
      <c r="AI225" s="3"/>
      <c r="AJ225" s="3"/>
      <c r="AK225" s="3"/>
      <c r="AL225" s="3"/>
      <c r="AM225" s="3"/>
      <c r="AN225" s="3"/>
      <c r="AO225" s="3"/>
      <c r="AP225" s="3"/>
      <c r="AQ225" s="3"/>
      <c r="AR225" s="3"/>
      <c r="AS225" s="3"/>
      <c r="AT225" s="3"/>
      <c r="AU225" s="3"/>
      <c r="AV225" s="3"/>
      <c r="AW225" s="3"/>
      <c r="AX225" s="3"/>
      <c r="AY225" s="3"/>
      <c r="AZ225" s="3"/>
      <c r="BA225" s="3"/>
      <c r="BB225" s="3"/>
      <c r="BC225" s="3"/>
      <c r="BD225" s="3"/>
      <c r="BE225" s="3"/>
      <c r="BF225" s="3"/>
    </row>
    <row r="226" spans="3:58" x14ac:dyDescent="0.2"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  <c r="BF226" s="3"/>
    </row>
    <row r="227" spans="3:58" x14ac:dyDescent="0.2"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  <c r="BF227" s="3"/>
    </row>
    <row r="228" spans="3:58" x14ac:dyDescent="0.2"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  <c r="BF228" s="3"/>
    </row>
    <row r="229" spans="3:58" x14ac:dyDescent="0.2"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  <c r="BF229" s="3"/>
    </row>
    <row r="230" spans="3:58" x14ac:dyDescent="0.2"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  <c r="BF230" s="3"/>
    </row>
    <row r="231" spans="3:58" x14ac:dyDescent="0.2"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  <c r="BF231" s="3"/>
    </row>
    <row r="232" spans="3:58" x14ac:dyDescent="0.2"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  <c r="BF232" s="3"/>
    </row>
    <row r="233" spans="3:58" x14ac:dyDescent="0.2"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  <c r="BF233" s="3"/>
    </row>
    <row r="234" spans="3:58" x14ac:dyDescent="0.2"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  <c r="BF234" s="3"/>
    </row>
    <row r="235" spans="3:58" x14ac:dyDescent="0.2"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  <c r="BF235" s="3"/>
    </row>
    <row r="236" spans="3:58" x14ac:dyDescent="0.2"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  <c r="BF236" s="3"/>
    </row>
    <row r="237" spans="3:58" x14ac:dyDescent="0.2"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  <c r="BF237" s="3"/>
    </row>
    <row r="238" spans="3:58" x14ac:dyDescent="0.2"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3"/>
      <c r="AV238" s="3"/>
      <c r="AW238" s="3"/>
      <c r="AX238" s="3"/>
      <c r="AY238" s="3"/>
      <c r="AZ238" s="3"/>
      <c r="BA238" s="3"/>
      <c r="BB238" s="3"/>
      <c r="BC238" s="3"/>
      <c r="BD238" s="3"/>
      <c r="BE238" s="3"/>
      <c r="BF238" s="3"/>
    </row>
  </sheetData>
  <hyperlinks>
    <hyperlink ref="A1" location="Main!A1" display="Main" xr:uid="{08E1EF67-F17A-4BAD-A701-9638A3466497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2025-01-29T12:45:52Z</dcterms:created>
  <dcterms:modified xsi:type="dcterms:W3CDTF">2025-11-29T09:44:03Z</dcterms:modified>
</cp:coreProperties>
</file>