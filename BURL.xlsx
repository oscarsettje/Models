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D285976-44F2-45F8-B09B-B6DDD08457CB}" xr6:coauthVersionLast="47" xr6:coauthVersionMax="47" xr10:uidLastSave="{00000000-0000-0000-0000-000000000000}"/>
  <bookViews>
    <workbookView xWindow="19095" yWindow="0" windowWidth="19410" windowHeight="20985" xr2:uid="{C745F4EA-6A7E-4A07-A8BF-2B36F0EE508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2" l="1"/>
  <c r="P20" i="2"/>
  <c r="P17" i="2"/>
  <c r="P18" i="2"/>
  <c r="P15" i="2"/>
  <c r="P9" i="2"/>
  <c r="O28" i="2"/>
  <c r="N28" i="2"/>
  <c r="O27" i="2"/>
  <c r="N27" i="2"/>
  <c r="O26" i="2"/>
  <c r="N26" i="2"/>
  <c r="O25" i="2"/>
  <c r="N25" i="2"/>
  <c r="O22" i="2"/>
  <c r="N22" i="2"/>
  <c r="O20" i="2"/>
  <c r="N20" i="2"/>
  <c r="N18" i="2"/>
  <c r="O17" i="2"/>
  <c r="O15" i="2"/>
  <c r="O18" i="2" s="1"/>
  <c r="N15" i="2"/>
  <c r="O9" i="2"/>
  <c r="N9" i="2"/>
  <c r="O7" i="2"/>
  <c r="N7" i="2"/>
  <c r="Y17" i="2"/>
  <c r="Z17" i="2"/>
  <c r="AA17" i="2"/>
  <c r="Z7" i="2"/>
  <c r="Z9" i="2" s="1"/>
  <c r="Z15" i="2" s="1"/>
  <c r="Z18" i="2" s="1"/>
  <c r="Z20" i="2" s="1"/>
  <c r="Z22" i="2" s="1"/>
  <c r="Y7" i="2"/>
  <c r="Y9" i="2" s="1"/>
  <c r="Y15" i="2" s="1"/>
  <c r="X9" i="2"/>
  <c r="X15" i="2" s="1"/>
  <c r="X18" i="2" s="1"/>
  <c r="X20" i="2" s="1"/>
  <c r="W9" i="2"/>
  <c r="W15" i="2" s="1"/>
  <c r="W18" i="2" s="1"/>
  <c r="W20" i="2" s="1"/>
  <c r="V9" i="2"/>
  <c r="V15" i="2" s="1"/>
  <c r="V18" i="2" s="1"/>
  <c r="V20" i="2" s="1"/>
  <c r="U9" i="2"/>
  <c r="U15" i="2" s="1"/>
  <c r="U18" i="2" s="1"/>
  <c r="U20" i="2" s="1"/>
  <c r="T9" i="2"/>
  <c r="T15" i="2" s="1"/>
  <c r="T18" i="2" s="1"/>
  <c r="T20" i="2" s="1"/>
  <c r="AA7" i="2"/>
  <c r="AA9" i="2" s="1"/>
  <c r="AA15" i="2" s="1"/>
  <c r="M17" i="2"/>
  <c r="M7" i="2"/>
  <c r="M26" i="2" s="1"/>
  <c r="L7" i="2"/>
  <c r="L9" i="2" s="1"/>
  <c r="L15" i="2" s="1"/>
  <c r="K7" i="2"/>
  <c r="K26" i="2" s="1"/>
  <c r="I7" i="2"/>
  <c r="I9" i="2" s="1"/>
  <c r="I15" i="2" s="1"/>
  <c r="H7" i="2"/>
  <c r="H9" i="2" s="1"/>
  <c r="H15" i="2" s="1"/>
  <c r="H27" i="2" s="1"/>
  <c r="G7" i="2"/>
  <c r="G9" i="2" s="1"/>
  <c r="G15" i="2" s="1"/>
  <c r="G18" i="2" s="1"/>
  <c r="F7" i="2"/>
  <c r="F9" i="2" s="1"/>
  <c r="F15" i="2" s="1"/>
  <c r="F27" i="2" s="1"/>
  <c r="E7" i="2"/>
  <c r="E9" i="2" s="1"/>
  <c r="E15" i="2" s="1"/>
  <c r="E27" i="2" s="1"/>
  <c r="D7" i="2"/>
  <c r="D9" i="2" s="1"/>
  <c r="D15" i="2" s="1"/>
  <c r="D27" i="2" s="1"/>
  <c r="C7" i="2"/>
  <c r="C9" i="2" s="1"/>
  <c r="C15" i="2" s="1"/>
  <c r="C27" i="2" s="1"/>
  <c r="J7" i="2"/>
  <c r="J9" i="2" s="1"/>
  <c r="J15" i="2" s="1"/>
  <c r="J18" i="2" s="1"/>
  <c r="I4" i="1"/>
  <c r="AA18" i="2" l="1"/>
  <c r="AA20" i="2" s="1"/>
  <c r="AA22" i="2" s="1"/>
  <c r="L26" i="2"/>
  <c r="L25" i="2"/>
  <c r="L18" i="2"/>
  <c r="L27" i="2"/>
  <c r="M9" i="2"/>
  <c r="M15" i="2" s="1"/>
  <c r="K9" i="2"/>
  <c r="K15" i="2" s="1"/>
  <c r="M25" i="2"/>
  <c r="Y18" i="2"/>
  <c r="Y20" i="2" s="1"/>
  <c r="Y22" i="2" s="1"/>
  <c r="I7" i="1"/>
  <c r="K25" i="2"/>
  <c r="J25" i="2"/>
  <c r="J26" i="2"/>
  <c r="C26" i="2"/>
  <c r="D26" i="2"/>
  <c r="E26" i="2"/>
  <c r="F26" i="2"/>
  <c r="G26" i="2"/>
  <c r="H26" i="2"/>
  <c r="G25" i="2"/>
  <c r="H25" i="2"/>
  <c r="I25" i="2"/>
  <c r="J27" i="2"/>
  <c r="G28" i="2"/>
  <c r="G20" i="2"/>
  <c r="G22" i="2" s="1"/>
  <c r="J20" i="2"/>
  <c r="J22" i="2" s="1"/>
  <c r="J28" i="2"/>
  <c r="G27" i="2"/>
  <c r="C18" i="2"/>
  <c r="D18" i="2"/>
  <c r="E18" i="2"/>
  <c r="F18" i="2"/>
  <c r="H18" i="2"/>
  <c r="I26" i="2"/>
  <c r="K27" i="2" l="1"/>
  <c r="K18" i="2"/>
  <c r="M27" i="2"/>
  <c r="M18" i="2"/>
  <c r="L20" i="2"/>
  <c r="L22" i="2" s="1"/>
  <c r="L28" i="2"/>
  <c r="I27" i="2"/>
  <c r="I18" i="2"/>
  <c r="H20" i="2"/>
  <c r="H22" i="2" s="1"/>
  <c r="H28" i="2"/>
  <c r="F28" i="2"/>
  <c r="F20" i="2"/>
  <c r="F22" i="2" s="1"/>
  <c r="E28" i="2"/>
  <c r="E20" i="2"/>
  <c r="E22" i="2" s="1"/>
  <c r="D20" i="2"/>
  <c r="D22" i="2" s="1"/>
  <c r="D28" i="2"/>
  <c r="C28" i="2"/>
  <c r="C20" i="2"/>
  <c r="C22" i="2" s="1"/>
  <c r="M28" i="2" l="1"/>
  <c r="M20" i="2"/>
  <c r="M22" i="2" s="1"/>
  <c r="K28" i="2"/>
  <c r="K20" i="2"/>
  <c r="K22" i="2" s="1"/>
  <c r="I20" i="2"/>
  <c r="I22" i="2" s="1"/>
  <c r="I28" i="2"/>
</calcChain>
</file>

<file path=xl/sharedStrings.xml><?xml version="1.0" encoding="utf-8"?>
<sst xmlns="http://schemas.openxmlformats.org/spreadsheetml/2006/main" count="62" uniqueCount="58">
  <si>
    <t>Burlington Store</t>
  </si>
  <si>
    <t>numbers in mio USD</t>
  </si>
  <si>
    <t>Price</t>
  </si>
  <si>
    <t>Shares</t>
  </si>
  <si>
    <t>MC</t>
  </si>
  <si>
    <t>Cash</t>
  </si>
  <si>
    <t>Debt</t>
  </si>
  <si>
    <t>EV</t>
  </si>
  <si>
    <t>BURL</t>
  </si>
  <si>
    <t>IR</t>
  </si>
  <si>
    <t>Main</t>
  </si>
  <si>
    <t>Q124</t>
  </si>
  <si>
    <t>Q224</t>
  </si>
  <si>
    <t>Q324</t>
  </si>
  <si>
    <t>Q424</t>
  </si>
  <si>
    <t>Nets Sales</t>
  </si>
  <si>
    <t>Other Revenue</t>
  </si>
  <si>
    <t>Revenue</t>
  </si>
  <si>
    <t>COGS</t>
  </si>
  <si>
    <t>Gross Profit</t>
  </si>
  <si>
    <t>SG&amp;A</t>
  </si>
  <si>
    <t>Debt amendments</t>
  </si>
  <si>
    <t>D&amp;A</t>
  </si>
  <si>
    <t>Impairment charges</t>
  </si>
  <si>
    <t>Other income</t>
  </si>
  <si>
    <t>Operating Income</t>
  </si>
  <si>
    <t>Extinguishment of Debt</t>
  </si>
  <si>
    <t>Interest Expense</t>
  </si>
  <si>
    <t>Pretax Income</t>
  </si>
  <si>
    <t>Net Income</t>
  </si>
  <si>
    <t>EPS</t>
  </si>
  <si>
    <t>Revenue Growth</t>
  </si>
  <si>
    <t xml:space="preserve">Gross Margin </t>
  </si>
  <si>
    <t>Operating Margin</t>
  </si>
  <si>
    <t>Tax Rate</t>
  </si>
  <si>
    <t>Tax Expense</t>
  </si>
  <si>
    <t>Stores</t>
  </si>
  <si>
    <t>Number of Stores</t>
  </si>
  <si>
    <t>FY18</t>
  </si>
  <si>
    <t>FY19</t>
  </si>
  <si>
    <t>FY20</t>
  </si>
  <si>
    <t>FY21</t>
  </si>
  <si>
    <t>FY22</t>
  </si>
  <si>
    <t>FY23</t>
  </si>
  <si>
    <t>FY24</t>
  </si>
  <si>
    <t>Q125</t>
  </si>
  <si>
    <t>Q225</t>
  </si>
  <si>
    <t>Q325</t>
  </si>
  <si>
    <t>Q425</t>
  </si>
  <si>
    <t>Q123</t>
  </si>
  <si>
    <t>Q223</t>
  </si>
  <si>
    <t>Q323</t>
  </si>
  <si>
    <t>Q423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</si>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</sst>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7" fillId="0" borderId="0" xfId="0" applyFont="1"/>
    <xf numFmtId="0" fontId="5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2" applyFont="1"/>
    <xf numFmtId="164" fontId="5" fillId="0" borderId="0" xfId="0" applyNumberFormat="1" applyFont="1"/>
    <xf numFmtId="164" fontId="7" fillId="0" borderId="0" xfId="0" applyNumberFormat="1" applyFont="1"/>
    <xf numFmtId="9" fontId="7" fillId="0" borderId="0" xfId="1" applyFont="1"/>
    <xf numFmtId="9" fontId="5" fillId="0" borderId="0" xfId="1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" fontId="5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 customBuiltin="1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rlingtoninvest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F298-D9E0-4E7E-A11D-B7C7DAC26F50}">
  <dimension ref="A1:J10"/>
  <sheetViews>
    <sheetView tabSelected="1" topLeftCell="B1" zoomScale="200" zoomScaleNormal="200" workbookViewId="0">
      <selection activeCell="I7" sqref="I7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2</v>
      </c>
      <c r="I2" s="2">
        <v>294.94</v>
      </c>
    </row>
    <row r="3" spans="1:10" x14ac:dyDescent="0.2">
      <c r="H3" s="2" t="s">
        <v>3</v>
      </c>
      <c r="I3" s="6">
        <v>63.896000000000001</v>
      </c>
      <c r="J3" s="14" t="s">
        <v>55</v>
      </c>
    </row>
    <row r="4" spans="1:10" x14ac:dyDescent="0.2">
      <c r="B4" s="2" t="s">
        <v>8</v>
      </c>
      <c r="H4" s="2" t="s">
        <v>4</v>
      </c>
      <c r="I4" s="3">
        <f>+I2*I3</f>
        <v>18845.486239999998</v>
      </c>
    </row>
    <row r="5" spans="1:10" x14ac:dyDescent="0.2">
      <c r="B5" s="5" t="s">
        <v>9</v>
      </c>
      <c r="H5" s="2" t="s">
        <v>5</v>
      </c>
      <c r="I5" s="3">
        <v>703.68600000000004</v>
      </c>
      <c r="J5" s="14" t="s">
        <v>55</v>
      </c>
    </row>
    <row r="6" spans="1:10" x14ac:dyDescent="0.2">
      <c r="H6" s="2" t="s">
        <v>6</v>
      </c>
      <c r="I6" s="3">
        <v>1893.511</v>
      </c>
      <c r="J6" s="14" t="s">
        <v>55</v>
      </c>
    </row>
    <row r="7" spans="1:10" x14ac:dyDescent="0.2">
      <c r="H7" s="2" t="s">
        <v>7</v>
      </c>
      <c r="I7" s="3">
        <f>+I4-I5+I6</f>
        <v>20035.311239999995</v>
      </c>
    </row>
    <row r="10" spans="1:10" x14ac:dyDescent="0.2">
      <c r="H10" s="2" t="s">
        <v>36</v>
      </c>
      <c r="I10" s="3">
        <v>1007</v>
      </c>
      <c r="J10" s="3"/>
    </row>
  </sheetData>
  <hyperlinks>
    <hyperlink ref="B5" r:id="rId1" xr:uid="{3053613E-0124-492A-B2B5-4114B1194D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58BF-2B17-4548-B028-78081AE6CD78}">
  <dimension ref="A1:BJ238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23" sqref="P23"/>
    </sheetView>
  </sheetViews>
  <sheetFormatPr defaultRowHeight="12.75" x14ac:dyDescent="0.2"/>
  <cols>
    <col min="1" max="1" width="5.42578125" style="2" bestFit="1" customWidth="1"/>
    <col min="2" max="2" width="23" style="2" customWidth="1"/>
    <col min="3" max="16384" width="9.140625" style="2"/>
  </cols>
  <sheetData>
    <row r="1" spans="1:62" x14ac:dyDescent="0.2">
      <c r="A1" s="5" t="s">
        <v>10</v>
      </c>
    </row>
    <row r="2" spans="1:62" x14ac:dyDescent="0.2">
      <c r="C2" s="10" t="s">
        <v>49</v>
      </c>
      <c r="D2" s="10" t="s">
        <v>50</v>
      </c>
      <c r="E2" s="10" t="s">
        <v>51</v>
      </c>
      <c r="F2" s="10" t="s">
        <v>52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45</v>
      </c>
      <c r="L2" s="10" t="s">
        <v>46</v>
      </c>
      <c r="M2" s="10" t="s">
        <v>47</v>
      </c>
      <c r="N2" s="10" t="s">
        <v>48</v>
      </c>
      <c r="O2" s="13" t="s">
        <v>54</v>
      </c>
      <c r="P2" s="13" t="s">
        <v>55</v>
      </c>
      <c r="Q2" s="13" t="s">
        <v>56</v>
      </c>
      <c r="R2" s="13" t="s">
        <v>57</v>
      </c>
      <c r="T2" s="4" t="s">
        <v>38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11" t="s">
        <v>53</v>
      </c>
    </row>
    <row r="3" spans="1:62" x14ac:dyDescent="0.2">
      <c r="B3" s="2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Y3" s="2">
        <v>1107</v>
      </c>
      <c r="Z3" s="2">
        <v>1108</v>
      </c>
      <c r="AA3" s="2">
        <v>1212</v>
      </c>
    </row>
    <row r="4" spans="1:62" x14ac:dyDescent="0.2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62" x14ac:dyDescent="0.2">
      <c r="B5" s="2" t="s">
        <v>15</v>
      </c>
      <c r="C5" s="6"/>
      <c r="D5" s="6"/>
      <c r="E5" s="6">
        <v>2284.6729999999998</v>
      </c>
      <c r="F5" s="6"/>
      <c r="G5" s="6">
        <v>2357.3180000000002</v>
      </c>
      <c r="H5" s="6"/>
      <c r="I5" s="6">
        <v>2526.174</v>
      </c>
      <c r="J5" s="6"/>
      <c r="K5" s="6">
        <v>2500.0749999999998</v>
      </c>
      <c r="L5" s="6">
        <v>2701.0259999999998</v>
      </c>
      <c r="M5" s="6">
        <v>2706.0030000000002</v>
      </c>
      <c r="N5" s="6"/>
      <c r="O5" s="6">
        <v>2852.31</v>
      </c>
      <c r="P5" s="6">
        <v>2997.7779999999998</v>
      </c>
      <c r="Q5" s="6"/>
      <c r="R5" s="6"/>
      <c r="S5" s="6"/>
      <c r="T5" s="6"/>
      <c r="U5" s="6"/>
      <c r="V5" s="6"/>
      <c r="W5" s="6"/>
      <c r="X5" s="6"/>
      <c r="Y5" s="6">
        <v>9708.973</v>
      </c>
      <c r="Z5" s="6">
        <v>10616.743</v>
      </c>
      <c r="AA5" s="6">
        <v>11549.607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3"/>
    </row>
    <row r="6" spans="1:62" x14ac:dyDescent="0.2">
      <c r="B6" s="2" t="s">
        <v>16</v>
      </c>
      <c r="C6" s="6"/>
      <c r="D6" s="6"/>
      <c r="E6" s="6">
        <v>4.673</v>
      </c>
      <c r="F6" s="6"/>
      <c r="G6" s="6">
        <v>4.2350000000000003</v>
      </c>
      <c r="H6" s="6"/>
      <c r="I6" s="6">
        <v>4.5220000000000002</v>
      </c>
      <c r="J6" s="6"/>
      <c r="K6" s="6">
        <v>3.9449999999999998</v>
      </c>
      <c r="L6" s="6">
        <v>4.0449999999999999</v>
      </c>
      <c r="M6" s="6">
        <v>4.4370000000000003</v>
      </c>
      <c r="N6" s="6"/>
      <c r="O6" s="6">
        <v>4.1509999999999998</v>
      </c>
      <c r="P6" s="6">
        <v>4.4850000000000003</v>
      </c>
      <c r="Q6" s="6"/>
      <c r="R6" s="6"/>
      <c r="S6" s="6"/>
      <c r="T6" s="6"/>
      <c r="U6" s="6"/>
      <c r="V6" s="6"/>
      <c r="W6" s="6"/>
      <c r="X6" s="6"/>
      <c r="Y6" s="6">
        <v>18.494</v>
      </c>
      <c r="Z6" s="6">
        <v>18.079999999999998</v>
      </c>
      <c r="AA6" s="6">
        <v>17.303000000000001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3"/>
    </row>
    <row r="7" spans="1:62" x14ac:dyDescent="0.2">
      <c r="B7" s="1" t="s">
        <v>17</v>
      </c>
      <c r="C7" s="7">
        <f t="shared" ref="C7:I7" si="0">+C5+C6</f>
        <v>0</v>
      </c>
      <c r="D7" s="7">
        <f t="shared" si="0"/>
        <v>0</v>
      </c>
      <c r="E7" s="7">
        <f t="shared" si="0"/>
        <v>2289.3459999999995</v>
      </c>
      <c r="F7" s="7">
        <f t="shared" si="0"/>
        <v>0</v>
      </c>
      <c r="G7" s="7">
        <f t="shared" si="0"/>
        <v>2361.5530000000003</v>
      </c>
      <c r="H7" s="7">
        <f t="shared" si="0"/>
        <v>0</v>
      </c>
      <c r="I7" s="7">
        <f t="shared" si="0"/>
        <v>2530.6959999999999</v>
      </c>
      <c r="J7" s="7">
        <f>+J5+J6</f>
        <v>0</v>
      </c>
      <c r="K7" s="7">
        <f>+K5+K6</f>
        <v>2504.02</v>
      </c>
      <c r="L7" s="7">
        <f>+L5+L6</f>
        <v>2705.0709999999999</v>
      </c>
      <c r="M7" s="7">
        <f>+M5+M6</f>
        <v>2710.44</v>
      </c>
      <c r="N7" s="7">
        <f t="shared" ref="N7:O7" si="1">+N5+N6</f>
        <v>0</v>
      </c>
      <c r="O7" s="7">
        <f t="shared" si="1"/>
        <v>2856.4609999999998</v>
      </c>
      <c r="P7" s="7">
        <v>3002.2629999999999</v>
      </c>
      <c r="Q7" s="7"/>
      <c r="R7" s="7"/>
      <c r="S7" s="6"/>
      <c r="T7" s="6"/>
      <c r="U7" s="6"/>
      <c r="V7" s="6"/>
      <c r="W7" s="6"/>
      <c r="X7" s="6"/>
      <c r="Y7" s="7">
        <f t="shared" ref="Y7:Z7" si="2">+Y5+Y6</f>
        <v>9727.4670000000006</v>
      </c>
      <c r="Z7" s="7">
        <f t="shared" si="2"/>
        <v>10634.823</v>
      </c>
      <c r="AA7" s="7">
        <f>+AA5+AA6</f>
        <v>11566.91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3"/>
    </row>
    <row r="8" spans="1:62" x14ac:dyDescent="0.2">
      <c r="B8" s="2" t="s">
        <v>18</v>
      </c>
      <c r="C8" s="6"/>
      <c r="D8" s="6"/>
      <c r="E8" s="6">
        <v>1297.8050000000001</v>
      </c>
      <c r="F8" s="6"/>
      <c r="G8" s="6">
        <v>1330.7260000000001</v>
      </c>
      <c r="H8" s="6"/>
      <c r="I8" s="6">
        <v>1418.143</v>
      </c>
      <c r="J8" s="6"/>
      <c r="K8" s="6">
        <v>1405.0909999999999</v>
      </c>
      <c r="L8" s="6">
        <v>1519.6289999999999</v>
      </c>
      <c r="M8" s="6">
        <v>1509.8530000000001</v>
      </c>
      <c r="N8" s="6"/>
      <c r="O8" s="6">
        <v>1594.8040000000001</v>
      </c>
      <c r="P8" s="6">
        <v>1614.011</v>
      </c>
      <c r="Q8" s="6"/>
      <c r="R8" s="6"/>
      <c r="S8" s="6"/>
      <c r="T8" s="6"/>
      <c r="U8" s="6"/>
      <c r="V8" s="6"/>
      <c r="W8" s="6"/>
      <c r="X8" s="6"/>
      <c r="Y8" s="6">
        <v>5584.06</v>
      </c>
      <c r="Z8" s="6">
        <v>6025.2719999999999</v>
      </c>
      <c r="AA8" s="6">
        <v>6486.9219999999996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3"/>
    </row>
    <row r="9" spans="1:62" x14ac:dyDescent="0.2">
      <c r="B9" s="2" t="s">
        <v>19</v>
      </c>
      <c r="C9" s="6">
        <f t="shared" ref="C9:H9" si="3">+C7-C8</f>
        <v>0</v>
      </c>
      <c r="D9" s="6">
        <f t="shared" si="3"/>
        <v>0</v>
      </c>
      <c r="E9" s="6">
        <f t="shared" si="3"/>
        <v>991.54099999999949</v>
      </c>
      <c r="F9" s="6">
        <f t="shared" si="3"/>
        <v>0</v>
      </c>
      <c r="G9" s="6">
        <f t="shared" si="3"/>
        <v>1030.8270000000002</v>
      </c>
      <c r="H9" s="6">
        <f t="shared" si="3"/>
        <v>0</v>
      </c>
      <c r="I9" s="6">
        <f>+I7-I8</f>
        <v>1112.5529999999999</v>
      </c>
      <c r="J9" s="6">
        <f t="shared" ref="J9:P9" si="4">+J7-J8</f>
        <v>0</v>
      </c>
      <c r="K9" s="6">
        <f t="shared" si="4"/>
        <v>1098.9290000000001</v>
      </c>
      <c r="L9" s="6">
        <f t="shared" si="4"/>
        <v>1185.442</v>
      </c>
      <c r="M9" s="6">
        <f t="shared" si="4"/>
        <v>1200.587</v>
      </c>
      <c r="N9" s="6">
        <f t="shared" si="4"/>
        <v>0</v>
      </c>
      <c r="O9" s="6">
        <f t="shared" si="4"/>
        <v>1261.6569999999997</v>
      </c>
      <c r="P9" s="6">
        <f t="shared" si="4"/>
        <v>1388.252</v>
      </c>
      <c r="Q9" s="6"/>
      <c r="R9" s="6"/>
      <c r="S9" s="6"/>
      <c r="T9" s="6">
        <f t="shared" ref="T9:AA9" si="5">+T7-T8</f>
        <v>0</v>
      </c>
      <c r="U9" s="6">
        <f t="shared" si="5"/>
        <v>0</v>
      </c>
      <c r="V9" s="6">
        <f t="shared" si="5"/>
        <v>0</v>
      </c>
      <c r="W9" s="6">
        <f t="shared" si="5"/>
        <v>0</v>
      </c>
      <c r="X9" s="6">
        <f t="shared" si="5"/>
        <v>0</v>
      </c>
      <c r="Y9" s="6">
        <f t="shared" si="5"/>
        <v>4143.4070000000002</v>
      </c>
      <c r="Z9" s="6">
        <f t="shared" si="5"/>
        <v>4609.5510000000004</v>
      </c>
      <c r="AA9" s="6">
        <f t="shared" si="5"/>
        <v>5079.9880000000003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3"/>
    </row>
    <row r="10" spans="1:62" x14ac:dyDescent="0.2">
      <c r="B10" s="2" t="s">
        <v>20</v>
      </c>
      <c r="C10" s="6"/>
      <c r="D10" s="6"/>
      <c r="E10" s="6">
        <v>826.822</v>
      </c>
      <c r="F10" s="6"/>
      <c r="G10" s="6">
        <v>825.226</v>
      </c>
      <c r="H10" s="6"/>
      <c r="I10" s="6">
        <v>893.09199999999998</v>
      </c>
      <c r="J10" s="6"/>
      <c r="K10" s="6">
        <v>868.05799999999999</v>
      </c>
      <c r="L10" s="6">
        <v>949.93100000000004</v>
      </c>
      <c r="M10" s="6">
        <v>947.51800000000003</v>
      </c>
      <c r="N10" s="6"/>
      <c r="O10" s="6">
        <v>989.37400000000002</v>
      </c>
      <c r="P10" s="6">
        <v>1019.173</v>
      </c>
      <c r="Q10" s="6"/>
      <c r="R10" s="6"/>
      <c r="S10" s="6"/>
      <c r="T10" s="6"/>
      <c r="U10" s="6"/>
      <c r="V10" s="6"/>
      <c r="W10" s="6"/>
      <c r="X10" s="6"/>
      <c r="Y10" s="6">
        <v>3288.3150000000001</v>
      </c>
      <c r="Z10" s="6">
        <v>3546.9670000000001</v>
      </c>
      <c r="AA10" s="6">
        <v>3817.18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3"/>
    </row>
    <row r="11" spans="1:62" x14ac:dyDescent="0.2">
      <c r="B11" s="2" t="s">
        <v>21</v>
      </c>
      <c r="C11" s="6"/>
      <c r="D11" s="6"/>
      <c r="E11" s="6">
        <v>0</v>
      </c>
      <c r="F11" s="6"/>
      <c r="G11" s="6">
        <v>0</v>
      </c>
      <c r="H11" s="6"/>
      <c r="I11" s="6">
        <v>4.5330000000000004</v>
      </c>
      <c r="J11" s="6"/>
      <c r="K11" s="6">
        <v>0.112</v>
      </c>
      <c r="L11" s="6">
        <v>0</v>
      </c>
      <c r="M11" s="6">
        <v>0</v>
      </c>
      <c r="N11" s="6"/>
      <c r="O11" s="6">
        <v>15.315</v>
      </c>
      <c r="P11" s="6">
        <v>0</v>
      </c>
      <c r="Q11" s="6"/>
      <c r="R11" s="6"/>
      <c r="S11" s="6"/>
      <c r="T11" s="6"/>
      <c r="U11" s="6"/>
      <c r="V11" s="6"/>
      <c r="W11" s="6"/>
      <c r="X11" s="6"/>
      <c r="Y11" s="6">
        <v>9.7000000000000003E-2</v>
      </c>
      <c r="Z11" s="6">
        <v>4.5529999999999999</v>
      </c>
      <c r="AA11" s="6">
        <v>0.112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3"/>
    </row>
    <row r="12" spans="1:62" x14ac:dyDescent="0.2">
      <c r="B12" s="2" t="s">
        <v>22</v>
      </c>
      <c r="C12" s="6"/>
      <c r="D12" s="6"/>
      <c r="E12" s="6">
        <v>76.087000000000003</v>
      </c>
      <c r="F12" s="6"/>
      <c r="G12" s="6">
        <v>81.965000000000003</v>
      </c>
      <c r="H12" s="6"/>
      <c r="I12" s="6">
        <v>87.47</v>
      </c>
      <c r="J12" s="6"/>
      <c r="K12" s="6">
        <v>91.783000000000001</v>
      </c>
      <c r="L12" s="6">
        <v>94.81</v>
      </c>
      <c r="M12" s="6">
        <v>99.283000000000001</v>
      </c>
      <c r="N12" s="6"/>
      <c r="O12" s="6">
        <v>104.607</v>
      </c>
      <c r="P12" s="6">
        <v>114.02200000000001</v>
      </c>
      <c r="Q12" s="6"/>
      <c r="R12" s="6"/>
      <c r="S12" s="6"/>
      <c r="T12" s="6"/>
      <c r="U12" s="6"/>
      <c r="V12" s="6"/>
      <c r="W12" s="6"/>
      <c r="X12" s="6"/>
      <c r="Y12" s="6">
        <v>307.06400000000002</v>
      </c>
      <c r="Z12" s="6">
        <v>347.57499999999999</v>
      </c>
      <c r="AA12" s="6">
        <v>417.87099999999998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3"/>
    </row>
    <row r="13" spans="1:62" x14ac:dyDescent="0.2">
      <c r="B13" s="2" t="s">
        <v>23</v>
      </c>
      <c r="C13" s="6"/>
      <c r="D13" s="6"/>
      <c r="E13" s="6">
        <v>0.81399999999999995</v>
      </c>
      <c r="F13" s="6"/>
      <c r="G13" s="6">
        <v>8.2100000000000009</v>
      </c>
      <c r="H13" s="6"/>
      <c r="I13" s="6">
        <v>3.044</v>
      </c>
      <c r="J13" s="6"/>
      <c r="K13" s="6">
        <v>0.51600000000000001</v>
      </c>
      <c r="L13" s="6">
        <v>1.58</v>
      </c>
      <c r="M13" s="6">
        <v>3.786</v>
      </c>
      <c r="N13" s="6"/>
      <c r="O13" s="6">
        <v>0.80700000000000005</v>
      </c>
      <c r="P13" s="6">
        <v>3.577</v>
      </c>
      <c r="Q13" s="6"/>
      <c r="R13" s="6"/>
      <c r="S13" s="6"/>
      <c r="T13" s="6"/>
      <c r="U13" s="6"/>
      <c r="V13" s="6"/>
      <c r="W13" s="6"/>
      <c r="X13" s="6"/>
      <c r="Y13" s="6">
        <v>6.367</v>
      </c>
      <c r="Z13" s="6">
        <v>12.920999999999999</v>
      </c>
      <c r="AA13" s="6">
        <v>9.8569999999999993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3"/>
    </row>
    <row r="14" spans="1:62" x14ac:dyDescent="0.2">
      <c r="B14" s="2" t="s">
        <v>24</v>
      </c>
      <c r="C14" s="6"/>
      <c r="D14" s="6"/>
      <c r="E14" s="6">
        <v>12.384</v>
      </c>
      <c r="F14" s="6"/>
      <c r="G14" s="6">
        <v>10.862</v>
      </c>
      <c r="H14" s="6"/>
      <c r="I14" s="6">
        <v>12.824999999999999</v>
      </c>
      <c r="J14" s="6"/>
      <c r="K14" s="6">
        <v>10.222</v>
      </c>
      <c r="L14" s="6">
        <v>5.63</v>
      </c>
      <c r="M14" s="6">
        <v>2.3090000000000002</v>
      </c>
      <c r="N14" s="6"/>
      <c r="O14" s="6">
        <v>1.4490000000000001</v>
      </c>
      <c r="P14" s="6">
        <v>4.1559999999999997</v>
      </c>
      <c r="Q14" s="6"/>
      <c r="R14" s="6"/>
      <c r="S14" s="6"/>
      <c r="T14" s="6"/>
      <c r="U14" s="6"/>
      <c r="V14" s="6"/>
      <c r="W14" s="6"/>
      <c r="X14" s="6"/>
      <c r="Y14" s="6">
        <v>16.248999999999999</v>
      </c>
      <c r="Z14" s="6">
        <v>16.693999999999999</v>
      </c>
      <c r="AA14" s="6">
        <v>31.286999999999999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3"/>
    </row>
    <row r="15" spans="1:62" x14ac:dyDescent="0.2">
      <c r="B15" s="2" t="s">
        <v>25</v>
      </c>
      <c r="C15" s="6">
        <f t="shared" ref="C15:H15" si="6">+C9-SUM(C10:C13)+C14</f>
        <v>0</v>
      </c>
      <c r="D15" s="6">
        <f t="shared" si="6"/>
        <v>0</v>
      </c>
      <c r="E15" s="6">
        <f t="shared" si="6"/>
        <v>100.20199999999953</v>
      </c>
      <c r="F15" s="6">
        <f t="shared" si="6"/>
        <v>0</v>
      </c>
      <c r="G15" s="6">
        <f t="shared" si="6"/>
        <v>126.28800000000015</v>
      </c>
      <c r="H15" s="6">
        <f t="shared" si="6"/>
        <v>0</v>
      </c>
      <c r="I15" s="6">
        <f>+I9-SUM(I10:I13)+I14</f>
        <v>137.23899999999986</v>
      </c>
      <c r="J15" s="6">
        <f t="shared" ref="J15:P15" si="7">+J9-SUM(J10:J13)+J14</f>
        <v>0</v>
      </c>
      <c r="K15" s="6">
        <f t="shared" si="7"/>
        <v>148.68200000000016</v>
      </c>
      <c r="L15" s="6">
        <f t="shared" si="7"/>
        <v>144.75100000000009</v>
      </c>
      <c r="M15" s="6">
        <f t="shared" si="7"/>
        <v>152.309</v>
      </c>
      <c r="N15" s="6">
        <f t="shared" si="7"/>
        <v>0</v>
      </c>
      <c r="O15" s="6">
        <f t="shared" si="7"/>
        <v>153.00299999999964</v>
      </c>
      <c r="P15" s="6">
        <f t="shared" si="7"/>
        <v>255.63600000000002</v>
      </c>
      <c r="Q15" s="6"/>
      <c r="R15" s="6"/>
      <c r="S15" s="6"/>
      <c r="T15" s="6">
        <f t="shared" ref="T15:AA15" si="8">+T9-SUM(T10:T13)+T14</f>
        <v>0</v>
      </c>
      <c r="U15" s="6">
        <f t="shared" si="8"/>
        <v>0</v>
      </c>
      <c r="V15" s="6">
        <f t="shared" si="8"/>
        <v>0</v>
      </c>
      <c r="W15" s="6">
        <f t="shared" si="8"/>
        <v>0</v>
      </c>
      <c r="X15" s="6">
        <f t="shared" si="8"/>
        <v>0</v>
      </c>
      <c r="Y15" s="6">
        <f t="shared" si="8"/>
        <v>557.81299999999987</v>
      </c>
      <c r="Z15" s="6">
        <f t="shared" si="8"/>
        <v>714.22900000000072</v>
      </c>
      <c r="AA15" s="6">
        <f t="shared" si="8"/>
        <v>866.25500000000079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3"/>
    </row>
    <row r="16" spans="1:62" x14ac:dyDescent="0.2">
      <c r="B16" s="2" t="s">
        <v>26</v>
      </c>
      <c r="C16" s="6"/>
      <c r="D16" s="6"/>
      <c r="E16" s="6">
        <v>13.63</v>
      </c>
      <c r="F16" s="6"/>
      <c r="G16" s="6">
        <v>0</v>
      </c>
      <c r="H16" s="6"/>
      <c r="I16" s="6">
        <v>1.4119999999999999</v>
      </c>
      <c r="J16" s="6"/>
      <c r="K16" s="6">
        <v>0</v>
      </c>
      <c r="L16" s="6">
        <v>0</v>
      </c>
      <c r="M16" s="6">
        <v>0</v>
      </c>
      <c r="N16" s="6"/>
      <c r="O16" s="6">
        <v>0</v>
      </c>
      <c r="P16" s="6">
        <v>0</v>
      </c>
      <c r="Q16" s="6"/>
      <c r="R16" s="6"/>
      <c r="S16" s="6"/>
      <c r="T16" s="6"/>
      <c r="U16" s="6"/>
      <c r="V16" s="6"/>
      <c r="W16" s="6"/>
      <c r="X16" s="6"/>
      <c r="Y16" s="6">
        <v>38.274000000000001</v>
      </c>
      <c r="Z16" s="6">
        <v>1.4119999999999999</v>
      </c>
      <c r="AA16" s="6">
        <v>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3"/>
    </row>
    <row r="17" spans="2:62" x14ac:dyDescent="0.2">
      <c r="B17" s="2" t="s">
        <v>27</v>
      </c>
      <c r="C17" s="6"/>
      <c r="D17" s="6"/>
      <c r="E17" s="6">
        <v>19.68</v>
      </c>
      <c r="F17" s="6"/>
      <c r="G17" s="6">
        <v>16.649000000000001</v>
      </c>
      <c r="H17" s="6"/>
      <c r="I17" s="6">
        <v>17.768999999999998</v>
      </c>
      <c r="J17" s="6"/>
      <c r="K17" s="6">
        <v>15.81</v>
      </c>
      <c r="L17" s="6">
        <v>17.427</v>
      </c>
      <c r="M17" s="6">
        <f>19.154-4.904</f>
        <v>14.25</v>
      </c>
      <c r="N17" s="6"/>
      <c r="O17" s="6">
        <f>16.495-6.161</f>
        <v>10.334000000000001</v>
      </c>
      <c r="P17" s="6">
        <f>19.659-6.14</f>
        <v>13.518999999999998</v>
      </c>
      <c r="Q17" s="6"/>
      <c r="R17" s="6"/>
      <c r="S17" s="6"/>
      <c r="T17" s="6"/>
      <c r="U17" s="6"/>
      <c r="V17" s="6"/>
      <c r="W17" s="6"/>
      <c r="X17" s="6"/>
      <c r="Y17" s="6">
        <f>-24.633+78.399</f>
        <v>53.766000000000005</v>
      </c>
      <c r="Z17" s="6">
        <f>69.522-31.519</f>
        <v>38.003000000000007</v>
      </c>
      <c r="AA17" s="6">
        <f>71.041-20.904</f>
        <v>50.137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3"/>
    </row>
    <row r="18" spans="2:62" x14ac:dyDescent="0.2">
      <c r="B18" s="2" t="s">
        <v>28</v>
      </c>
      <c r="C18" s="6">
        <f t="shared" ref="C18:H18" si="9">+C15-C16-C17</f>
        <v>0</v>
      </c>
      <c r="D18" s="6">
        <f t="shared" si="9"/>
        <v>0</v>
      </c>
      <c r="E18" s="6">
        <f t="shared" si="9"/>
        <v>66.891999999999541</v>
      </c>
      <c r="F18" s="6">
        <f t="shared" si="9"/>
        <v>0</v>
      </c>
      <c r="G18" s="6">
        <f t="shared" si="9"/>
        <v>109.63900000000015</v>
      </c>
      <c r="H18" s="6">
        <f t="shared" si="9"/>
        <v>0</v>
      </c>
      <c r="I18" s="6">
        <f>+I15-I16-I17</f>
        <v>118.05799999999985</v>
      </c>
      <c r="J18" s="6">
        <f t="shared" ref="J18:P18" si="10">+J15-J16-J17</f>
        <v>0</v>
      </c>
      <c r="K18" s="6">
        <f t="shared" si="10"/>
        <v>132.87200000000016</v>
      </c>
      <c r="L18" s="6">
        <f t="shared" si="10"/>
        <v>127.3240000000001</v>
      </c>
      <c r="M18" s="6">
        <f t="shared" si="10"/>
        <v>138.059</v>
      </c>
      <c r="N18" s="6">
        <f t="shared" si="10"/>
        <v>0</v>
      </c>
      <c r="O18" s="6">
        <f t="shared" si="10"/>
        <v>142.66899999999964</v>
      </c>
      <c r="P18" s="6">
        <f t="shared" si="10"/>
        <v>242.11700000000002</v>
      </c>
      <c r="Q18" s="6"/>
      <c r="R18" s="6"/>
      <c r="S18" s="6"/>
      <c r="T18" s="6">
        <f t="shared" ref="T18:AA18" si="11">+T15-T16-T17</f>
        <v>0</v>
      </c>
      <c r="U18" s="6">
        <f t="shared" si="11"/>
        <v>0</v>
      </c>
      <c r="V18" s="6">
        <f t="shared" si="11"/>
        <v>0</v>
      </c>
      <c r="W18" s="6">
        <f t="shared" si="11"/>
        <v>0</v>
      </c>
      <c r="X18" s="6">
        <f t="shared" si="11"/>
        <v>0</v>
      </c>
      <c r="Y18" s="6">
        <f t="shared" si="11"/>
        <v>465.77299999999985</v>
      </c>
      <c r="Z18" s="6">
        <f t="shared" si="11"/>
        <v>674.81400000000065</v>
      </c>
      <c r="AA18" s="6">
        <f t="shared" si="11"/>
        <v>816.11800000000085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3"/>
    </row>
    <row r="19" spans="2:62" x14ac:dyDescent="0.2">
      <c r="B19" s="2" t="s">
        <v>35</v>
      </c>
      <c r="C19" s="6"/>
      <c r="D19" s="6"/>
      <c r="E19" s="6">
        <v>18.341000000000001</v>
      </c>
      <c r="F19" s="6"/>
      <c r="G19" s="6">
        <v>31.125</v>
      </c>
      <c r="H19" s="6"/>
      <c r="I19" s="6">
        <v>27.440999999999999</v>
      </c>
      <c r="J19" s="6"/>
      <c r="K19" s="6">
        <v>32.039000000000001</v>
      </c>
      <c r="L19" s="6">
        <v>33.139000000000003</v>
      </c>
      <c r="M19" s="6">
        <v>33.308999999999997</v>
      </c>
      <c r="N19" s="6"/>
      <c r="O19" s="6">
        <v>27.925000000000001</v>
      </c>
      <c r="P19" s="6">
        <v>57.813000000000002</v>
      </c>
      <c r="Q19" s="6"/>
      <c r="R19" s="6"/>
      <c r="S19" s="6"/>
      <c r="T19" s="6"/>
      <c r="U19" s="6"/>
      <c r="V19" s="6"/>
      <c r="W19" s="6"/>
      <c r="X19" s="6"/>
      <c r="Y19" s="6">
        <v>126.124</v>
      </c>
      <c r="Z19" s="6">
        <v>171.17500000000001</v>
      </c>
      <c r="AA19" s="6">
        <v>205.965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3"/>
    </row>
    <row r="20" spans="2:62" x14ac:dyDescent="0.2">
      <c r="B20" s="2" t="s">
        <v>29</v>
      </c>
      <c r="C20" s="6">
        <f t="shared" ref="C20:H20" si="12">+C18-C19</f>
        <v>0</v>
      </c>
      <c r="D20" s="6">
        <f t="shared" si="12"/>
        <v>0</v>
      </c>
      <c r="E20" s="6">
        <f t="shared" si="12"/>
        <v>48.55099999999954</v>
      </c>
      <c r="F20" s="6">
        <f t="shared" si="12"/>
        <v>0</v>
      </c>
      <c r="G20" s="6">
        <f t="shared" si="12"/>
        <v>78.514000000000152</v>
      </c>
      <c r="H20" s="6">
        <f t="shared" si="12"/>
        <v>0</v>
      </c>
      <c r="I20" s="6">
        <f>+I18-I19</f>
        <v>90.616999999999848</v>
      </c>
      <c r="J20" s="6">
        <f t="shared" ref="J20:P20" si="13">+J18-J19</f>
        <v>0</v>
      </c>
      <c r="K20" s="6">
        <f t="shared" si="13"/>
        <v>100.83300000000015</v>
      </c>
      <c r="L20" s="6">
        <f t="shared" si="13"/>
        <v>94.185000000000088</v>
      </c>
      <c r="M20" s="6">
        <f t="shared" si="13"/>
        <v>104.75</v>
      </c>
      <c r="N20" s="6">
        <f t="shared" si="13"/>
        <v>0</v>
      </c>
      <c r="O20" s="6">
        <f t="shared" si="13"/>
        <v>114.74399999999964</v>
      </c>
      <c r="P20" s="6">
        <f t="shared" si="13"/>
        <v>184.30400000000003</v>
      </c>
      <c r="Q20" s="6"/>
      <c r="R20" s="6"/>
      <c r="S20" s="6"/>
      <c r="T20" s="6">
        <f t="shared" ref="T20:AA20" si="14">+T18-T19</f>
        <v>0</v>
      </c>
      <c r="U20" s="6">
        <f t="shared" si="14"/>
        <v>0</v>
      </c>
      <c r="V20" s="6">
        <f t="shared" si="14"/>
        <v>0</v>
      </c>
      <c r="W20" s="6">
        <f t="shared" si="14"/>
        <v>0</v>
      </c>
      <c r="X20" s="6">
        <f t="shared" si="14"/>
        <v>0</v>
      </c>
      <c r="Y20" s="6">
        <f t="shared" si="14"/>
        <v>339.64899999999989</v>
      </c>
      <c r="Z20" s="6">
        <f t="shared" si="14"/>
        <v>503.63900000000064</v>
      </c>
      <c r="AA20" s="6">
        <f t="shared" si="14"/>
        <v>610.15300000000082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3"/>
    </row>
    <row r="21" spans="2:62" x14ac:dyDescent="0.2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3"/>
    </row>
    <row r="22" spans="2:62" x14ac:dyDescent="0.2">
      <c r="B22" s="2" t="s">
        <v>30</v>
      </c>
      <c r="C22" s="6" t="e">
        <f t="shared" ref="C22:H22" si="15">+C20/C23</f>
        <v>#DIV/0!</v>
      </c>
      <c r="D22" s="6" t="e">
        <f t="shared" si="15"/>
        <v>#DIV/0!</v>
      </c>
      <c r="E22" s="6">
        <f t="shared" si="15"/>
        <v>0.75032067627922083</v>
      </c>
      <c r="F22" s="6" t="e">
        <f t="shared" si="15"/>
        <v>#DIV/0!</v>
      </c>
      <c r="G22" s="6">
        <f t="shared" si="15"/>
        <v>1.229258975121732</v>
      </c>
      <c r="H22" s="6" t="e">
        <f t="shared" si="15"/>
        <v>#DIV/0!</v>
      </c>
      <c r="I22" s="6">
        <f>+I20/I23</f>
        <v>1.4256249705017046</v>
      </c>
      <c r="J22" s="6" t="e">
        <f t="shared" ref="J22:P22" si="16">+J20/J23</f>
        <v>#DIV/0!</v>
      </c>
      <c r="K22" s="6">
        <f t="shared" si="16"/>
        <v>1.5982912756784198</v>
      </c>
      <c r="L22" s="6">
        <f t="shared" si="16"/>
        <v>1.4741051445385267</v>
      </c>
      <c r="M22" s="6">
        <f t="shared" si="16"/>
        <v>1.6631736051570289</v>
      </c>
      <c r="N22" s="6" t="e">
        <f t="shared" si="16"/>
        <v>#DIV/0!</v>
      </c>
      <c r="O22" s="6">
        <f t="shared" si="16"/>
        <v>1.8282982791586941</v>
      </c>
      <c r="P22" s="6">
        <f t="shared" si="16"/>
        <v>2.8844372104670093</v>
      </c>
      <c r="Q22" s="6"/>
      <c r="R22" s="6"/>
      <c r="S22" s="6"/>
      <c r="T22" s="6"/>
      <c r="U22" s="6"/>
      <c r="V22" s="6"/>
      <c r="W22" s="6"/>
      <c r="X22" s="6"/>
      <c r="Y22" s="12">
        <f t="shared" ref="Y22:Z22" si="17">+Y20/Y23</f>
        <v>5.2518709797130114</v>
      </c>
      <c r="Z22" s="12">
        <f t="shared" si="17"/>
        <v>7.9146211144985488</v>
      </c>
      <c r="AA22" s="12">
        <f>+AA20/AA23</f>
        <v>9.6874285532833859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3"/>
    </row>
    <row r="23" spans="2:62" x14ac:dyDescent="0.2">
      <c r="B23" s="2" t="s">
        <v>3</v>
      </c>
      <c r="C23" s="6"/>
      <c r="D23" s="6"/>
      <c r="E23" s="6">
        <v>64.706999999999994</v>
      </c>
      <c r="F23" s="6"/>
      <c r="G23" s="6">
        <v>63.871000000000002</v>
      </c>
      <c r="H23" s="6"/>
      <c r="I23" s="6">
        <v>63.563000000000002</v>
      </c>
      <c r="J23" s="6"/>
      <c r="K23" s="6">
        <v>63.088000000000001</v>
      </c>
      <c r="L23" s="6">
        <v>63.893000000000001</v>
      </c>
      <c r="M23" s="6">
        <v>62.981999999999999</v>
      </c>
      <c r="N23" s="6"/>
      <c r="O23" s="6">
        <v>62.76</v>
      </c>
      <c r="P23" s="6">
        <v>63.896000000000001</v>
      </c>
      <c r="Q23" s="6"/>
      <c r="R23" s="6"/>
      <c r="S23" s="6"/>
      <c r="T23" s="6"/>
      <c r="U23" s="6"/>
      <c r="V23" s="6"/>
      <c r="W23" s="6"/>
      <c r="X23" s="6"/>
      <c r="Y23" s="6">
        <v>64.671999999999997</v>
      </c>
      <c r="Z23" s="6">
        <v>63.634</v>
      </c>
      <c r="AA23" s="6">
        <v>62.984000000000002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3"/>
    </row>
    <row r="24" spans="2:62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3"/>
    </row>
    <row r="25" spans="2:62" x14ac:dyDescent="0.2">
      <c r="B25" s="1" t="s">
        <v>31</v>
      </c>
      <c r="C25" s="7"/>
      <c r="D25" s="7"/>
      <c r="E25" s="7"/>
      <c r="F25" s="7"/>
      <c r="G25" s="8" t="e">
        <f t="shared" ref="G25:H25" si="18">+G7/C7-1</f>
        <v>#DIV/0!</v>
      </c>
      <c r="H25" s="8" t="e">
        <f t="shared" si="18"/>
        <v>#DIV/0!</v>
      </c>
      <c r="I25" s="8">
        <f>+I7/E7-1</f>
        <v>0.10542312083887739</v>
      </c>
      <c r="J25" s="8" t="e">
        <f>+J7/F7-1</f>
        <v>#DIV/0!</v>
      </c>
      <c r="K25" s="8">
        <f>+K7/G7-1</f>
        <v>6.0327674204220472E-2</v>
      </c>
      <c r="L25" s="8" t="e">
        <f>+L7/H7-1</f>
        <v>#DIV/0!</v>
      </c>
      <c r="M25" s="8">
        <f>+M7/I7-1</f>
        <v>7.1025520252136154E-2</v>
      </c>
      <c r="N25" s="8" t="e">
        <f t="shared" ref="N25:O25" si="19">+N7/J7-1</f>
        <v>#DIV/0!</v>
      </c>
      <c r="O25" s="8">
        <f t="shared" si="19"/>
        <v>0.14075007388119887</v>
      </c>
      <c r="P25" s="9"/>
      <c r="Q25" s="9"/>
      <c r="R25" s="9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3"/>
    </row>
    <row r="26" spans="2:62" x14ac:dyDescent="0.2">
      <c r="B26" s="2" t="s">
        <v>32</v>
      </c>
      <c r="C26" s="9" t="e">
        <f t="shared" ref="C26:H26" si="20">+C10/C7</f>
        <v>#DIV/0!</v>
      </c>
      <c r="D26" s="9" t="e">
        <f t="shared" si="20"/>
        <v>#DIV/0!</v>
      </c>
      <c r="E26" s="9">
        <f t="shared" si="20"/>
        <v>0.3611607856566898</v>
      </c>
      <c r="F26" s="9" t="e">
        <f t="shared" si="20"/>
        <v>#DIV/0!</v>
      </c>
      <c r="G26" s="9">
        <f t="shared" si="20"/>
        <v>0.34944208323929205</v>
      </c>
      <c r="H26" s="9" t="e">
        <f t="shared" si="20"/>
        <v>#DIV/0!</v>
      </c>
      <c r="I26" s="9">
        <f>+I10/I7</f>
        <v>0.35290370712246749</v>
      </c>
      <c r="J26" s="9" t="e">
        <f>+J10/J7</f>
        <v>#DIV/0!</v>
      </c>
      <c r="K26" s="9">
        <f>+K10/K7</f>
        <v>0.34666576145557942</v>
      </c>
      <c r="L26" s="9">
        <f>+L10/L7</f>
        <v>0.35116675310925299</v>
      </c>
      <c r="M26" s="9">
        <f>+M10/M7</f>
        <v>0.34958087985714498</v>
      </c>
      <c r="N26" s="9" t="e">
        <f t="shared" ref="N26:O26" si="21">+N10/N7</f>
        <v>#DIV/0!</v>
      </c>
      <c r="O26" s="9">
        <f t="shared" si="21"/>
        <v>0.34636355966351373</v>
      </c>
      <c r="P26" s="9"/>
      <c r="Q26" s="9"/>
      <c r="R26" s="9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3"/>
    </row>
    <row r="27" spans="2:62" x14ac:dyDescent="0.2">
      <c r="B27" s="2" t="s">
        <v>33</v>
      </c>
      <c r="C27" s="9" t="e">
        <f t="shared" ref="C27:H27" si="22">+C15/C7</f>
        <v>#DIV/0!</v>
      </c>
      <c r="D27" s="9" t="e">
        <f t="shared" si="22"/>
        <v>#DIV/0!</v>
      </c>
      <c r="E27" s="9">
        <f t="shared" si="22"/>
        <v>4.3768831797377741E-2</v>
      </c>
      <c r="F27" s="9" t="e">
        <f t="shared" si="22"/>
        <v>#DIV/0!</v>
      </c>
      <c r="G27" s="9">
        <f t="shared" si="22"/>
        <v>5.347667403611104E-2</v>
      </c>
      <c r="H27" s="9" t="e">
        <f t="shared" si="22"/>
        <v>#DIV/0!</v>
      </c>
      <c r="I27" s="9">
        <f>+I15/I7</f>
        <v>5.4229745492939442E-2</v>
      </c>
      <c r="J27" s="9" t="e">
        <f>+J15/J7</f>
        <v>#DIV/0!</v>
      </c>
      <c r="K27" s="9">
        <f>+K15/K7</f>
        <v>5.9377321267402083E-2</v>
      </c>
      <c r="L27" s="9">
        <f>+L15/L7</f>
        <v>5.351097993361361E-2</v>
      </c>
      <c r="M27" s="9">
        <f>+M15/M7</f>
        <v>5.6193459364531219E-2</v>
      </c>
      <c r="N27" s="9" t="e">
        <f t="shared" ref="N27:O27" si="23">+N15/N7</f>
        <v>#DIV/0!</v>
      </c>
      <c r="O27" s="9">
        <f t="shared" si="23"/>
        <v>5.3563833008747418E-2</v>
      </c>
      <c r="P27" s="9"/>
      <c r="Q27" s="9"/>
      <c r="R27" s="9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3"/>
    </row>
    <row r="28" spans="2:62" x14ac:dyDescent="0.2">
      <c r="B28" s="2" t="s">
        <v>34</v>
      </c>
      <c r="C28" s="9" t="e">
        <f t="shared" ref="C28:H28" si="24">+C19/C18</f>
        <v>#DIV/0!</v>
      </c>
      <c r="D28" s="9" t="e">
        <f t="shared" si="24"/>
        <v>#DIV/0!</v>
      </c>
      <c r="E28" s="9">
        <f t="shared" si="24"/>
        <v>0.27418824373617362</v>
      </c>
      <c r="F28" s="9" t="e">
        <f t="shared" si="24"/>
        <v>#DIV/0!</v>
      </c>
      <c r="G28" s="9">
        <f t="shared" si="24"/>
        <v>0.28388620837475675</v>
      </c>
      <c r="H28" s="9" t="e">
        <f t="shared" si="24"/>
        <v>#DIV/0!</v>
      </c>
      <c r="I28" s="9">
        <f>+I19/I18</f>
        <v>0.2324365989598336</v>
      </c>
      <c r="J28" s="9" t="e">
        <f>+J19/J18</f>
        <v>#DIV/0!</v>
      </c>
      <c r="K28" s="9">
        <f>+K19/K18</f>
        <v>0.24112679872358334</v>
      </c>
      <c r="L28" s="9">
        <f>+L19/L18</f>
        <v>0.2602730043039802</v>
      </c>
      <c r="M28" s="9">
        <f>+M19/M18</f>
        <v>0.24126641508340635</v>
      </c>
      <c r="N28" s="9" t="e">
        <f t="shared" ref="N28:O28" si="25">+N19/N18</f>
        <v>#DIV/0!</v>
      </c>
      <c r="O28" s="9">
        <f t="shared" si="25"/>
        <v>0.19573278007135447</v>
      </c>
      <c r="P28" s="9"/>
      <c r="Q28" s="9"/>
      <c r="R28" s="9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3"/>
    </row>
    <row r="29" spans="2:62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3"/>
    </row>
    <row r="30" spans="2:62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3"/>
    </row>
    <row r="31" spans="2:62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3"/>
    </row>
    <row r="32" spans="2:62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3"/>
    </row>
    <row r="33" spans="3:62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3"/>
    </row>
    <row r="34" spans="3:62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3"/>
    </row>
    <row r="35" spans="3:62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3"/>
    </row>
    <row r="36" spans="3:62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3"/>
    </row>
    <row r="37" spans="3:62" x14ac:dyDescent="0.2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3"/>
    </row>
    <row r="38" spans="3:62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3"/>
    </row>
    <row r="39" spans="3:62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3"/>
    </row>
    <row r="40" spans="3:62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3"/>
    </row>
    <row r="41" spans="3:62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3"/>
    </row>
    <row r="42" spans="3:62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3"/>
    </row>
    <row r="43" spans="3:62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3"/>
    </row>
    <row r="44" spans="3:62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3"/>
    </row>
    <row r="45" spans="3:62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3"/>
    </row>
    <row r="46" spans="3:62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3"/>
    </row>
    <row r="47" spans="3:62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3"/>
    </row>
    <row r="48" spans="3:62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3"/>
    </row>
    <row r="49" spans="3:62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3"/>
    </row>
    <row r="50" spans="3:62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3"/>
    </row>
    <row r="51" spans="3:62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3"/>
    </row>
    <row r="52" spans="3:62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3"/>
    </row>
    <row r="53" spans="3:62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3"/>
    </row>
    <row r="54" spans="3:62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3"/>
    </row>
    <row r="55" spans="3:62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3"/>
    </row>
    <row r="56" spans="3:62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3"/>
    </row>
    <row r="57" spans="3:62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3"/>
    </row>
    <row r="58" spans="3:62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3"/>
    </row>
    <row r="59" spans="3:62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3"/>
    </row>
    <row r="60" spans="3:62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3"/>
    </row>
    <row r="61" spans="3:62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3"/>
    </row>
    <row r="62" spans="3:62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3"/>
    </row>
    <row r="63" spans="3:62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3"/>
    </row>
    <row r="64" spans="3:62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3"/>
    </row>
    <row r="65" spans="3:62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3"/>
    </row>
    <row r="66" spans="3:62" x14ac:dyDescent="0.2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3"/>
    </row>
    <row r="67" spans="3:62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3"/>
    </row>
    <row r="68" spans="3:62" x14ac:dyDescent="0.2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3"/>
    </row>
    <row r="69" spans="3:62" x14ac:dyDescent="0.2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3"/>
    </row>
    <row r="70" spans="3:62" x14ac:dyDescent="0.2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3"/>
    </row>
    <row r="71" spans="3:62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3"/>
    </row>
    <row r="72" spans="3:62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3"/>
    </row>
    <row r="73" spans="3:62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3"/>
    </row>
    <row r="74" spans="3:62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3"/>
    </row>
    <row r="75" spans="3:62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3"/>
    </row>
    <row r="76" spans="3:62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3"/>
    </row>
    <row r="77" spans="3:62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3"/>
    </row>
    <row r="78" spans="3:62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3"/>
    </row>
    <row r="79" spans="3:62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3"/>
    </row>
    <row r="80" spans="3:62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3"/>
    </row>
    <row r="81" spans="3:62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3"/>
    </row>
    <row r="82" spans="3:62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3"/>
    </row>
    <row r="83" spans="3:62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3"/>
    </row>
    <row r="84" spans="3:62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3"/>
    </row>
    <row r="85" spans="3:62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3"/>
    </row>
    <row r="86" spans="3:62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3"/>
    </row>
    <row r="87" spans="3:62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3"/>
    </row>
    <row r="88" spans="3:62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3"/>
    </row>
    <row r="89" spans="3:62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3"/>
    </row>
    <row r="90" spans="3:62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3"/>
    </row>
    <row r="91" spans="3:62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3"/>
    </row>
    <row r="92" spans="3:62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3"/>
    </row>
    <row r="93" spans="3:62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3"/>
    </row>
    <row r="94" spans="3:62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3"/>
    </row>
    <row r="95" spans="3:62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3"/>
    </row>
    <row r="96" spans="3:62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3"/>
    </row>
    <row r="97" spans="3:62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3"/>
    </row>
    <row r="98" spans="3:62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3"/>
    </row>
    <row r="99" spans="3:62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3"/>
    </row>
    <row r="100" spans="3:62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3"/>
    </row>
    <row r="101" spans="3:62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3"/>
    </row>
    <row r="102" spans="3:62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3"/>
    </row>
    <row r="103" spans="3:62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3"/>
    </row>
    <row r="104" spans="3:62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3"/>
    </row>
    <row r="105" spans="3:62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3"/>
    </row>
    <row r="106" spans="3:62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3"/>
    </row>
    <row r="107" spans="3:62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3"/>
    </row>
    <row r="108" spans="3:62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3"/>
    </row>
    <row r="109" spans="3:62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3"/>
    </row>
    <row r="110" spans="3:62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3"/>
    </row>
    <row r="111" spans="3:62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3"/>
    </row>
    <row r="112" spans="3:62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3"/>
    </row>
    <row r="113" spans="3:62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3"/>
    </row>
    <row r="114" spans="3:62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3"/>
    </row>
    <row r="115" spans="3:62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3"/>
    </row>
    <row r="116" spans="3:62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3"/>
    </row>
    <row r="117" spans="3:62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3"/>
    </row>
    <row r="118" spans="3:62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3"/>
    </row>
    <row r="119" spans="3:62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3"/>
    </row>
    <row r="120" spans="3:62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3"/>
    </row>
    <row r="121" spans="3:62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3"/>
    </row>
    <row r="122" spans="3:62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3"/>
    </row>
    <row r="123" spans="3:62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3"/>
    </row>
    <row r="124" spans="3:62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3"/>
    </row>
    <row r="125" spans="3:62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3"/>
    </row>
    <row r="126" spans="3:62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3"/>
    </row>
    <row r="127" spans="3:62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3"/>
    </row>
    <row r="128" spans="3:62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3"/>
    </row>
    <row r="129" spans="3:62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3"/>
    </row>
    <row r="130" spans="3:62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3"/>
    </row>
    <row r="131" spans="3:62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3"/>
    </row>
    <row r="132" spans="3:62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3"/>
    </row>
    <row r="133" spans="3:62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3"/>
    </row>
    <row r="134" spans="3:62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3"/>
    </row>
    <row r="135" spans="3:62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3"/>
    </row>
    <row r="136" spans="3:62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3"/>
    </row>
    <row r="137" spans="3:62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3"/>
    </row>
    <row r="138" spans="3:62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3"/>
    </row>
    <row r="139" spans="3:62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3"/>
    </row>
    <row r="140" spans="3:62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3"/>
    </row>
    <row r="141" spans="3:62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3"/>
    </row>
    <row r="142" spans="3:62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3"/>
    </row>
    <row r="143" spans="3:62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3"/>
    </row>
    <row r="144" spans="3:62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3"/>
    </row>
    <row r="145" spans="3:62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3"/>
    </row>
    <row r="146" spans="3:62" x14ac:dyDescent="0.2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3"/>
    </row>
    <row r="147" spans="3:62" x14ac:dyDescent="0.2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3"/>
    </row>
    <row r="148" spans="3:62" x14ac:dyDescent="0.2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3"/>
    </row>
    <row r="149" spans="3:62" x14ac:dyDescent="0.2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3"/>
    </row>
    <row r="150" spans="3:62" x14ac:dyDescent="0.2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3"/>
    </row>
    <row r="151" spans="3:62" x14ac:dyDescent="0.2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3"/>
    </row>
    <row r="152" spans="3:62" x14ac:dyDescent="0.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3"/>
    </row>
    <row r="153" spans="3:62" x14ac:dyDescent="0.2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3"/>
    </row>
    <row r="154" spans="3:62" x14ac:dyDescent="0.2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3"/>
    </row>
    <row r="155" spans="3:62" x14ac:dyDescent="0.2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3"/>
    </row>
    <row r="156" spans="3:62" x14ac:dyDescent="0.2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3"/>
    </row>
    <row r="157" spans="3:62" x14ac:dyDescent="0.2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3"/>
    </row>
    <row r="158" spans="3:62" x14ac:dyDescent="0.2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3"/>
    </row>
    <row r="159" spans="3:62" x14ac:dyDescent="0.2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3"/>
    </row>
    <row r="160" spans="3:62" x14ac:dyDescent="0.2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3"/>
    </row>
    <row r="161" spans="3:62" x14ac:dyDescent="0.2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3"/>
    </row>
    <row r="162" spans="3:62" x14ac:dyDescent="0.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3"/>
    </row>
    <row r="163" spans="3:62" x14ac:dyDescent="0.2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3"/>
    </row>
    <row r="164" spans="3:62" x14ac:dyDescent="0.2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3"/>
    </row>
    <row r="165" spans="3:62" x14ac:dyDescent="0.2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3"/>
    </row>
    <row r="166" spans="3:62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3"/>
    </row>
    <row r="167" spans="3:62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3"/>
    </row>
    <row r="168" spans="3:62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3"/>
    </row>
    <row r="169" spans="3:62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3"/>
    </row>
    <row r="170" spans="3:62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3"/>
    </row>
    <row r="171" spans="3:62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3"/>
    </row>
    <row r="172" spans="3:62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3"/>
    </row>
    <row r="173" spans="3:62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3"/>
    </row>
    <row r="174" spans="3:62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3"/>
    </row>
    <row r="175" spans="3:62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3"/>
    </row>
    <row r="176" spans="3:62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3"/>
    </row>
    <row r="177" spans="3:62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3"/>
    </row>
    <row r="178" spans="3:6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spans="3:6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 spans="3:6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3:6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3:6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 spans="3:6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spans="3:6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</row>
    <row r="185" spans="3:6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3:6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3:6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3:6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3:6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3:6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spans="3:6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3:6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spans="3:6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3:6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3:6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3:6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3:6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spans="3:6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3:6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spans="3:6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3:6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3:6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3:6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3:6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3:6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3:6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3:6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3:6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3:62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spans="3:62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3:62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3:62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 spans="3:62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spans="3:62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 spans="3:62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spans="3:62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3:62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spans="3:62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3:62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spans="3:62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spans="3:62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spans="3:62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spans="3:62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3:62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3:62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3:62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spans="3:62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3:62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3:62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3:62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3:62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spans="3:62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 spans="3:62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 spans="3:62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 spans="3:62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spans="3:62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spans="3:62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</row>
    <row r="238" spans="3:62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</sheetData>
  <hyperlinks>
    <hyperlink ref="A1" location="Main!A1" display="Main" xr:uid="{08E1EF67-F17A-4BAD-A701-9638A34664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2025-01-29T12:45:52Z</dcterms:created>
  <dcterms:modified xsi:type="dcterms:W3CDTF">2026-08-27T16:37:55Z</dcterms:modified>
</cp:coreProperties>
</file>