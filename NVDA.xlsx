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2ED68820-CCFF-4A8E-BD07-1EC07BE30AF5}" xr6:coauthVersionLast="47" xr6:coauthVersionMax="47" xr10:uidLastSave="{00000000-0000-0000-0000-000000000000}"/>
  <bookViews>
    <workbookView xWindow="19095" yWindow="0" windowWidth="19410" windowHeight="20985" activeTab="1" xr2:uid="{A1D5ACA9-E4BA-4D51-A2F0-408DF60F7C0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" i="2" l="1"/>
  <c r="P41" i="2"/>
  <c r="P40" i="2"/>
  <c r="P39" i="2"/>
  <c r="P32" i="2"/>
  <c r="P29" i="2"/>
  <c r="P27" i="2"/>
  <c r="P25" i="2"/>
  <c r="P21" i="2"/>
  <c r="P17" i="2"/>
  <c r="I5" i="1"/>
  <c r="O39" i="2"/>
  <c r="O32" i="2"/>
  <c r="O17" i="2"/>
  <c r="O21" i="2" s="1"/>
  <c r="O41" i="2" s="1"/>
  <c r="N14" i="2"/>
  <c r="N13" i="2"/>
  <c r="N12" i="2"/>
  <c r="N11" i="2"/>
  <c r="N10" i="2"/>
  <c r="N9" i="2"/>
  <c r="N5" i="2"/>
  <c r="N4" i="2"/>
  <c r="N3" i="2"/>
  <c r="AR99" i="2"/>
  <c r="AR102" i="2"/>
  <c r="AS99" i="2"/>
  <c r="AS102" i="2"/>
  <c r="AT99" i="2"/>
  <c r="AT84" i="2"/>
  <c r="AS84" i="2"/>
  <c r="AR84" i="2"/>
  <c r="AR86" i="2"/>
  <c r="AS86" i="2"/>
  <c r="AQ91" i="2"/>
  <c r="AP91" i="2"/>
  <c r="AT86" i="2"/>
  <c r="AQ82" i="2"/>
  <c r="AQ83" i="2" s="1"/>
  <c r="AQ100" i="2" s="1"/>
  <c r="AP82" i="2"/>
  <c r="AP83" i="2" s="1"/>
  <c r="AS82" i="2"/>
  <c r="AR82" i="2"/>
  <c r="AT82" i="2"/>
  <c r="AS66" i="2"/>
  <c r="AT66" i="2"/>
  <c r="AS62" i="2"/>
  <c r="AT62" i="2"/>
  <c r="L62" i="2"/>
  <c r="AS56" i="2"/>
  <c r="AS57" i="2"/>
  <c r="AT56" i="2"/>
  <c r="AT57" i="2" s="1"/>
  <c r="AS50" i="2"/>
  <c r="AT50" i="2"/>
  <c r="AT39" i="2"/>
  <c r="AT38" i="2"/>
  <c r="AT37" i="2"/>
  <c r="AT36" i="2"/>
  <c r="AT35" i="2"/>
  <c r="AT34" i="2"/>
  <c r="AT33" i="2"/>
  <c r="AT17" i="2"/>
  <c r="AT40" i="2" s="1"/>
  <c r="N17" i="2"/>
  <c r="N21" i="2" s="1"/>
  <c r="M39" i="2"/>
  <c r="M38" i="2"/>
  <c r="M37" i="2"/>
  <c r="M36" i="2"/>
  <c r="M35" i="2"/>
  <c r="M34" i="2"/>
  <c r="M33" i="2"/>
  <c r="M32" i="2"/>
  <c r="M17" i="2"/>
  <c r="M21" i="2" s="1"/>
  <c r="K68" i="2"/>
  <c r="J68" i="2"/>
  <c r="I68" i="2"/>
  <c r="H68" i="2"/>
  <c r="G68" i="2"/>
  <c r="F68" i="2"/>
  <c r="E68" i="2"/>
  <c r="D68" i="2"/>
  <c r="C68" i="2"/>
  <c r="L66" i="2"/>
  <c r="L57" i="2"/>
  <c r="K50" i="2"/>
  <c r="K58" i="2" s="1"/>
  <c r="J50" i="2"/>
  <c r="J58" i="2" s="1"/>
  <c r="I50" i="2"/>
  <c r="I58" i="2" s="1"/>
  <c r="H50" i="2"/>
  <c r="H58" i="2" s="1"/>
  <c r="G50" i="2"/>
  <c r="G58" i="2" s="1"/>
  <c r="F50" i="2"/>
  <c r="F58" i="2" s="1"/>
  <c r="E50" i="2"/>
  <c r="E58" i="2" s="1"/>
  <c r="D50" i="2"/>
  <c r="D58" i="2" s="1"/>
  <c r="C50" i="2"/>
  <c r="C58" i="2" s="1"/>
  <c r="L50" i="2"/>
  <c r="AR39" i="2"/>
  <c r="AQ39" i="2"/>
  <c r="AP39" i="2"/>
  <c r="AO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AP42" i="2"/>
  <c r="AO42" i="2"/>
  <c r="AN42" i="2"/>
  <c r="AP41" i="2"/>
  <c r="AO41" i="2"/>
  <c r="AN41" i="2"/>
  <c r="AP40" i="2"/>
  <c r="AO40" i="2"/>
  <c r="AN40" i="2"/>
  <c r="AS39" i="2"/>
  <c r="AS38" i="2"/>
  <c r="AS37" i="2"/>
  <c r="AS36" i="2"/>
  <c r="AS35" i="2"/>
  <c r="AS34" i="2"/>
  <c r="AS33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AG22" i="2"/>
  <c r="AF22" i="2"/>
  <c r="AE22" i="2"/>
  <c r="AC22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AL17" i="2"/>
  <c r="AK17" i="2"/>
  <c r="AK40" i="2" s="1"/>
  <c r="AJ17" i="2"/>
  <c r="AJ40" i="2" s="1"/>
  <c r="AI17" i="2"/>
  <c r="AI40" i="2" s="1"/>
  <c r="AH17" i="2"/>
  <c r="AH40" i="2" s="1"/>
  <c r="AG17" i="2"/>
  <c r="AG40" i="2" s="1"/>
  <c r="AF17" i="2"/>
  <c r="AF40" i="2" s="1"/>
  <c r="AE17" i="2"/>
  <c r="AE40" i="2" s="1"/>
  <c r="AD17" i="2"/>
  <c r="AD40" i="2" s="1"/>
  <c r="AC17" i="2"/>
  <c r="AC40" i="2" s="1"/>
  <c r="AB17" i="2"/>
  <c r="AB40" i="2" s="1"/>
  <c r="AA17" i="2"/>
  <c r="Z17" i="2"/>
  <c r="Z40" i="2" s="1"/>
  <c r="Y17" i="2"/>
  <c r="X17" i="2"/>
  <c r="X40" i="2" s="1"/>
  <c r="W17" i="2"/>
  <c r="W40" i="2" s="1"/>
  <c r="V17" i="2"/>
  <c r="V40" i="2" s="1"/>
  <c r="U17" i="2"/>
  <c r="U40" i="2" s="1"/>
  <c r="T17" i="2"/>
  <c r="AM15" i="2"/>
  <c r="AN39" i="2" s="1"/>
  <c r="AS91" i="2" l="1"/>
  <c r="O40" i="2"/>
  <c r="AT91" i="2"/>
  <c r="O25" i="2"/>
  <c r="AT68" i="2"/>
  <c r="AR91" i="2"/>
  <c r="AS58" i="2"/>
  <c r="AT58" i="2"/>
  <c r="AS68" i="2"/>
  <c r="T21" i="2"/>
  <c r="T23" i="2" s="1"/>
  <c r="T25" i="2" s="1"/>
  <c r="T42" i="2" s="1"/>
  <c r="L58" i="2"/>
  <c r="AI21" i="2"/>
  <c r="L68" i="2"/>
  <c r="AJ21" i="2"/>
  <c r="AL21" i="2"/>
  <c r="AL23" i="2" s="1"/>
  <c r="AL25" i="2" s="1"/>
  <c r="AL42" i="2" s="1"/>
  <c r="N40" i="2"/>
  <c r="AM17" i="2"/>
  <c r="AM21" i="2" s="1"/>
  <c r="AM23" i="2" s="1"/>
  <c r="AM25" i="2" s="1"/>
  <c r="AM42" i="2" s="1"/>
  <c r="M41" i="2"/>
  <c r="M25" i="2"/>
  <c r="N41" i="2"/>
  <c r="N25" i="2"/>
  <c r="T40" i="2"/>
  <c r="AT21" i="2"/>
  <c r="Y21" i="2"/>
  <c r="AA21" i="2"/>
  <c r="M40" i="2"/>
  <c r="Y40" i="2"/>
  <c r="AM39" i="2"/>
  <c r="AA40" i="2"/>
  <c r="AL40" i="2"/>
  <c r="X21" i="2"/>
  <c r="AK21" i="2"/>
  <c r="AB21" i="2"/>
  <c r="AD21" i="2"/>
  <c r="AE21" i="2"/>
  <c r="AH21" i="2"/>
  <c r="V21" i="2"/>
  <c r="Z21" i="2"/>
  <c r="AC21" i="2"/>
  <c r="AF21" i="2"/>
  <c r="AG21" i="2"/>
  <c r="U21" i="2"/>
  <c r="W21" i="2"/>
  <c r="O42" i="2" l="1"/>
  <c r="O27" i="2"/>
  <c r="O29" i="2" s="1"/>
  <c r="AM41" i="2"/>
  <c r="AL41" i="2"/>
  <c r="AM40" i="2"/>
  <c r="T41" i="2"/>
  <c r="AJ23" i="2"/>
  <c r="AJ25" i="2" s="1"/>
  <c r="AJ42" i="2" s="1"/>
  <c r="AJ41" i="2"/>
  <c r="AI23" i="2"/>
  <c r="AI25" i="2" s="1"/>
  <c r="AI42" i="2" s="1"/>
  <c r="AI41" i="2"/>
  <c r="Z23" i="2"/>
  <c r="Z25" i="2" s="1"/>
  <c r="Z42" i="2" s="1"/>
  <c r="Z41" i="2"/>
  <c r="V23" i="2"/>
  <c r="V25" i="2" s="1"/>
  <c r="V42" i="2" s="1"/>
  <c r="V41" i="2"/>
  <c r="AH23" i="2"/>
  <c r="AH25" i="2" s="1"/>
  <c r="AH42" i="2" s="1"/>
  <c r="AH41" i="2"/>
  <c r="AE23" i="2"/>
  <c r="AE25" i="2" s="1"/>
  <c r="AE42" i="2" s="1"/>
  <c r="AE41" i="2"/>
  <c r="AD23" i="2"/>
  <c r="AD25" i="2" s="1"/>
  <c r="AD42" i="2" s="1"/>
  <c r="AD41" i="2"/>
  <c r="AB23" i="2"/>
  <c r="AB25" i="2" s="1"/>
  <c r="AB42" i="2" s="1"/>
  <c r="AB41" i="2"/>
  <c r="AK23" i="2"/>
  <c r="AK25" i="2" s="1"/>
  <c r="AK42" i="2" s="1"/>
  <c r="AK41" i="2"/>
  <c r="X23" i="2"/>
  <c r="X25" i="2" s="1"/>
  <c r="X42" i="2" s="1"/>
  <c r="X41" i="2"/>
  <c r="AA23" i="2"/>
  <c r="AA25" i="2" s="1"/>
  <c r="AA42" i="2" s="1"/>
  <c r="AA41" i="2"/>
  <c r="Y23" i="2"/>
  <c r="Y25" i="2" s="1"/>
  <c r="Y42" i="2" s="1"/>
  <c r="Y41" i="2"/>
  <c r="AT41" i="2"/>
  <c r="AT25" i="2"/>
  <c r="W23" i="2"/>
  <c r="W25" i="2" s="1"/>
  <c r="W42" i="2" s="1"/>
  <c r="W41" i="2"/>
  <c r="U23" i="2"/>
  <c r="U25" i="2" s="1"/>
  <c r="U42" i="2" s="1"/>
  <c r="U41" i="2"/>
  <c r="N27" i="2"/>
  <c r="N29" i="2" s="1"/>
  <c r="N42" i="2"/>
  <c r="AG23" i="2"/>
  <c r="AG25" i="2" s="1"/>
  <c r="AG42" i="2" s="1"/>
  <c r="AG41" i="2"/>
  <c r="AF23" i="2"/>
  <c r="AF25" i="2" s="1"/>
  <c r="AF42" i="2" s="1"/>
  <c r="AF41" i="2"/>
  <c r="M27" i="2"/>
  <c r="M29" i="2" s="1"/>
  <c r="M42" i="2"/>
  <c r="AC23" i="2"/>
  <c r="AC25" i="2" s="1"/>
  <c r="AC42" i="2" s="1"/>
  <c r="AC41" i="2"/>
  <c r="L39" i="2"/>
  <c r="L38" i="2"/>
  <c r="L37" i="2"/>
  <c r="L36" i="2"/>
  <c r="L35" i="2"/>
  <c r="L34" i="2"/>
  <c r="L33" i="2"/>
  <c r="L32" i="2"/>
  <c r="L17" i="2"/>
  <c r="L21" i="2" s="1"/>
  <c r="K39" i="2"/>
  <c r="K38" i="2"/>
  <c r="K37" i="2"/>
  <c r="K36" i="2"/>
  <c r="K35" i="2"/>
  <c r="K34" i="2"/>
  <c r="K33" i="2"/>
  <c r="K32" i="2"/>
  <c r="K17" i="2"/>
  <c r="K21" i="2" s="1"/>
  <c r="K25" i="2" s="1"/>
  <c r="K27" i="2" s="1"/>
  <c r="K29" i="2" s="1"/>
  <c r="F30" i="2"/>
  <c r="F26" i="2"/>
  <c r="F24" i="2"/>
  <c r="F23" i="2"/>
  <c r="F22" i="2"/>
  <c r="F20" i="2"/>
  <c r="F19" i="2"/>
  <c r="F18" i="2"/>
  <c r="F16" i="2"/>
  <c r="F15" i="2"/>
  <c r="F12" i="2"/>
  <c r="F11" i="2"/>
  <c r="F10" i="2"/>
  <c r="F9" i="2"/>
  <c r="F5" i="2"/>
  <c r="F4" i="2"/>
  <c r="F3" i="2"/>
  <c r="J30" i="2"/>
  <c r="J26" i="2"/>
  <c r="J24" i="2"/>
  <c r="J23" i="2"/>
  <c r="J22" i="2"/>
  <c r="J20" i="2"/>
  <c r="J19" i="2"/>
  <c r="J18" i="2"/>
  <c r="J16" i="2"/>
  <c r="J15" i="2"/>
  <c r="N39" i="2" s="1"/>
  <c r="J12" i="2"/>
  <c r="N38" i="2" s="1"/>
  <c r="J11" i="2"/>
  <c r="N37" i="2" s="1"/>
  <c r="J10" i="2"/>
  <c r="N36" i="2" s="1"/>
  <c r="J9" i="2"/>
  <c r="N35" i="2" s="1"/>
  <c r="J5" i="2"/>
  <c r="N34" i="2" s="1"/>
  <c r="J4" i="2"/>
  <c r="N33" i="2" s="1"/>
  <c r="J3" i="2"/>
  <c r="N32" i="2" s="1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I38" i="2"/>
  <c r="I37" i="2"/>
  <c r="I36" i="2"/>
  <c r="I35" i="2"/>
  <c r="I34" i="2"/>
  <c r="I33" i="2"/>
  <c r="I32" i="2"/>
  <c r="AS17" i="2"/>
  <c r="AR17" i="2"/>
  <c r="AR40" i="2" s="1"/>
  <c r="AQ17" i="2"/>
  <c r="AQ40" i="2" s="1"/>
  <c r="I39" i="2"/>
  <c r="I17" i="2"/>
  <c r="I21" i="2" s="1"/>
  <c r="G17" i="2"/>
  <c r="G40" i="2" s="1"/>
  <c r="E17" i="2"/>
  <c r="E40" i="2" s="1"/>
  <c r="D17" i="2"/>
  <c r="D40" i="2" s="1"/>
  <c r="C17" i="2"/>
  <c r="C21" i="2" s="1"/>
  <c r="H17" i="2"/>
  <c r="H40" i="2" s="1"/>
  <c r="I4" i="1"/>
  <c r="AS21" i="2" l="1"/>
  <c r="AS41" i="2" s="1"/>
  <c r="AS40" i="2"/>
  <c r="AT42" i="2"/>
  <c r="AT27" i="2"/>
  <c r="K41" i="2"/>
  <c r="K42" i="2"/>
  <c r="L40" i="2"/>
  <c r="K40" i="2"/>
  <c r="L41" i="2"/>
  <c r="L25" i="2"/>
  <c r="F17" i="2"/>
  <c r="F40" i="2" s="1"/>
  <c r="J38" i="2"/>
  <c r="J37" i="2"/>
  <c r="J36" i="2"/>
  <c r="J32" i="2"/>
  <c r="J33" i="2"/>
  <c r="J34" i="2"/>
  <c r="J35" i="2"/>
  <c r="J39" i="2"/>
  <c r="J17" i="2"/>
  <c r="J21" i="2" s="1"/>
  <c r="J41" i="2" s="1"/>
  <c r="D21" i="2"/>
  <c r="D41" i="2" s="1"/>
  <c r="E21" i="2"/>
  <c r="E25" i="2" s="1"/>
  <c r="E27" i="2" s="1"/>
  <c r="E29" i="2" s="1"/>
  <c r="G21" i="2"/>
  <c r="G25" i="2" s="1"/>
  <c r="AR21" i="2"/>
  <c r="AQ21" i="2"/>
  <c r="H21" i="2"/>
  <c r="H41" i="2" s="1"/>
  <c r="I7" i="1"/>
  <c r="I41" i="2"/>
  <c r="I25" i="2"/>
  <c r="I40" i="2"/>
  <c r="C41" i="2"/>
  <c r="C25" i="2"/>
  <c r="C40" i="2"/>
  <c r="AT29" i="2" l="1"/>
  <c r="AT70" i="2"/>
  <c r="AT83" i="2" s="1"/>
  <c r="AT100" i="2" s="1"/>
  <c r="AT102" i="2" s="1"/>
  <c r="AS25" i="2"/>
  <c r="AS42" i="2" s="1"/>
  <c r="AQ25" i="2"/>
  <c r="AQ41" i="2"/>
  <c r="AR25" i="2"/>
  <c r="AR42" i="2" s="1"/>
  <c r="AR41" i="2"/>
  <c r="L27" i="2"/>
  <c r="L29" i="2" s="1"/>
  <c r="L42" i="2"/>
  <c r="F21" i="2"/>
  <c r="F41" i="2" s="1"/>
  <c r="D25" i="2"/>
  <c r="D27" i="2" s="1"/>
  <c r="D29" i="2" s="1"/>
  <c r="AR27" i="2"/>
  <c r="J40" i="2"/>
  <c r="J25" i="2"/>
  <c r="J42" i="2" s="1"/>
  <c r="H25" i="2"/>
  <c r="H27" i="2" s="1"/>
  <c r="H29" i="2" s="1"/>
  <c r="E41" i="2"/>
  <c r="E42" i="2"/>
  <c r="G41" i="2"/>
  <c r="I42" i="2"/>
  <c r="I27" i="2"/>
  <c r="I29" i="2" s="1"/>
  <c r="C42" i="2"/>
  <c r="C27" i="2"/>
  <c r="C29" i="2" s="1"/>
  <c r="AR29" i="2" l="1"/>
  <c r="AR70" i="2"/>
  <c r="AR83" i="2" s="1"/>
  <c r="AR100" i="2" s="1"/>
  <c r="AS27" i="2"/>
  <c r="AQ27" i="2"/>
  <c r="AQ29" i="2" s="1"/>
  <c r="AQ42" i="2"/>
  <c r="F25" i="2"/>
  <c r="F42" i="2" s="1"/>
  <c r="D42" i="2"/>
  <c r="H42" i="2"/>
  <c r="J27" i="2"/>
  <c r="J29" i="2" s="1"/>
  <c r="G42" i="2"/>
  <c r="G27" i="2"/>
  <c r="G29" i="2" s="1"/>
  <c r="AS29" i="2" l="1"/>
  <c r="AS70" i="2"/>
  <c r="AS83" i="2" s="1"/>
  <c r="AS100" i="2" s="1"/>
  <c r="F27" i="2"/>
  <c r="F2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tc={C99F6FDA-7134-460D-9B9D-8EE5EA0C3280}</author>
    <author>Oscar Settje</author>
  </authors>
  <commentList>
    <comment ref="O15" authorId="0" shapeId="0" xr:uid="{C99F6FDA-7134-460D-9B9D-8EE5EA0C3280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 Q425: 78.000</t>
      </text>
    </comment>
    <comment ref="AQ20" authorId="1" shapeId="0" xr:uid="{EAD23FF6-FCEC-4D90-83F4-668B9B2EF95B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Acquisition termination cost</t>
        </r>
      </text>
    </comment>
  </commentList>
</comments>
</file>

<file path=xl/sharedStrings.xml><?xml version="1.0" encoding="utf-8"?>
<sst xmlns="http://schemas.openxmlformats.org/spreadsheetml/2006/main" count="187" uniqueCount="153">
  <si>
    <t>NVIDIA</t>
  </si>
  <si>
    <t>numbers in mio USD</t>
  </si>
  <si>
    <t>SEC</t>
  </si>
  <si>
    <t>Price</t>
  </si>
  <si>
    <t>Shares</t>
  </si>
  <si>
    <t>MC</t>
  </si>
  <si>
    <t>Cash</t>
  </si>
  <si>
    <t>Debt</t>
  </si>
  <si>
    <t>EV</t>
  </si>
  <si>
    <t>Businessmodel</t>
  </si>
  <si>
    <t>x</t>
  </si>
  <si>
    <t>Q224</t>
  </si>
  <si>
    <t>Main</t>
  </si>
  <si>
    <t>Q123</t>
  </si>
  <si>
    <t>Q223</t>
  </si>
  <si>
    <t>Q323</t>
  </si>
  <si>
    <t>Q423</t>
  </si>
  <si>
    <t>Q124</t>
  </si>
  <si>
    <t>Q324</t>
  </si>
  <si>
    <t>Q424</t>
  </si>
  <si>
    <t>CEO: Jen-Hsun Huang</t>
  </si>
  <si>
    <t>Revenue</t>
  </si>
  <si>
    <t>COGS</t>
  </si>
  <si>
    <t>Gross Profit</t>
  </si>
  <si>
    <t>R&amp;D</t>
  </si>
  <si>
    <t>SGA</t>
  </si>
  <si>
    <t>Operating Profit</t>
  </si>
  <si>
    <t>Interest Income</t>
  </si>
  <si>
    <t>Interest Exepense</t>
  </si>
  <si>
    <t>Other</t>
  </si>
  <si>
    <t xml:space="preserve">Pretax Income </t>
  </si>
  <si>
    <t>Tax Expense</t>
  </si>
  <si>
    <t>Net Income</t>
  </si>
  <si>
    <t>EPS</t>
  </si>
  <si>
    <t>Revenue YoY</t>
  </si>
  <si>
    <t>Gross Margin</t>
  </si>
  <si>
    <t>Operating Margin</t>
  </si>
  <si>
    <t>Tax Rate</t>
  </si>
  <si>
    <t>Data Center</t>
  </si>
  <si>
    <t>Compute</t>
  </si>
  <si>
    <t>Networking</t>
  </si>
  <si>
    <t>Gaming</t>
  </si>
  <si>
    <t>Professional Vizualisation</t>
  </si>
  <si>
    <t>Automotive</t>
  </si>
  <si>
    <t>FY19</t>
  </si>
  <si>
    <t>FY20</t>
  </si>
  <si>
    <t>FY21</t>
  </si>
  <si>
    <t>FY22</t>
  </si>
  <si>
    <t>FY23</t>
  </si>
  <si>
    <t>FY24</t>
  </si>
  <si>
    <t>NVDA</t>
  </si>
  <si>
    <t>Notes</t>
  </si>
  <si>
    <t>Launch of Blackwell chips in FY25</t>
  </si>
  <si>
    <t>CFO: Colette M. Kress</t>
  </si>
  <si>
    <t>Other Operating Expenses</t>
  </si>
  <si>
    <t>Data Center Growth</t>
  </si>
  <si>
    <t>Compute Growth</t>
  </si>
  <si>
    <t>Networking Growth</t>
  </si>
  <si>
    <t>Gaming Growth</t>
  </si>
  <si>
    <t>Visualization Growth</t>
  </si>
  <si>
    <t>Automotive Growth</t>
  </si>
  <si>
    <t>OEM and other Growth</t>
  </si>
  <si>
    <t>Fouded: 1993, Founders: Jen-Hsun Huang,  Chris Malachowsky, Curtis R. Priem</t>
  </si>
  <si>
    <t>Q125</t>
  </si>
  <si>
    <t>Other Income</t>
  </si>
  <si>
    <t>FY00</t>
  </si>
  <si>
    <t>FY01</t>
  </si>
  <si>
    <t>FY02</t>
  </si>
  <si>
    <t>FY03</t>
  </si>
  <si>
    <t>FY04</t>
  </si>
  <si>
    <t>FY05</t>
  </si>
  <si>
    <t>FY06</t>
  </si>
  <si>
    <t>FY07</t>
  </si>
  <si>
    <t>FY08</t>
  </si>
  <si>
    <t>FY09</t>
  </si>
  <si>
    <t>FY10</t>
  </si>
  <si>
    <t>FY11</t>
  </si>
  <si>
    <t>FY12</t>
  </si>
  <si>
    <t>FY13</t>
  </si>
  <si>
    <t>FY15</t>
  </si>
  <si>
    <t>FY14</t>
  </si>
  <si>
    <t>FY16</t>
  </si>
  <si>
    <t>FY17</t>
  </si>
  <si>
    <t>FY18</t>
  </si>
  <si>
    <t>CAGR</t>
  </si>
  <si>
    <t>Next-Gen chips: Rubin</t>
  </si>
  <si>
    <t>Compute &amp; Networking</t>
  </si>
  <si>
    <t>Graphics</t>
  </si>
  <si>
    <t>Q226</t>
  </si>
  <si>
    <t>Q326</t>
  </si>
  <si>
    <t>Q426</t>
  </si>
  <si>
    <t>FY25</t>
  </si>
  <si>
    <t>Cash &amp;Cash Equivalents</t>
  </si>
  <si>
    <t>Marketable Securities</t>
  </si>
  <si>
    <t>Accounts Receivables</t>
  </si>
  <si>
    <t>Inventories</t>
  </si>
  <si>
    <t>Prepaid Expenses</t>
  </si>
  <si>
    <t>Current Assets</t>
  </si>
  <si>
    <t>Total Assets</t>
  </si>
  <si>
    <t>PP&amp;E</t>
  </si>
  <si>
    <t>Operating Leases</t>
  </si>
  <si>
    <t>Goodwill</t>
  </si>
  <si>
    <t>Intangibles</t>
  </si>
  <si>
    <t>Deffered Taxes</t>
  </si>
  <si>
    <t>Other Assets</t>
  </si>
  <si>
    <t>Non-Current Assets</t>
  </si>
  <si>
    <t>Total Liabilities &amp; Equity</t>
  </si>
  <si>
    <t>Accounts Payables</t>
  </si>
  <si>
    <t>Current Liabilties</t>
  </si>
  <si>
    <t>Long-term debt</t>
  </si>
  <si>
    <t>Non-Current Liabilities</t>
  </si>
  <si>
    <t>Equity</t>
  </si>
  <si>
    <t>AI-Economy:</t>
  </si>
  <si>
    <t>"Acquired! Groq for 20$ billion</t>
  </si>
  <si>
    <t>FY26</t>
  </si>
  <si>
    <t>Q127</t>
  </si>
  <si>
    <t>Q227</t>
  </si>
  <si>
    <t>Q327</t>
  </si>
  <si>
    <t>Q427</t>
  </si>
  <si>
    <t>Short-Term Debt</t>
  </si>
  <si>
    <t>CFFO</t>
  </si>
  <si>
    <t>Change in WC</t>
  </si>
  <si>
    <t>SBCs</t>
  </si>
  <si>
    <t>D&amp;A</t>
  </si>
  <si>
    <t>Gains on Sale of Secur.</t>
  </si>
  <si>
    <t>Deferred income tax</t>
  </si>
  <si>
    <t>Change in AR</t>
  </si>
  <si>
    <t>Change in PE</t>
  </si>
  <si>
    <t>Change in AP</t>
  </si>
  <si>
    <t>Change AL &amp; other</t>
  </si>
  <si>
    <t>Change in Inventories</t>
  </si>
  <si>
    <t>Change in LT L</t>
  </si>
  <si>
    <t>Sale of MS</t>
  </si>
  <si>
    <t>Maturities on MS</t>
  </si>
  <si>
    <t>Purchase of MS</t>
  </si>
  <si>
    <t>Groq Acq</t>
  </si>
  <si>
    <t>CapEx</t>
  </si>
  <si>
    <t>Acquisitions</t>
  </si>
  <si>
    <t>CFFI</t>
  </si>
  <si>
    <t>Employee stock plan</t>
  </si>
  <si>
    <t>Repurchase of Stock</t>
  </si>
  <si>
    <t>Employee SP taxes</t>
  </si>
  <si>
    <t>Dividends</t>
  </si>
  <si>
    <t>Principal payments Assets</t>
  </si>
  <si>
    <t>Repayment of Debt</t>
  </si>
  <si>
    <t>CFFF</t>
  </si>
  <si>
    <t>Change in Cash</t>
  </si>
  <si>
    <t>Cash BoP</t>
  </si>
  <si>
    <t>Cash EoP</t>
  </si>
  <si>
    <t>Hyperscale</t>
  </si>
  <si>
    <t>AI Clouds, Enterprises</t>
  </si>
  <si>
    <t>Edge Computing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</si>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</sst>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;\(#,##0.0\)"/>
    <numFmt numFmtId="166" formatCode="#,##0.00;\(#,##0.00\)"/>
  </numFmts>
  <fonts count="1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1">
    <xf numFmtId="0" fontId="0" fillId="0" borderId="0" xfId="0"/>
    <xf numFmtId="0" fontId="13" fillId="0" borderId="0" xfId="2" applyFont="1"/>
    <xf numFmtId="0" fontId="7" fillId="0" borderId="0" xfId="0" applyFont="1"/>
    <xf numFmtId="0" fontId="7" fillId="0" borderId="0" xfId="0" applyFont="1" applyAlignment="1">
      <alignment horizontal="right"/>
    </xf>
    <xf numFmtId="164" fontId="7" fillId="0" borderId="0" xfId="0" applyNumberFormat="1" applyFont="1"/>
    <xf numFmtId="0" fontId="7" fillId="0" borderId="0" xfId="0" applyFont="1" applyAlignment="1">
      <alignment horizontal="left" indent="1"/>
    </xf>
    <xf numFmtId="3" fontId="7" fillId="0" borderId="0" xfId="0" applyNumberFormat="1" applyFont="1"/>
    <xf numFmtId="0" fontId="12" fillId="0" borderId="0" xfId="0" applyFont="1"/>
    <xf numFmtId="164" fontId="12" fillId="0" borderId="0" xfId="0" applyNumberFormat="1" applyFont="1"/>
    <xf numFmtId="9" fontId="7" fillId="0" borderId="0" xfId="1" applyFont="1"/>
    <xf numFmtId="166" fontId="7" fillId="0" borderId="0" xfId="0" applyNumberFormat="1" applyFont="1"/>
    <xf numFmtId="9" fontId="12" fillId="0" borderId="0" xfId="1" applyFont="1"/>
    <xf numFmtId="165" fontId="7" fillId="0" borderId="0" xfId="0" applyNumberFormat="1" applyFont="1"/>
    <xf numFmtId="0" fontId="7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6" fillId="0" borderId="0" xfId="0" applyFont="1"/>
    <xf numFmtId="0" fontId="5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3" fillId="0" borderId="0" xfId="0" applyFont="1"/>
    <xf numFmtId="164" fontId="7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left" indent="1"/>
    </xf>
    <xf numFmtId="164" fontId="2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/>
    <xf numFmtId="9" fontId="1" fillId="0" borderId="0" xfId="1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7</xdr:col>
      <xdr:colOff>601375</xdr:colOff>
      <xdr:row>49</xdr:row>
      <xdr:rowOff>23813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0D1AAB-DAE7-7750-1DF6-3D3872BCE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2752725"/>
          <a:ext cx="4258975" cy="520541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66CBC23C-E0F5-48C3-BB83-9452255F8538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5" dT="2026-02-26T09:13:20.33" personId="{66CBC23C-E0F5-48C3-BB83-9452255F8538}" id="{C99F6FDA-7134-460D-9B9D-8EE5EA0C3280}">
    <text>Guidance Q425: 78.000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nvestor.nvidia.com/home/default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F797-C781-42AA-B03B-D2923324776E}">
  <dimension ref="A1:J16"/>
  <sheetViews>
    <sheetView topLeftCell="B1" zoomScale="200" zoomScaleNormal="200" workbookViewId="0">
      <selection activeCell="J5" sqref="J5:J6"/>
    </sheetView>
  </sheetViews>
  <sheetFormatPr defaultRowHeight="12.75" x14ac:dyDescent="0.2"/>
  <cols>
    <col min="1" max="1" width="3.5703125" style="2" customWidth="1"/>
    <col min="2" max="8" width="9.140625" style="2"/>
    <col min="9" max="9" width="10.140625" style="2" bestFit="1" customWidth="1"/>
    <col min="10" max="16384" width="9.140625" style="2"/>
  </cols>
  <sheetData>
    <row r="1" spans="1:10" x14ac:dyDescent="0.2">
      <c r="A1" s="7" t="s">
        <v>0</v>
      </c>
    </row>
    <row r="2" spans="1:10" x14ac:dyDescent="0.2">
      <c r="A2" s="2" t="s">
        <v>1</v>
      </c>
      <c r="H2" s="2" t="s">
        <v>3</v>
      </c>
      <c r="I2" s="12">
        <v>222.97</v>
      </c>
    </row>
    <row r="3" spans="1:10" x14ac:dyDescent="0.2">
      <c r="H3" s="2" t="s">
        <v>4</v>
      </c>
      <c r="I3" s="4">
        <v>24100</v>
      </c>
      <c r="J3" s="28" t="s">
        <v>116</v>
      </c>
    </row>
    <row r="4" spans="1:10" x14ac:dyDescent="0.2">
      <c r="B4" s="2" t="s">
        <v>2</v>
      </c>
      <c r="H4" s="2" t="s">
        <v>5</v>
      </c>
      <c r="I4" s="4">
        <f>I2*I3</f>
        <v>5373577</v>
      </c>
    </row>
    <row r="5" spans="1:10" x14ac:dyDescent="0.2">
      <c r="B5" s="1" t="s">
        <v>50</v>
      </c>
      <c r="H5" s="2" t="s">
        <v>6</v>
      </c>
      <c r="I5" s="4">
        <f>22443+34143</f>
        <v>56586</v>
      </c>
      <c r="J5" s="28" t="s">
        <v>116</v>
      </c>
    </row>
    <row r="6" spans="1:10" x14ac:dyDescent="0.2">
      <c r="H6" s="2" t="s">
        <v>7</v>
      </c>
      <c r="I6" s="25">
        <v>32366</v>
      </c>
      <c r="J6" s="28" t="s">
        <v>116</v>
      </c>
    </row>
    <row r="7" spans="1:10" x14ac:dyDescent="0.2">
      <c r="A7" s="13" t="s">
        <v>10</v>
      </c>
      <c r="B7" s="14" t="s">
        <v>9</v>
      </c>
      <c r="H7" s="2" t="s">
        <v>8</v>
      </c>
      <c r="I7" s="4">
        <f>I4-I5+I6</f>
        <v>5349357</v>
      </c>
    </row>
    <row r="9" spans="1:10" x14ac:dyDescent="0.2">
      <c r="H9" s="2" t="s">
        <v>62</v>
      </c>
    </row>
    <row r="10" spans="1:10" x14ac:dyDescent="0.2">
      <c r="H10" s="2" t="s">
        <v>20</v>
      </c>
    </row>
    <row r="11" spans="1:10" x14ac:dyDescent="0.2">
      <c r="B11" s="15" t="s">
        <v>51</v>
      </c>
      <c r="H11" s="2" t="s">
        <v>53</v>
      </c>
    </row>
    <row r="12" spans="1:10" x14ac:dyDescent="0.2">
      <c r="B12" s="2" t="s">
        <v>52</v>
      </c>
    </row>
    <row r="13" spans="1:10" x14ac:dyDescent="0.2">
      <c r="B13" s="2" t="s">
        <v>85</v>
      </c>
    </row>
    <row r="14" spans="1:10" x14ac:dyDescent="0.2">
      <c r="B14" s="17" t="s">
        <v>113</v>
      </c>
    </row>
    <row r="16" spans="1:10" x14ac:dyDescent="0.2">
      <c r="B16" s="14" t="s">
        <v>112</v>
      </c>
    </row>
  </sheetData>
  <hyperlinks>
    <hyperlink ref="B5" r:id="rId1" xr:uid="{9C1679DA-4654-4F90-8D94-B7BFC2E81C42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FD93-400A-4B64-9637-988319BC69BE}">
  <dimension ref="A1:DK388"/>
  <sheetViews>
    <sheetView tabSelected="1" zoomScale="200" zoomScaleNormal="20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P1" sqref="P1"/>
    </sheetView>
  </sheetViews>
  <sheetFormatPr defaultRowHeight="12.75" x14ac:dyDescent="0.2"/>
  <cols>
    <col min="1" max="1" width="4.7109375" style="2" bestFit="1" customWidth="1"/>
    <col min="2" max="2" width="24.5703125" style="2" bestFit="1" customWidth="1"/>
    <col min="3" max="16384" width="9.140625" style="2"/>
  </cols>
  <sheetData>
    <row r="1" spans="1:71" x14ac:dyDescent="0.2">
      <c r="A1" s="1" t="s">
        <v>12</v>
      </c>
    </row>
    <row r="2" spans="1:71" x14ac:dyDescent="0.2"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11</v>
      </c>
      <c r="I2" s="3" t="s">
        <v>18</v>
      </c>
      <c r="J2" s="3" t="s">
        <v>19</v>
      </c>
      <c r="K2" s="3" t="s">
        <v>63</v>
      </c>
      <c r="L2" s="3" t="s">
        <v>88</v>
      </c>
      <c r="M2" s="3" t="s">
        <v>89</v>
      </c>
      <c r="N2" s="24" t="s">
        <v>90</v>
      </c>
      <c r="O2" s="19" t="s">
        <v>115</v>
      </c>
      <c r="P2" s="19" t="s">
        <v>116</v>
      </c>
      <c r="Q2" s="19" t="s">
        <v>117</v>
      </c>
      <c r="R2" s="19" t="s">
        <v>118</v>
      </c>
      <c r="S2" s="3"/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73</v>
      </c>
      <c r="AC2" s="3" t="s">
        <v>74</v>
      </c>
      <c r="AD2" s="3" t="s">
        <v>75</v>
      </c>
      <c r="AE2" s="3" t="s">
        <v>76</v>
      </c>
      <c r="AF2" s="3" t="s">
        <v>77</v>
      </c>
      <c r="AG2" s="3" t="s">
        <v>78</v>
      </c>
      <c r="AH2" s="3" t="s">
        <v>80</v>
      </c>
      <c r="AI2" s="3" t="s">
        <v>79</v>
      </c>
      <c r="AJ2" s="3" t="s">
        <v>81</v>
      </c>
      <c r="AK2" s="3" t="s">
        <v>82</v>
      </c>
      <c r="AL2" s="3" t="s">
        <v>83</v>
      </c>
      <c r="AM2" s="3" t="s">
        <v>44</v>
      </c>
      <c r="AN2" s="3" t="s">
        <v>45</v>
      </c>
      <c r="AO2" s="3" t="s">
        <v>46</v>
      </c>
      <c r="AP2" s="3" t="s">
        <v>47</v>
      </c>
      <c r="AQ2" s="3" t="s">
        <v>48</v>
      </c>
      <c r="AR2" s="3" t="s">
        <v>49</v>
      </c>
      <c r="AS2" s="3" t="s">
        <v>91</v>
      </c>
      <c r="AT2" s="19" t="s">
        <v>114</v>
      </c>
    </row>
    <row r="3" spans="1:71" s="4" customFormat="1" x14ac:dyDescent="0.2">
      <c r="A3" s="2"/>
      <c r="B3" s="2" t="s">
        <v>38</v>
      </c>
      <c r="C3" s="4">
        <v>4284</v>
      </c>
      <c r="D3" s="4">
        <v>10323</v>
      </c>
      <c r="E3" s="4">
        <v>14514</v>
      </c>
      <c r="F3" s="4">
        <f t="shared" ref="F3:F12" si="0">+AR3-SUM(C3:E3)</f>
        <v>18404</v>
      </c>
      <c r="G3" s="4">
        <v>22563</v>
      </c>
      <c r="H3" s="4">
        <v>26272</v>
      </c>
      <c r="I3" s="4">
        <v>30771</v>
      </c>
      <c r="J3" s="4">
        <f t="shared" ref="J3:J12" si="1">+AS3-SUM(G3:I3)</f>
        <v>35580</v>
      </c>
      <c r="K3" s="4">
        <v>39112</v>
      </c>
      <c r="L3" s="4">
        <v>41096</v>
      </c>
      <c r="M3" s="4">
        <v>51215</v>
      </c>
      <c r="N3" s="4">
        <f>+AT3-SUM(K3:M3)</f>
        <v>62314</v>
      </c>
      <c r="O3" s="4">
        <v>75246</v>
      </c>
      <c r="P3" s="4">
        <v>89023</v>
      </c>
      <c r="AQ3" s="4">
        <v>15005</v>
      </c>
      <c r="AR3" s="4">
        <v>47525</v>
      </c>
      <c r="AS3" s="4">
        <v>115186</v>
      </c>
      <c r="AT3" s="4">
        <v>193737</v>
      </c>
    </row>
    <row r="4" spans="1:71" s="4" customFormat="1" x14ac:dyDescent="0.2">
      <c r="A4" s="2"/>
      <c r="B4" s="5" t="s">
        <v>39</v>
      </c>
      <c r="C4" s="4">
        <v>3357</v>
      </c>
      <c r="D4" s="4">
        <v>8612</v>
      </c>
      <c r="E4" s="4">
        <v>11908</v>
      </c>
      <c r="F4" s="4">
        <f t="shared" si="0"/>
        <v>15073</v>
      </c>
      <c r="G4" s="4">
        <v>19392</v>
      </c>
      <c r="H4" s="4">
        <v>22604</v>
      </c>
      <c r="I4" s="4">
        <v>27644</v>
      </c>
      <c r="J4" s="4">
        <f t="shared" si="1"/>
        <v>32556</v>
      </c>
      <c r="K4" s="4">
        <v>34155</v>
      </c>
      <c r="L4" s="4">
        <v>33844</v>
      </c>
      <c r="M4" s="4">
        <v>43028</v>
      </c>
      <c r="N4" s="4">
        <f t="shared" ref="N4:N14" si="2">+AT4-SUM(K4:M4)</f>
        <v>51334</v>
      </c>
      <c r="O4" s="27" t="s">
        <v>152</v>
      </c>
      <c r="P4" s="27" t="s">
        <v>152</v>
      </c>
      <c r="AQ4" s="4">
        <v>11317</v>
      </c>
      <c r="AR4" s="4">
        <v>38950</v>
      </c>
      <c r="AS4" s="4">
        <v>102196</v>
      </c>
      <c r="AT4" s="4">
        <v>162361</v>
      </c>
    </row>
    <row r="5" spans="1:71" s="4" customFormat="1" x14ac:dyDescent="0.2">
      <c r="A5" s="2"/>
      <c r="B5" s="5" t="s">
        <v>40</v>
      </c>
      <c r="C5" s="4">
        <v>927</v>
      </c>
      <c r="D5" s="4">
        <v>1711</v>
      </c>
      <c r="E5" s="4">
        <v>2606</v>
      </c>
      <c r="F5" s="4">
        <f t="shared" si="0"/>
        <v>3331</v>
      </c>
      <c r="G5" s="4">
        <v>3171</v>
      </c>
      <c r="H5" s="4">
        <v>3668</v>
      </c>
      <c r="I5" s="4">
        <v>3127</v>
      </c>
      <c r="J5" s="4">
        <f t="shared" si="1"/>
        <v>3024</v>
      </c>
      <c r="K5" s="4">
        <v>4957</v>
      </c>
      <c r="L5" s="4">
        <v>7252</v>
      </c>
      <c r="M5" s="4">
        <v>8187</v>
      </c>
      <c r="N5" s="4">
        <f t="shared" si="2"/>
        <v>10980</v>
      </c>
      <c r="O5" s="27" t="s">
        <v>152</v>
      </c>
      <c r="P5" s="27" t="s">
        <v>152</v>
      </c>
      <c r="AQ5" s="4">
        <v>3688</v>
      </c>
      <c r="AR5" s="4">
        <v>8575</v>
      </c>
      <c r="AS5" s="4">
        <v>12990</v>
      </c>
      <c r="AT5" s="4">
        <v>31376</v>
      </c>
    </row>
    <row r="6" spans="1:71" s="4" customFormat="1" x14ac:dyDescent="0.2">
      <c r="A6" s="2"/>
      <c r="B6" s="26" t="s">
        <v>149</v>
      </c>
      <c r="K6" s="4">
        <v>17599</v>
      </c>
      <c r="L6" s="4">
        <v>24168</v>
      </c>
      <c r="O6" s="4">
        <v>37869</v>
      </c>
      <c r="P6" s="4">
        <v>48719</v>
      </c>
    </row>
    <row r="7" spans="1:71" s="4" customFormat="1" x14ac:dyDescent="0.2">
      <c r="A7" s="2"/>
      <c r="B7" s="26" t="s">
        <v>150</v>
      </c>
      <c r="K7" s="4">
        <v>21513</v>
      </c>
      <c r="L7" s="4">
        <v>16828</v>
      </c>
      <c r="O7" s="4">
        <v>37377</v>
      </c>
      <c r="P7" s="4">
        <v>40313</v>
      </c>
    </row>
    <row r="8" spans="1:71" s="4" customFormat="1" x14ac:dyDescent="0.2">
      <c r="A8" s="2"/>
      <c r="B8" s="26" t="s">
        <v>151</v>
      </c>
      <c r="K8" s="4">
        <v>4950</v>
      </c>
      <c r="L8" s="4">
        <v>5647</v>
      </c>
      <c r="O8" s="4">
        <v>6369</v>
      </c>
      <c r="P8" s="4">
        <v>7198</v>
      </c>
    </row>
    <row r="9" spans="1:71" s="4" customFormat="1" x14ac:dyDescent="0.2">
      <c r="A9" s="2"/>
      <c r="B9" s="2" t="s">
        <v>41</v>
      </c>
      <c r="C9" s="4">
        <v>2240</v>
      </c>
      <c r="D9" s="4">
        <v>2486</v>
      </c>
      <c r="E9" s="4">
        <v>2856</v>
      </c>
      <c r="F9" s="4">
        <f t="shared" si="0"/>
        <v>2865</v>
      </c>
      <c r="G9" s="4">
        <v>2647</v>
      </c>
      <c r="H9" s="4">
        <v>2880</v>
      </c>
      <c r="I9" s="4">
        <v>3279</v>
      </c>
      <c r="J9" s="4">
        <f t="shared" si="1"/>
        <v>2544</v>
      </c>
      <c r="K9" s="4">
        <v>3763</v>
      </c>
      <c r="L9" s="4">
        <v>4287</v>
      </c>
      <c r="M9" s="4">
        <v>4265</v>
      </c>
      <c r="N9" s="4">
        <f t="shared" si="2"/>
        <v>3727</v>
      </c>
      <c r="O9" s="27" t="s">
        <v>152</v>
      </c>
      <c r="P9" s="27" t="s">
        <v>152</v>
      </c>
      <c r="AQ9" s="4">
        <v>9067</v>
      </c>
      <c r="AR9" s="4">
        <v>10447</v>
      </c>
      <c r="AS9" s="4">
        <v>11350</v>
      </c>
      <c r="AT9" s="4">
        <v>16042</v>
      </c>
    </row>
    <row r="10" spans="1:71" s="4" customFormat="1" x14ac:dyDescent="0.2">
      <c r="A10" s="2"/>
      <c r="B10" s="2" t="s">
        <v>42</v>
      </c>
      <c r="C10" s="4">
        <v>295</v>
      </c>
      <c r="D10" s="4">
        <v>379</v>
      </c>
      <c r="E10" s="4">
        <v>416</v>
      </c>
      <c r="F10" s="4">
        <f t="shared" si="0"/>
        <v>463</v>
      </c>
      <c r="G10" s="4">
        <v>427</v>
      </c>
      <c r="H10" s="4">
        <v>454</v>
      </c>
      <c r="I10" s="4">
        <v>486</v>
      </c>
      <c r="J10" s="4">
        <f t="shared" si="1"/>
        <v>511</v>
      </c>
      <c r="K10" s="4">
        <v>509</v>
      </c>
      <c r="L10" s="4">
        <v>601</v>
      </c>
      <c r="M10" s="4">
        <v>760</v>
      </c>
      <c r="N10" s="4">
        <f t="shared" si="2"/>
        <v>1321</v>
      </c>
      <c r="O10" s="27" t="s">
        <v>152</v>
      </c>
      <c r="P10" s="27" t="s">
        <v>152</v>
      </c>
      <c r="AQ10" s="4">
        <v>1544</v>
      </c>
      <c r="AR10" s="4">
        <v>1553</v>
      </c>
      <c r="AS10" s="4">
        <v>1878</v>
      </c>
      <c r="AT10" s="4">
        <v>3191</v>
      </c>
    </row>
    <row r="11" spans="1:71" s="4" customFormat="1" x14ac:dyDescent="0.2">
      <c r="A11" s="2"/>
      <c r="B11" s="2" t="s">
        <v>43</v>
      </c>
      <c r="C11" s="4">
        <v>296</v>
      </c>
      <c r="D11" s="4">
        <v>259</v>
      </c>
      <c r="E11" s="4">
        <v>261</v>
      </c>
      <c r="F11" s="4">
        <f t="shared" si="0"/>
        <v>275</v>
      </c>
      <c r="G11" s="4">
        <v>329</v>
      </c>
      <c r="H11" s="4">
        <v>346</v>
      </c>
      <c r="I11" s="4">
        <v>449</v>
      </c>
      <c r="J11" s="4">
        <f t="shared" si="1"/>
        <v>570</v>
      </c>
      <c r="K11" s="4">
        <v>567</v>
      </c>
      <c r="L11" s="4">
        <v>586</v>
      </c>
      <c r="M11" s="4">
        <v>592</v>
      </c>
      <c r="N11" s="4">
        <f t="shared" si="2"/>
        <v>604</v>
      </c>
      <c r="O11" s="27" t="s">
        <v>152</v>
      </c>
      <c r="P11" s="27" t="s">
        <v>152</v>
      </c>
      <c r="AQ11" s="4">
        <v>903</v>
      </c>
      <c r="AR11" s="4">
        <v>1091</v>
      </c>
      <c r="AS11" s="4">
        <v>1694</v>
      </c>
      <c r="AT11" s="4">
        <v>2349</v>
      </c>
    </row>
    <row r="12" spans="1:71" s="4" customFormat="1" x14ac:dyDescent="0.2">
      <c r="A12" s="2"/>
      <c r="B12" s="2" t="s">
        <v>29</v>
      </c>
      <c r="C12" s="4">
        <v>77</v>
      </c>
      <c r="D12" s="4">
        <v>66</v>
      </c>
      <c r="E12" s="4">
        <v>73</v>
      </c>
      <c r="F12" s="4">
        <f t="shared" si="0"/>
        <v>90</v>
      </c>
      <c r="G12" s="4">
        <v>78</v>
      </c>
      <c r="H12" s="4">
        <v>88</v>
      </c>
      <c r="I12" s="4">
        <v>97</v>
      </c>
      <c r="J12" s="4">
        <f t="shared" si="1"/>
        <v>126</v>
      </c>
      <c r="K12" s="4">
        <v>111</v>
      </c>
      <c r="L12" s="4">
        <v>173</v>
      </c>
      <c r="M12" s="4">
        <v>174</v>
      </c>
      <c r="N12" s="4">
        <f t="shared" si="2"/>
        <v>161</v>
      </c>
      <c r="O12" s="27" t="s">
        <v>152</v>
      </c>
      <c r="P12" s="27" t="s">
        <v>152</v>
      </c>
      <c r="AQ12" s="4">
        <v>455</v>
      </c>
      <c r="AR12" s="4">
        <v>306</v>
      </c>
      <c r="AS12" s="4">
        <v>389</v>
      </c>
      <c r="AT12" s="4">
        <v>619</v>
      </c>
    </row>
    <row r="13" spans="1:71" s="4" customFormat="1" x14ac:dyDescent="0.2">
      <c r="A13" s="2"/>
      <c r="B13" s="2" t="s">
        <v>86</v>
      </c>
      <c r="C13" s="21">
        <v>4460</v>
      </c>
      <c r="D13" s="21">
        <v>10402</v>
      </c>
      <c r="E13" s="21">
        <v>14645</v>
      </c>
      <c r="F13" s="21">
        <v>17898</v>
      </c>
      <c r="G13" s="21">
        <v>22675</v>
      </c>
      <c r="H13" s="21">
        <v>26446</v>
      </c>
      <c r="I13" s="21">
        <v>31036</v>
      </c>
      <c r="J13" s="21">
        <v>36036</v>
      </c>
      <c r="K13" s="21">
        <v>39589</v>
      </c>
      <c r="L13" s="4">
        <v>41331</v>
      </c>
      <c r="M13" s="4">
        <v>50908</v>
      </c>
      <c r="N13" s="4">
        <f t="shared" si="2"/>
        <v>61651</v>
      </c>
      <c r="O13" s="4">
        <v>74550</v>
      </c>
      <c r="P13" s="4">
        <v>88299</v>
      </c>
      <c r="AM13" s="4">
        <v>2932</v>
      </c>
      <c r="AN13" s="4">
        <v>3279</v>
      </c>
      <c r="AO13" s="4">
        <v>6841</v>
      </c>
      <c r="AP13" s="4">
        <v>11046</v>
      </c>
      <c r="AQ13" s="4">
        <v>15068</v>
      </c>
      <c r="AR13" s="4">
        <v>47405</v>
      </c>
      <c r="AS13" s="4">
        <v>116193</v>
      </c>
      <c r="AT13" s="4">
        <v>193479</v>
      </c>
    </row>
    <row r="14" spans="1:71" s="4" customFormat="1" x14ac:dyDescent="0.2">
      <c r="A14" s="2"/>
      <c r="B14" s="2" t="s">
        <v>87</v>
      </c>
      <c r="C14" s="21">
        <v>2732</v>
      </c>
      <c r="D14" s="21">
        <v>3105</v>
      </c>
      <c r="E14" s="21">
        <v>3475</v>
      </c>
      <c r="F14" s="21">
        <v>4205</v>
      </c>
      <c r="G14" s="21">
        <v>3369</v>
      </c>
      <c r="H14" s="21">
        <v>3594</v>
      </c>
      <c r="I14" s="21">
        <v>4046</v>
      </c>
      <c r="J14" s="21">
        <v>3295</v>
      </c>
      <c r="K14" s="21">
        <v>4473</v>
      </c>
      <c r="L14" s="4">
        <v>5412</v>
      </c>
      <c r="M14" s="4">
        <v>6098</v>
      </c>
      <c r="N14" s="4">
        <f t="shared" si="2"/>
        <v>6476</v>
      </c>
      <c r="O14" s="4">
        <v>7065</v>
      </c>
      <c r="P14" s="4">
        <v>7922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M14" s="4">
        <v>6246</v>
      </c>
      <c r="AN14" s="4">
        <v>7639</v>
      </c>
      <c r="AO14" s="4">
        <v>9834</v>
      </c>
      <c r="AP14" s="4">
        <v>15868</v>
      </c>
      <c r="AQ14" s="4">
        <v>11906</v>
      </c>
      <c r="AR14" s="4">
        <v>13517</v>
      </c>
      <c r="AS14" s="4">
        <v>14304</v>
      </c>
      <c r="AT14" s="4">
        <v>22459</v>
      </c>
    </row>
    <row r="15" spans="1:71" s="4" customFormat="1" x14ac:dyDescent="0.2">
      <c r="A15" s="2"/>
      <c r="B15" s="7" t="s">
        <v>21</v>
      </c>
      <c r="C15" s="8">
        <v>7192</v>
      </c>
      <c r="D15" s="8">
        <v>13507</v>
      </c>
      <c r="E15" s="8">
        <v>18120</v>
      </c>
      <c r="F15" s="8">
        <f>+AR15-SUM(C15:E15)</f>
        <v>22103</v>
      </c>
      <c r="G15" s="8">
        <v>26044</v>
      </c>
      <c r="H15" s="8">
        <v>30040</v>
      </c>
      <c r="I15" s="8">
        <v>35082</v>
      </c>
      <c r="J15" s="8">
        <f>+AS15-SUM(G15:I15)</f>
        <v>39331</v>
      </c>
      <c r="K15" s="8">
        <v>44062</v>
      </c>
      <c r="L15" s="8">
        <v>46743</v>
      </c>
      <c r="M15" s="8">
        <v>57006</v>
      </c>
      <c r="N15" s="8">
        <v>68127</v>
      </c>
      <c r="O15" s="8">
        <v>81615</v>
      </c>
      <c r="P15" s="8">
        <v>96221</v>
      </c>
      <c r="Q15" s="8"/>
      <c r="R15" s="8"/>
      <c r="S15" s="8"/>
      <c r="T15" s="22">
        <v>374.505</v>
      </c>
      <c r="U15" s="22">
        <v>735.26400000000001</v>
      </c>
      <c r="V15" s="22">
        <v>1369.471</v>
      </c>
      <c r="W15" s="22">
        <v>1909.4469999999999</v>
      </c>
      <c r="X15" s="22">
        <v>1822.9449999999999</v>
      </c>
      <c r="Y15" s="22">
        <v>2010.0329999999999</v>
      </c>
      <c r="Z15" s="22">
        <v>2375.6869999999999</v>
      </c>
      <c r="AA15" s="22">
        <v>3068.7710000000002</v>
      </c>
      <c r="AB15" s="22">
        <v>4097.8599999999997</v>
      </c>
      <c r="AC15" s="22">
        <v>3424.8589999999999</v>
      </c>
      <c r="AD15" s="22">
        <v>3326.4450000000002</v>
      </c>
      <c r="AE15" s="8">
        <v>3543.3090000000002</v>
      </c>
      <c r="AF15" s="8">
        <v>3997.93</v>
      </c>
      <c r="AG15" s="8">
        <v>4280.1589999999997</v>
      </c>
      <c r="AH15" s="8">
        <v>4130</v>
      </c>
      <c r="AI15" s="8">
        <v>4682</v>
      </c>
      <c r="AJ15" s="8">
        <v>5010</v>
      </c>
      <c r="AK15" s="8">
        <v>6910</v>
      </c>
      <c r="AL15" s="8">
        <v>9714</v>
      </c>
      <c r="AM15" s="8">
        <f t="shared" ref="AM15" si="3">+AM14+AM13+AM10+AM9+AM5</f>
        <v>9178</v>
      </c>
      <c r="AN15" s="8">
        <v>10918</v>
      </c>
      <c r="AO15" s="8">
        <v>16675</v>
      </c>
      <c r="AP15" s="8">
        <v>26913</v>
      </c>
      <c r="AQ15" s="8">
        <v>26974</v>
      </c>
      <c r="AR15" s="8">
        <v>60922</v>
      </c>
      <c r="AS15" s="8">
        <v>130497</v>
      </c>
      <c r="AT15" s="8">
        <v>215938</v>
      </c>
      <c r="BQ15" s="4">
        <v>26977</v>
      </c>
      <c r="BR15" s="4">
        <v>60922</v>
      </c>
      <c r="BS15" s="4">
        <v>130497</v>
      </c>
    </row>
    <row r="16" spans="1:71" s="4" customFormat="1" x14ac:dyDescent="0.2">
      <c r="A16" s="2"/>
      <c r="B16" s="2" t="s">
        <v>22</v>
      </c>
      <c r="C16" s="4">
        <v>2544</v>
      </c>
      <c r="D16" s="4">
        <v>4045</v>
      </c>
      <c r="E16" s="4">
        <v>4720</v>
      </c>
      <c r="F16" s="4">
        <f>+AR16-SUM(C16:E16)</f>
        <v>5312</v>
      </c>
      <c r="G16" s="4">
        <v>5638</v>
      </c>
      <c r="H16" s="4">
        <v>7466</v>
      </c>
      <c r="I16" s="4">
        <v>8926</v>
      </c>
      <c r="J16" s="4">
        <f>+AS16-SUM(G16:I16)</f>
        <v>10609</v>
      </c>
      <c r="K16" s="4">
        <v>17394</v>
      </c>
      <c r="L16" s="4">
        <v>12890</v>
      </c>
      <c r="M16" s="4">
        <v>15157</v>
      </c>
      <c r="N16" s="4">
        <v>17034</v>
      </c>
      <c r="O16" s="4">
        <v>20458</v>
      </c>
      <c r="P16" s="4">
        <v>24079</v>
      </c>
      <c r="T16" s="4">
        <v>141.84299999999999</v>
      </c>
      <c r="U16" s="4">
        <v>272.87900000000002</v>
      </c>
      <c r="V16" s="4">
        <v>519.23800000000006</v>
      </c>
      <c r="W16" s="4">
        <v>1327.271</v>
      </c>
      <c r="X16" s="4">
        <v>1294.067</v>
      </c>
      <c r="Y16" s="4">
        <v>1360.547</v>
      </c>
      <c r="Z16" s="4">
        <v>1465.654</v>
      </c>
      <c r="AA16" s="4">
        <v>1768.3219999999999</v>
      </c>
      <c r="AB16" s="4">
        <v>2228.58</v>
      </c>
      <c r="AC16" s="4">
        <v>2250.59</v>
      </c>
      <c r="AD16" s="4">
        <v>2149.5219999999999</v>
      </c>
      <c r="AE16" s="4">
        <v>2134.2190000000001</v>
      </c>
      <c r="AF16" s="4">
        <v>1941.413</v>
      </c>
      <c r="AG16" s="4">
        <v>2053.8159999999998</v>
      </c>
      <c r="AH16" s="4">
        <v>1862</v>
      </c>
      <c r="AI16" s="4">
        <v>2083</v>
      </c>
      <c r="AJ16" s="4">
        <v>2199</v>
      </c>
      <c r="AK16" s="4">
        <v>2847</v>
      </c>
      <c r="AL16" s="4">
        <v>3892</v>
      </c>
      <c r="AM16" s="4">
        <v>4545</v>
      </c>
      <c r="AN16" s="4">
        <v>4150</v>
      </c>
      <c r="AO16" s="4">
        <v>6279</v>
      </c>
      <c r="AP16" s="4">
        <v>9440</v>
      </c>
      <c r="AQ16" s="4">
        <v>11618</v>
      </c>
      <c r="AR16" s="4">
        <v>16621</v>
      </c>
      <c r="AS16" s="4">
        <v>32639</v>
      </c>
      <c r="AT16" s="4">
        <v>62475</v>
      </c>
      <c r="BQ16" s="4">
        <v>11618</v>
      </c>
      <c r="BR16" s="4">
        <v>16621</v>
      </c>
      <c r="BS16" s="4">
        <v>32638</v>
      </c>
    </row>
    <row r="17" spans="1:99" s="4" customFormat="1" x14ac:dyDescent="0.2">
      <c r="A17" s="2"/>
      <c r="B17" s="2" t="s">
        <v>23</v>
      </c>
      <c r="C17" s="4">
        <f t="shared" ref="C17:G17" si="4">+C15-C16</f>
        <v>4648</v>
      </c>
      <c r="D17" s="4">
        <f t="shared" si="4"/>
        <v>9462</v>
      </c>
      <c r="E17" s="4">
        <f t="shared" si="4"/>
        <v>13400</v>
      </c>
      <c r="F17" s="4">
        <f t="shared" si="4"/>
        <v>16791</v>
      </c>
      <c r="G17" s="4">
        <f t="shared" si="4"/>
        <v>20406</v>
      </c>
      <c r="H17" s="4">
        <f>+H15-H16</f>
        <v>22574</v>
      </c>
      <c r="I17" s="4">
        <f t="shared" ref="I17:P17" si="5">+I15-I16</f>
        <v>26156</v>
      </c>
      <c r="J17" s="4">
        <f t="shared" si="5"/>
        <v>28722</v>
      </c>
      <c r="K17" s="4">
        <f t="shared" si="5"/>
        <v>26668</v>
      </c>
      <c r="L17" s="4">
        <f t="shared" si="5"/>
        <v>33853</v>
      </c>
      <c r="M17" s="4">
        <f t="shared" si="5"/>
        <v>41849</v>
      </c>
      <c r="N17" s="4">
        <f t="shared" si="5"/>
        <v>51093</v>
      </c>
      <c r="O17" s="4">
        <f t="shared" si="5"/>
        <v>61157</v>
      </c>
      <c r="P17" s="4">
        <f t="shared" si="5"/>
        <v>72142</v>
      </c>
      <c r="T17" s="4">
        <f t="shared" ref="T17:Y17" si="6">+T15-T16</f>
        <v>232.66200000000001</v>
      </c>
      <c r="U17" s="4">
        <f t="shared" si="6"/>
        <v>462.38499999999999</v>
      </c>
      <c r="V17" s="4">
        <f t="shared" si="6"/>
        <v>850.23299999999995</v>
      </c>
      <c r="W17" s="4">
        <f t="shared" si="6"/>
        <v>582.17599999999993</v>
      </c>
      <c r="X17" s="4">
        <f t="shared" si="6"/>
        <v>528.87799999999993</v>
      </c>
      <c r="Y17" s="4">
        <f t="shared" si="6"/>
        <v>649.48599999999988</v>
      </c>
      <c r="Z17" s="4">
        <f>+Z15-Z16</f>
        <v>910.0329999999999</v>
      </c>
      <c r="AA17" s="4">
        <f>+AA15-AA16</f>
        <v>1300.4490000000003</v>
      </c>
      <c r="AB17" s="4">
        <f>+AB15-AB16</f>
        <v>1869.2799999999997</v>
      </c>
      <c r="AC17" s="4">
        <f>+AC15-AC16</f>
        <v>1174.2689999999998</v>
      </c>
      <c r="AD17" s="4">
        <f>+AD15-AD16</f>
        <v>1176.9230000000002</v>
      </c>
      <c r="AE17" s="4">
        <f t="shared" ref="AE17:AM17" si="7">+AE15-AE16</f>
        <v>1409.0900000000001</v>
      </c>
      <c r="AF17" s="4">
        <f t="shared" si="7"/>
        <v>2056.5169999999998</v>
      </c>
      <c r="AG17" s="4">
        <f t="shared" si="7"/>
        <v>2226.3429999999998</v>
      </c>
      <c r="AH17" s="4">
        <f t="shared" si="7"/>
        <v>2268</v>
      </c>
      <c r="AI17" s="4">
        <f t="shared" si="7"/>
        <v>2599</v>
      </c>
      <c r="AJ17" s="4">
        <f t="shared" si="7"/>
        <v>2811</v>
      </c>
      <c r="AK17" s="4">
        <f t="shared" si="7"/>
        <v>4063</v>
      </c>
      <c r="AL17" s="4">
        <f t="shared" si="7"/>
        <v>5822</v>
      </c>
      <c r="AM17" s="4">
        <f t="shared" si="7"/>
        <v>4633</v>
      </c>
      <c r="AN17" s="4">
        <v>6768</v>
      </c>
      <c r="AO17" s="4">
        <v>10396</v>
      </c>
      <c r="AP17" s="4">
        <v>17473</v>
      </c>
      <c r="AQ17" s="4">
        <f>+AQ15-AQ16</f>
        <v>15356</v>
      </c>
      <c r="AR17" s="4">
        <f t="shared" ref="AR17:AT17" si="8">+AR15-AR16</f>
        <v>44301</v>
      </c>
      <c r="AS17" s="4">
        <f t="shared" si="8"/>
        <v>97858</v>
      </c>
      <c r="AT17" s="4">
        <f t="shared" si="8"/>
        <v>153463</v>
      </c>
      <c r="BQ17" s="4">
        <v>15359</v>
      </c>
      <c r="BR17" s="4">
        <v>44301</v>
      </c>
      <c r="BS17" s="4">
        <v>97859</v>
      </c>
    </row>
    <row r="18" spans="1:99" s="4" customFormat="1" x14ac:dyDescent="0.2">
      <c r="A18" s="2"/>
      <c r="B18" s="2" t="s">
        <v>24</v>
      </c>
      <c r="C18" s="4">
        <v>1875</v>
      </c>
      <c r="D18" s="4">
        <v>2040</v>
      </c>
      <c r="E18" s="4">
        <v>2294</v>
      </c>
      <c r="F18" s="4">
        <f>+AR18-SUM(C18:E18)</f>
        <v>2466</v>
      </c>
      <c r="G18" s="4">
        <v>2720</v>
      </c>
      <c r="H18" s="4">
        <v>3090</v>
      </c>
      <c r="I18" s="4">
        <v>3390</v>
      </c>
      <c r="J18" s="4">
        <f>+AS18-SUM(G18:I18)</f>
        <v>3714</v>
      </c>
      <c r="K18" s="4">
        <v>3989</v>
      </c>
      <c r="L18" s="4">
        <v>4291</v>
      </c>
      <c r="M18" s="4">
        <v>4705</v>
      </c>
      <c r="N18" s="4">
        <v>5512</v>
      </c>
      <c r="O18" s="4">
        <v>6321</v>
      </c>
      <c r="P18" s="4">
        <v>7054</v>
      </c>
      <c r="W18" s="4">
        <v>224.87299999999999</v>
      </c>
      <c r="X18" s="4">
        <v>269.97199999999998</v>
      </c>
      <c r="Y18" s="4">
        <v>335.10399999999998</v>
      </c>
      <c r="Z18" s="4">
        <v>357.12299999999999</v>
      </c>
      <c r="AA18" s="4">
        <v>553.46699999999998</v>
      </c>
      <c r="AB18" s="4">
        <v>691.63699999999994</v>
      </c>
      <c r="AC18" s="4">
        <v>855.87900000000002</v>
      </c>
      <c r="AD18" s="4">
        <v>908.851</v>
      </c>
      <c r="AE18" s="4">
        <v>848.83</v>
      </c>
      <c r="AF18" s="4">
        <v>1002.605</v>
      </c>
      <c r="AG18" s="4">
        <v>1147.2819999999999</v>
      </c>
      <c r="AH18" s="4">
        <v>1336</v>
      </c>
      <c r="AI18" s="4">
        <v>1360</v>
      </c>
      <c r="AJ18" s="4">
        <v>1331</v>
      </c>
      <c r="AK18" s="4">
        <v>1463</v>
      </c>
      <c r="AL18" s="4">
        <v>1797</v>
      </c>
      <c r="AM18" s="4">
        <v>2376</v>
      </c>
      <c r="AN18" s="4">
        <v>2829</v>
      </c>
      <c r="AO18" s="4">
        <v>3924</v>
      </c>
      <c r="AP18" s="4">
        <v>5267</v>
      </c>
      <c r="AQ18" s="4">
        <v>7339</v>
      </c>
      <c r="AR18" s="4">
        <v>8675</v>
      </c>
      <c r="AS18" s="4">
        <v>12914</v>
      </c>
      <c r="AT18" s="4">
        <v>18497</v>
      </c>
      <c r="BQ18" s="4">
        <v>7339</v>
      </c>
      <c r="BR18" s="4">
        <v>8674</v>
      </c>
      <c r="BS18" s="4">
        <v>12914</v>
      </c>
    </row>
    <row r="19" spans="1:99" s="4" customFormat="1" x14ac:dyDescent="0.2">
      <c r="A19" s="2"/>
      <c r="B19" s="2" t="s">
        <v>25</v>
      </c>
      <c r="C19" s="4">
        <v>633</v>
      </c>
      <c r="D19" s="4">
        <v>622</v>
      </c>
      <c r="E19" s="4">
        <v>689</v>
      </c>
      <c r="F19" s="4">
        <f>+AR19-SUM(C19:E19)</f>
        <v>710</v>
      </c>
      <c r="G19" s="4">
        <v>777</v>
      </c>
      <c r="H19" s="4">
        <v>842</v>
      </c>
      <c r="I19" s="4">
        <v>897</v>
      </c>
      <c r="J19" s="4">
        <f>+AS19-SUM(G19:I19)</f>
        <v>975</v>
      </c>
      <c r="K19" s="4">
        <v>1041</v>
      </c>
      <c r="L19" s="4">
        <v>1122</v>
      </c>
      <c r="M19" s="4">
        <v>1134</v>
      </c>
      <c r="N19" s="4">
        <v>1282</v>
      </c>
      <c r="O19" s="4">
        <v>1300</v>
      </c>
      <c r="P19" s="4">
        <v>1354</v>
      </c>
      <c r="W19" s="4">
        <v>151.48500000000001</v>
      </c>
      <c r="X19" s="4">
        <v>165.249</v>
      </c>
      <c r="Y19" s="4">
        <v>200.78899999999999</v>
      </c>
      <c r="Z19" s="4">
        <v>202.08799999999999</v>
      </c>
      <c r="AA19" s="4">
        <v>293.52999999999997</v>
      </c>
      <c r="AB19" s="4">
        <v>341.29700000000003</v>
      </c>
      <c r="AC19" s="4">
        <v>362.22199999999998</v>
      </c>
      <c r="AD19" s="4">
        <v>367.017</v>
      </c>
      <c r="AE19" s="4">
        <v>361.51299999999998</v>
      </c>
      <c r="AF19" s="4">
        <v>405.613</v>
      </c>
      <c r="AG19" s="4">
        <v>430.822</v>
      </c>
      <c r="AH19" s="4">
        <v>436</v>
      </c>
      <c r="AI19" s="4">
        <v>480</v>
      </c>
      <c r="AJ19" s="4">
        <v>602</v>
      </c>
      <c r="AK19" s="4">
        <v>663</v>
      </c>
      <c r="AL19" s="4">
        <v>815</v>
      </c>
      <c r="AM19" s="4">
        <v>991</v>
      </c>
      <c r="AN19" s="4">
        <v>1093</v>
      </c>
      <c r="AO19" s="4">
        <v>1940</v>
      </c>
      <c r="AP19" s="4">
        <v>2166</v>
      </c>
      <c r="AQ19" s="4">
        <v>2440</v>
      </c>
      <c r="AR19" s="4">
        <v>2654</v>
      </c>
      <c r="AS19" s="4">
        <v>3491</v>
      </c>
      <c r="AT19" s="4">
        <v>4579</v>
      </c>
      <c r="BQ19" s="4">
        <v>2440</v>
      </c>
      <c r="BR19" s="4">
        <v>2655</v>
      </c>
      <c r="BS19" s="4">
        <v>3491</v>
      </c>
    </row>
    <row r="20" spans="1:99" s="4" customFormat="1" x14ac:dyDescent="0.2">
      <c r="A20" s="2"/>
      <c r="B20" s="2" t="s">
        <v>54</v>
      </c>
      <c r="C20" s="4">
        <v>0</v>
      </c>
      <c r="D20" s="4">
        <v>0</v>
      </c>
      <c r="E20" s="4">
        <v>0</v>
      </c>
      <c r="F20" s="4">
        <f>+AR20-SUM(C20:E20)</f>
        <v>0</v>
      </c>
      <c r="G20" s="4">
        <v>0</v>
      </c>
      <c r="H20" s="4">
        <v>0</v>
      </c>
      <c r="I20" s="4">
        <v>0</v>
      </c>
      <c r="J20" s="4">
        <f>+AS20-SUM(G20:I20)</f>
        <v>0</v>
      </c>
      <c r="K20" s="4">
        <v>0</v>
      </c>
      <c r="L20" s="4">
        <v>0</v>
      </c>
      <c r="M20" s="4">
        <v>0</v>
      </c>
      <c r="N20" s="18">
        <v>0</v>
      </c>
      <c r="O20" s="18">
        <v>0</v>
      </c>
      <c r="P20" s="18">
        <v>0</v>
      </c>
      <c r="Q20" s="18"/>
      <c r="R20" s="18"/>
      <c r="T20" s="4">
        <f t="shared" ref="T20:AM20" si="9">+T18+T19</f>
        <v>0</v>
      </c>
      <c r="U20" s="4">
        <f t="shared" si="9"/>
        <v>0</v>
      </c>
      <c r="V20" s="4">
        <f t="shared" si="9"/>
        <v>0</v>
      </c>
      <c r="W20" s="4">
        <f t="shared" si="9"/>
        <v>376.358</v>
      </c>
      <c r="X20" s="4">
        <f t="shared" si="9"/>
        <v>435.221</v>
      </c>
      <c r="Y20" s="4">
        <f t="shared" si="9"/>
        <v>535.89300000000003</v>
      </c>
      <c r="Z20" s="4">
        <f t="shared" si="9"/>
        <v>559.21100000000001</v>
      </c>
      <c r="AA20" s="4">
        <f t="shared" si="9"/>
        <v>846.99699999999996</v>
      </c>
      <c r="AB20" s="4">
        <f t="shared" si="9"/>
        <v>1032.934</v>
      </c>
      <c r="AC20" s="4">
        <f t="shared" si="9"/>
        <v>1218.1010000000001</v>
      </c>
      <c r="AD20" s="4">
        <f t="shared" si="9"/>
        <v>1275.8679999999999</v>
      </c>
      <c r="AE20" s="4">
        <f t="shared" si="9"/>
        <v>1210.3430000000001</v>
      </c>
      <c r="AF20" s="4">
        <f t="shared" si="9"/>
        <v>1408.2180000000001</v>
      </c>
      <c r="AG20" s="4">
        <f t="shared" si="9"/>
        <v>1578.1039999999998</v>
      </c>
      <c r="AH20" s="4">
        <f t="shared" si="9"/>
        <v>1772</v>
      </c>
      <c r="AI20" s="4">
        <f t="shared" si="9"/>
        <v>1840</v>
      </c>
      <c r="AJ20" s="4">
        <f t="shared" si="9"/>
        <v>1933</v>
      </c>
      <c r="AK20" s="4">
        <f t="shared" si="9"/>
        <v>2126</v>
      </c>
      <c r="AL20" s="4">
        <f t="shared" si="9"/>
        <v>2612</v>
      </c>
      <c r="AM20" s="4">
        <f t="shared" si="9"/>
        <v>3367</v>
      </c>
      <c r="AN20" s="4">
        <v>3922</v>
      </c>
      <c r="AO20" s="4">
        <v>5864</v>
      </c>
      <c r="AP20" s="4">
        <v>7433</v>
      </c>
      <c r="AQ20" s="4">
        <v>1353</v>
      </c>
      <c r="AR20" s="4">
        <v>0</v>
      </c>
      <c r="AS20" s="4">
        <v>0</v>
      </c>
      <c r="AT20" s="4">
        <v>0</v>
      </c>
      <c r="BQ20" s="4">
        <v>9779</v>
      </c>
      <c r="BR20" s="4">
        <v>11329</v>
      </c>
      <c r="BS20" s="4">
        <v>16405</v>
      </c>
    </row>
    <row r="21" spans="1:99" s="4" customFormat="1" x14ac:dyDescent="0.2">
      <c r="A21" s="2"/>
      <c r="B21" s="2" t="s">
        <v>26</v>
      </c>
      <c r="C21" s="4">
        <f t="shared" ref="C21" si="10">+C17-C18-C19-C20</f>
        <v>2140</v>
      </c>
      <c r="D21" s="4">
        <f t="shared" ref="D21" si="11">+D17-D18-D19-D20</f>
        <v>6800</v>
      </c>
      <c r="E21" s="4">
        <f t="shared" ref="E21" si="12">+E17-E18-E19-E20</f>
        <v>10417</v>
      </c>
      <c r="F21" s="4">
        <f t="shared" ref="F21" si="13">+F17-F18-F19-F20</f>
        <v>13615</v>
      </c>
      <c r="G21" s="4">
        <f t="shared" ref="G21" si="14">+G17-G18-G19-G20</f>
        <v>16909</v>
      </c>
      <c r="H21" s="4">
        <f t="shared" ref="H21" si="15">+H17-H18-H19-H20</f>
        <v>18642</v>
      </c>
      <c r="I21" s="4">
        <f t="shared" ref="I21" si="16">+I17-I18-I19-I20</f>
        <v>21869</v>
      </c>
      <c r="J21" s="4">
        <f t="shared" ref="J21:P21" si="17">+J17-J18-J19-J20</f>
        <v>24033</v>
      </c>
      <c r="K21" s="4">
        <f t="shared" si="17"/>
        <v>21638</v>
      </c>
      <c r="L21" s="4">
        <f t="shared" si="17"/>
        <v>28440</v>
      </c>
      <c r="M21" s="4">
        <f t="shared" si="17"/>
        <v>36010</v>
      </c>
      <c r="N21" s="4">
        <f t="shared" si="17"/>
        <v>44299</v>
      </c>
      <c r="O21" s="4">
        <f t="shared" si="17"/>
        <v>53536</v>
      </c>
      <c r="P21" s="4">
        <f t="shared" si="17"/>
        <v>63734</v>
      </c>
      <c r="T21" s="4">
        <f t="shared" ref="T21:AM21" si="18">+T17-T20</f>
        <v>232.66200000000001</v>
      </c>
      <c r="U21" s="4">
        <f t="shared" si="18"/>
        <v>462.38499999999999</v>
      </c>
      <c r="V21" s="4">
        <f t="shared" si="18"/>
        <v>850.23299999999995</v>
      </c>
      <c r="W21" s="4">
        <f t="shared" si="18"/>
        <v>205.81799999999993</v>
      </c>
      <c r="X21" s="4">
        <f t="shared" si="18"/>
        <v>93.656999999999925</v>
      </c>
      <c r="Y21" s="4">
        <f t="shared" si="18"/>
        <v>113.59299999999985</v>
      </c>
      <c r="Z21" s="4">
        <f t="shared" si="18"/>
        <v>350.82199999999989</v>
      </c>
      <c r="AA21" s="4">
        <f t="shared" si="18"/>
        <v>453.45200000000034</v>
      </c>
      <c r="AB21" s="4">
        <f t="shared" si="18"/>
        <v>836.34599999999978</v>
      </c>
      <c r="AC21" s="4">
        <f t="shared" si="18"/>
        <v>-43.832000000000335</v>
      </c>
      <c r="AD21" s="4">
        <f t="shared" si="18"/>
        <v>-98.944999999999709</v>
      </c>
      <c r="AE21" s="4">
        <f t="shared" si="18"/>
        <v>198.74700000000007</v>
      </c>
      <c r="AF21" s="4">
        <f t="shared" si="18"/>
        <v>648.29899999999975</v>
      </c>
      <c r="AG21" s="4">
        <f t="shared" si="18"/>
        <v>648.23900000000003</v>
      </c>
      <c r="AH21" s="4">
        <f t="shared" si="18"/>
        <v>496</v>
      </c>
      <c r="AI21" s="4">
        <f t="shared" si="18"/>
        <v>759</v>
      </c>
      <c r="AJ21" s="4">
        <f t="shared" si="18"/>
        <v>878</v>
      </c>
      <c r="AK21" s="4">
        <f t="shared" si="18"/>
        <v>1937</v>
      </c>
      <c r="AL21" s="4">
        <f t="shared" si="18"/>
        <v>3210</v>
      </c>
      <c r="AM21" s="4">
        <f t="shared" si="18"/>
        <v>1266</v>
      </c>
      <c r="AN21" s="4">
        <v>2846</v>
      </c>
      <c r="AO21" s="4">
        <v>4532</v>
      </c>
      <c r="AP21" s="4">
        <v>10040</v>
      </c>
      <c r="AQ21" s="4">
        <f t="shared" ref="AQ21:AR21" si="19">+AQ17-AQ18-AQ19-AQ20</f>
        <v>4224</v>
      </c>
      <c r="AR21" s="4">
        <f t="shared" si="19"/>
        <v>32972</v>
      </c>
      <c r="AS21" s="4">
        <f>+AS17-AS18-AS19-AS20</f>
        <v>81453</v>
      </c>
      <c r="AT21" s="4">
        <f>+AT17-AT18-AT19-AT20</f>
        <v>130387</v>
      </c>
      <c r="BQ21" s="4">
        <v>5580</v>
      </c>
      <c r="BR21" s="4">
        <v>32972</v>
      </c>
      <c r="BS21" s="4">
        <v>81454</v>
      </c>
    </row>
    <row r="22" spans="1:99" s="4" customFormat="1" x14ac:dyDescent="0.2">
      <c r="A22" s="2"/>
      <c r="B22" s="2" t="s">
        <v>27</v>
      </c>
      <c r="C22" s="4">
        <v>150</v>
      </c>
      <c r="D22" s="4">
        <v>187</v>
      </c>
      <c r="E22" s="4">
        <v>234</v>
      </c>
      <c r="F22" s="4">
        <f>+AR22-SUM(C22:E22)</f>
        <v>295</v>
      </c>
      <c r="G22" s="4">
        <v>359</v>
      </c>
      <c r="H22" s="4">
        <v>444</v>
      </c>
      <c r="I22" s="4">
        <v>472</v>
      </c>
      <c r="J22" s="4">
        <f>+AS22-SUM(G22:I22)</f>
        <v>511</v>
      </c>
      <c r="K22" s="4">
        <v>515</v>
      </c>
      <c r="L22" s="4">
        <v>592</v>
      </c>
      <c r="M22" s="4">
        <v>624</v>
      </c>
      <c r="N22" s="4">
        <v>568</v>
      </c>
      <c r="O22" s="4">
        <v>540</v>
      </c>
      <c r="P22" s="4">
        <v>0</v>
      </c>
      <c r="T22" s="4">
        <v>23.245999999999999</v>
      </c>
      <c r="U22" s="4">
        <v>23.245999999999999</v>
      </c>
      <c r="V22" s="4">
        <v>23.245999999999999</v>
      </c>
      <c r="W22" s="4">
        <v>23.245999999999999</v>
      </c>
      <c r="X22" s="4">
        <v>18.561</v>
      </c>
      <c r="Y22" s="4">
        <v>11.422000000000001</v>
      </c>
      <c r="Z22" s="4">
        <v>20.698</v>
      </c>
      <c r="AA22" s="4">
        <v>41.82</v>
      </c>
      <c r="AB22" s="4">
        <v>64.289000000000001</v>
      </c>
      <c r="AC22" s="4">
        <f>42.859-0.406</f>
        <v>42.453000000000003</v>
      </c>
      <c r="AD22" s="4">
        <v>23.114999999999998</v>
      </c>
      <c r="AE22" s="4">
        <f>19.057-3.127-0.508</f>
        <v>15.422000000000001</v>
      </c>
      <c r="AF22" s="4">
        <f>19.149-3.089-0.963</f>
        <v>15.097000000000003</v>
      </c>
      <c r="AG22" s="4">
        <f>19.908-3.294-2.814</f>
        <v>13.8</v>
      </c>
      <c r="AH22" s="4">
        <v>14</v>
      </c>
      <c r="AI22" s="4">
        <v>14</v>
      </c>
      <c r="AJ22" s="4">
        <v>-4</v>
      </c>
      <c r="AK22" s="4">
        <v>-29</v>
      </c>
      <c r="AL22" s="4">
        <v>-14</v>
      </c>
      <c r="AM22" s="4">
        <v>92</v>
      </c>
      <c r="AN22" s="4">
        <v>124</v>
      </c>
      <c r="AO22" s="4">
        <v>-123</v>
      </c>
      <c r="AP22" s="4">
        <v>-100</v>
      </c>
      <c r="AQ22" s="4">
        <v>267</v>
      </c>
      <c r="AR22" s="4">
        <v>866</v>
      </c>
      <c r="AS22" s="4">
        <v>1786</v>
      </c>
      <c r="AT22" s="4">
        <v>2300</v>
      </c>
      <c r="BQ22" s="4">
        <v>-43</v>
      </c>
      <c r="BR22" s="4">
        <v>846</v>
      </c>
      <c r="BS22" s="4">
        <v>2572</v>
      </c>
    </row>
    <row r="23" spans="1:99" s="4" customFormat="1" x14ac:dyDescent="0.2">
      <c r="A23" s="2"/>
      <c r="B23" s="2" t="s">
        <v>28</v>
      </c>
      <c r="C23" s="4">
        <v>66</v>
      </c>
      <c r="D23" s="4">
        <v>65</v>
      </c>
      <c r="E23" s="4">
        <v>63</v>
      </c>
      <c r="F23" s="4">
        <f>+AR23-SUM(C23:E23)</f>
        <v>63</v>
      </c>
      <c r="G23" s="4">
        <v>64</v>
      </c>
      <c r="H23" s="4">
        <v>61</v>
      </c>
      <c r="I23" s="4">
        <v>61</v>
      </c>
      <c r="J23" s="4">
        <f>+AS23-SUM(G23:I23)</f>
        <v>61</v>
      </c>
      <c r="K23" s="4">
        <v>63</v>
      </c>
      <c r="L23" s="4">
        <v>62</v>
      </c>
      <c r="M23" s="4">
        <v>61</v>
      </c>
      <c r="N23" s="4">
        <v>74</v>
      </c>
      <c r="O23" s="4">
        <v>102</v>
      </c>
      <c r="P23" s="29">
        <v>0</v>
      </c>
      <c r="T23" s="4">
        <f t="shared" ref="T23:AM23" si="20">+T21+T22</f>
        <v>255.90800000000002</v>
      </c>
      <c r="U23" s="4">
        <f t="shared" si="20"/>
        <v>485.63099999999997</v>
      </c>
      <c r="V23" s="4">
        <f t="shared" si="20"/>
        <v>873.47899999999993</v>
      </c>
      <c r="W23" s="4">
        <f t="shared" si="20"/>
        <v>229.06399999999994</v>
      </c>
      <c r="X23" s="4">
        <f t="shared" si="20"/>
        <v>112.21799999999993</v>
      </c>
      <c r="Y23" s="4">
        <f t="shared" si="20"/>
        <v>125.01499999999984</v>
      </c>
      <c r="Z23" s="4">
        <f t="shared" si="20"/>
        <v>371.51999999999987</v>
      </c>
      <c r="AA23" s="4">
        <f t="shared" si="20"/>
        <v>495.27200000000033</v>
      </c>
      <c r="AB23" s="4">
        <f t="shared" si="20"/>
        <v>900.63499999999976</v>
      </c>
      <c r="AC23" s="4">
        <f t="shared" si="20"/>
        <v>-1.3790000000003317</v>
      </c>
      <c r="AD23" s="4">
        <f t="shared" si="20"/>
        <v>-75.829999999999714</v>
      </c>
      <c r="AE23" s="4">
        <f t="shared" si="20"/>
        <v>214.16900000000007</v>
      </c>
      <c r="AF23" s="4">
        <f t="shared" si="20"/>
        <v>663.39599999999973</v>
      </c>
      <c r="AG23" s="4">
        <f t="shared" si="20"/>
        <v>662.03899999999999</v>
      </c>
      <c r="AH23" s="4">
        <f t="shared" si="20"/>
        <v>510</v>
      </c>
      <c r="AI23" s="4">
        <f t="shared" si="20"/>
        <v>773</v>
      </c>
      <c r="AJ23" s="4">
        <f t="shared" si="20"/>
        <v>874</v>
      </c>
      <c r="AK23" s="4">
        <f t="shared" si="20"/>
        <v>1908</v>
      </c>
      <c r="AL23" s="4">
        <f t="shared" si="20"/>
        <v>3196</v>
      </c>
      <c r="AM23" s="4">
        <f t="shared" si="20"/>
        <v>1358</v>
      </c>
      <c r="AN23" s="4">
        <v>2970</v>
      </c>
      <c r="AO23" s="4">
        <v>4409</v>
      </c>
      <c r="AP23" s="4">
        <v>9940</v>
      </c>
      <c r="AQ23" s="4">
        <v>262</v>
      </c>
      <c r="AR23" s="4">
        <v>257</v>
      </c>
      <c r="AS23" s="4">
        <v>247</v>
      </c>
      <c r="AT23" s="4">
        <v>259</v>
      </c>
      <c r="BQ23" s="4">
        <v>5537</v>
      </c>
      <c r="BR23" s="4">
        <v>33818</v>
      </c>
      <c r="BS23" s="4">
        <v>84026</v>
      </c>
    </row>
    <row r="24" spans="1:99" s="4" customFormat="1" x14ac:dyDescent="0.2">
      <c r="A24" s="2"/>
      <c r="B24" s="2" t="s">
        <v>64</v>
      </c>
      <c r="C24" s="4">
        <v>-15</v>
      </c>
      <c r="D24" s="4">
        <v>59</v>
      </c>
      <c r="E24" s="4">
        <v>-66</v>
      </c>
      <c r="F24" s="4">
        <f>+AR24-SUM(C24:E24)</f>
        <v>259</v>
      </c>
      <c r="G24" s="4">
        <v>75</v>
      </c>
      <c r="H24" s="4">
        <v>189</v>
      </c>
      <c r="I24" s="4">
        <v>36</v>
      </c>
      <c r="J24" s="4">
        <f>+AS24-SUM(G24:I24)</f>
        <v>734</v>
      </c>
      <c r="K24" s="4">
        <v>-180</v>
      </c>
      <c r="L24" s="4">
        <v>2236</v>
      </c>
      <c r="M24" s="4">
        <v>1363</v>
      </c>
      <c r="N24" s="4">
        <v>5604</v>
      </c>
      <c r="O24" s="4">
        <v>15929</v>
      </c>
      <c r="P24" s="4">
        <v>7773</v>
      </c>
      <c r="T24" s="4">
        <v>59.758000000000003</v>
      </c>
      <c r="U24" s="4">
        <v>59.758000000000003</v>
      </c>
      <c r="V24" s="4">
        <v>59.758000000000003</v>
      </c>
      <c r="W24" s="4">
        <v>59.758000000000003</v>
      </c>
      <c r="X24" s="4">
        <v>12.254</v>
      </c>
      <c r="Y24" s="4">
        <v>25.088999999999999</v>
      </c>
      <c r="Z24" s="4">
        <v>55.612000000000002</v>
      </c>
      <c r="AA24" s="4">
        <v>46.35</v>
      </c>
      <c r="AB24" s="4">
        <v>103.696</v>
      </c>
      <c r="AC24" s="4">
        <v>0</v>
      </c>
      <c r="AD24" s="4">
        <v>0</v>
      </c>
      <c r="AE24" s="4">
        <v>18.023</v>
      </c>
      <c r="AF24" s="4">
        <v>82.305999999999997</v>
      </c>
      <c r="AG24" s="4">
        <v>99.503</v>
      </c>
      <c r="AH24" s="4">
        <v>70</v>
      </c>
      <c r="AI24" s="4">
        <v>124</v>
      </c>
      <c r="AJ24" s="4">
        <v>129</v>
      </c>
      <c r="AK24" s="4">
        <v>239</v>
      </c>
      <c r="AL24" s="4">
        <v>149</v>
      </c>
      <c r="AM24" s="4">
        <v>-245</v>
      </c>
      <c r="AN24" s="4">
        <v>174</v>
      </c>
      <c r="AO24" s="4">
        <v>77</v>
      </c>
      <c r="AP24" s="4">
        <v>188</v>
      </c>
      <c r="AQ24" s="4">
        <v>-48</v>
      </c>
      <c r="AR24" s="4">
        <v>237</v>
      </c>
      <c r="AS24" s="4">
        <v>1034</v>
      </c>
      <c r="AT24" s="4">
        <v>9022</v>
      </c>
      <c r="BQ24" s="4">
        <v>0</v>
      </c>
      <c r="BR24" s="4">
        <v>4059</v>
      </c>
      <c r="BS24" s="4">
        <v>11146</v>
      </c>
    </row>
    <row r="25" spans="1:99" s="4" customFormat="1" x14ac:dyDescent="0.2">
      <c r="A25" s="2"/>
      <c r="B25" s="2" t="s">
        <v>30</v>
      </c>
      <c r="C25" s="4">
        <f t="shared" ref="C25:F25" si="21">+C21+C22-C23+C24</f>
        <v>2209</v>
      </c>
      <c r="D25" s="4">
        <f t="shared" si="21"/>
        <v>6981</v>
      </c>
      <c r="E25" s="4">
        <f t="shared" si="21"/>
        <v>10522</v>
      </c>
      <c r="F25" s="4">
        <f t="shared" si="21"/>
        <v>14106</v>
      </c>
      <c r="G25" s="4">
        <f>+G21+G22-G23+G24</f>
        <v>17279</v>
      </c>
      <c r="H25" s="4">
        <f>+H21+H22-H23+H24</f>
        <v>19214</v>
      </c>
      <c r="I25" s="4">
        <f t="shared" ref="I25:P25" si="22">+I21+I22-I23+I24</f>
        <v>22316</v>
      </c>
      <c r="J25" s="4">
        <f t="shared" si="22"/>
        <v>25217</v>
      </c>
      <c r="K25" s="4">
        <f t="shared" si="22"/>
        <v>21910</v>
      </c>
      <c r="L25" s="4">
        <f t="shared" si="22"/>
        <v>31206</v>
      </c>
      <c r="M25" s="4">
        <f t="shared" si="22"/>
        <v>37936</v>
      </c>
      <c r="N25" s="4">
        <f t="shared" si="22"/>
        <v>50397</v>
      </c>
      <c r="O25" s="4">
        <f t="shared" si="22"/>
        <v>69903</v>
      </c>
      <c r="P25" s="4">
        <f t="shared" si="22"/>
        <v>71507</v>
      </c>
      <c r="T25" s="4">
        <f t="shared" ref="T25:AM25" si="23">+T23-T24</f>
        <v>196.15</v>
      </c>
      <c r="U25" s="4">
        <f t="shared" si="23"/>
        <v>425.87299999999999</v>
      </c>
      <c r="V25" s="4">
        <f t="shared" si="23"/>
        <v>813.72099999999989</v>
      </c>
      <c r="W25" s="4">
        <f t="shared" si="23"/>
        <v>169.30599999999993</v>
      </c>
      <c r="X25" s="4">
        <f t="shared" si="23"/>
        <v>99.963999999999928</v>
      </c>
      <c r="Y25" s="4">
        <f t="shared" si="23"/>
        <v>99.925999999999846</v>
      </c>
      <c r="Z25" s="4">
        <f t="shared" si="23"/>
        <v>315.90799999999984</v>
      </c>
      <c r="AA25" s="4">
        <f t="shared" si="23"/>
        <v>448.92200000000031</v>
      </c>
      <c r="AB25" s="4">
        <f t="shared" si="23"/>
        <v>796.93899999999974</v>
      </c>
      <c r="AC25" s="4">
        <f t="shared" si="23"/>
        <v>-1.3790000000003317</v>
      </c>
      <c r="AD25" s="4">
        <f t="shared" si="23"/>
        <v>-75.829999999999714</v>
      </c>
      <c r="AE25" s="4">
        <f t="shared" si="23"/>
        <v>196.14600000000007</v>
      </c>
      <c r="AF25" s="4">
        <f t="shared" si="23"/>
        <v>581.08999999999969</v>
      </c>
      <c r="AG25" s="4">
        <f t="shared" si="23"/>
        <v>562.53599999999994</v>
      </c>
      <c r="AH25" s="4">
        <f t="shared" si="23"/>
        <v>440</v>
      </c>
      <c r="AI25" s="4">
        <f t="shared" si="23"/>
        <v>649</v>
      </c>
      <c r="AJ25" s="4">
        <f t="shared" si="23"/>
        <v>745</v>
      </c>
      <c r="AK25" s="4">
        <f t="shared" si="23"/>
        <v>1669</v>
      </c>
      <c r="AL25" s="4">
        <f t="shared" si="23"/>
        <v>3047</v>
      </c>
      <c r="AM25" s="4">
        <f t="shared" si="23"/>
        <v>1603</v>
      </c>
      <c r="AN25" s="4">
        <v>2796</v>
      </c>
      <c r="AO25" s="4">
        <v>4332</v>
      </c>
      <c r="AP25" s="4">
        <v>9752</v>
      </c>
      <c r="AQ25" s="4">
        <f t="shared" ref="AQ25:AR25" si="24">+AQ21-AQ23+AQ22+AQ24</f>
        <v>4181</v>
      </c>
      <c r="AR25" s="4">
        <f t="shared" si="24"/>
        <v>33818</v>
      </c>
      <c r="AS25" s="4">
        <f>+AS21-AS23+AS22+AS24</f>
        <v>84026</v>
      </c>
      <c r="AT25" s="4">
        <f>+AT21-AT23+AT22+AT24</f>
        <v>141450</v>
      </c>
      <c r="BQ25" s="4">
        <v>5537</v>
      </c>
      <c r="BR25" s="4">
        <v>29759</v>
      </c>
      <c r="BS25" s="4">
        <v>72880</v>
      </c>
    </row>
    <row r="26" spans="1:99" s="4" customFormat="1" x14ac:dyDescent="0.2">
      <c r="A26" s="2"/>
      <c r="B26" s="2" t="s">
        <v>31</v>
      </c>
      <c r="C26" s="4">
        <v>166</v>
      </c>
      <c r="D26" s="4">
        <v>793</v>
      </c>
      <c r="E26" s="4">
        <v>1279</v>
      </c>
      <c r="F26" s="4">
        <f>+AR26-SUM(C26:E26)</f>
        <v>1820</v>
      </c>
      <c r="G26" s="4">
        <v>2398</v>
      </c>
      <c r="H26" s="4">
        <v>2615</v>
      </c>
      <c r="I26" s="4">
        <v>3007</v>
      </c>
      <c r="J26" s="4">
        <f>+AS26-SUM(G26:I26)</f>
        <v>3126</v>
      </c>
      <c r="K26" s="4">
        <v>3135</v>
      </c>
      <c r="L26" s="4">
        <v>4784</v>
      </c>
      <c r="M26" s="4">
        <v>6026</v>
      </c>
      <c r="N26" s="4">
        <v>7437</v>
      </c>
      <c r="O26" s="4">
        <v>11582</v>
      </c>
      <c r="P26" s="4">
        <v>11819</v>
      </c>
      <c r="T26" s="4">
        <v>1.1599999999999999</v>
      </c>
      <c r="U26" s="4">
        <v>2.5299999999999998</v>
      </c>
      <c r="V26" s="4">
        <v>4.83</v>
      </c>
      <c r="W26" s="4">
        <v>1.01</v>
      </c>
      <c r="X26" s="4">
        <v>0.57999999999999996</v>
      </c>
      <c r="Y26" s="4">
        <v>0.56999999999999995</v>
      </c>
      <c r="Z26" s="4">
        <v>0.62</v>
      </c>
      <c r="AA26" s="4">
        <v>0.76</v>
      </c>
      <c r="AB26" s="4">
        <v>1.31</v>
      </c>
      <c r="AC26" s="4">
        <v>0</v>
      </c>
      <c r="AD26" s="4">
        <v>-0.14000000000000001</v>
      </c>
      <c r="AE26" s="4">
        <v>0.33</v>
      </c>
      <c r="AF26" s="4">
        <v>0.94</v>
      </c>
      <c r="AG26" s="4">
        <v>0.9</v>
      </c>
      <c r="AH26" s="4">
        <v>0.74</v>
      </c>
      <c r="AI26" s="4">
        <v>1.1499999999999999</v>
      </c>
      <c r="AJ26" s="4">
        <v>1.31</v>
      </c>
      <c r="AK26" s="4">
        <v>2.57</v>
      </c>
      <c r="AL26" s="4">
        <v>4.82</v>
      </c>
      <c r="AM26" s="4">
        <v>6.63</v>
      </c>
      <c r="AN26" s="4">
        <v>1.1299999999999999</v>
      </c>
      <c r="AO26" s="4">
        <v>1.73</v>
      </c>
      <c r="AP26" s="4">
        <v>3.85</v>
      </c>
      <c r="AQ26" s="4">
        <v>-187</v>
      </c>
      <c r="AR26" s="4">
        <v>4058</v>
      </c>
      <c r="AS26" s="4">
        <v>11146</v>
      </c>
      <c r="AT26" s="4">
        <v>21383</v>
      </c>
      <c r="BQ26" s="4">
        <v>0.22</v>
      </c>
      <c r="BR26" s="4">
        <v>1.19</v>
      </c>
      <c r="BS26" s="4">
        <v>2.94</v>
      </c>
    </row>
    <row r="27" spans="1:99" s="4" customFormat="1" x14ac:dyDescent="0.2">
      <c r="A27" s="2"/>
      <c r="B27" s="2" t="s">
        <v>32</v>
      </c>
      <c r="C27" s="4">
        <f t="shared" ref="C27:G27" si="25">+C25-C26</f>
        <v>2043</v>
      </c>
      <c r="D27" s="4">
        <f t="shared" si="25"/>
        <v>6188</v>
      </c>
      <c r="E27" s="4">
        <f t="shared" si="25"/>
        <v>9243</v>
      </c>
      <c r="F27" s="4">
        <f t="shared" si="25"/>
        <v>12286</v>
      </c>
      <c r="G27" s="4">
        <f t="shared" si="25"/>
        <v>14881</v>
      </c>
      <c r="H27" s="4">
        <f>+H25-H26</f>
        <v>16599</v>
      </c>
      <c r="I27" s="4">
        <f t="shared" ref="I27:P27" si="26">+I25-I26</f>
        <v>19309</v>
      </c>
      <c r="J27" s="4">
        <f t="shared" si="26"/>
        <v>22091</v>
      </c>
      <c r="K27" s="4">
        <f t="shared" si="26"/>
        <v>18775</v>
      </c>
      <c r="L27" s="4">
        <f t="shared" si="26"/>
        <v>26422</v>
      </c>
      <c r="M27" s="4">
        <f t="shared" si="26"/>
        <v>31910</v>
      </c>
      <c r="N27" s="4">
        <f t="shared" si="26"/>
        <v>42960</v>
      </c>
      <c r="O27" s="4">
        <f t="shared" si="26"/>
        <v>58321</v>
      </c>
      <c r="P27" s="4">
        <f t="shared" si="26"/>
        <v>59688</v>
      </c>
      <c r="T27" s="4">
        <v>168</v>
      </c>
      <c r="U27" s="4">
        <v>168</v>
      </c>
      <c r="V27" s="4">
        <v>168</v>
      </c>
      <c r="W27" s="4">
        <v>168</v>
      </c>
      <c r="X27" s="4">
        <v>173</v>
      </c>
      <c r="Y27" s="4">
        <v>177</v>
      </c>
      <c r="Z27" s="4">
        <v>509</v>
      </c>
      <c r="AA27" s="4">
        <v>587</v>
      </c>
      <c r="AB27" s="4">
        <v>607</v>
      </c>
      <c r="AC27" s="4">
        <v>548</v>
      </c>
      <c r="AD27" s="4">
        <v>550</v>
      </c>
      <c r="AE27" s="4">
        <v>589</v>
      </c>
      <c r="AF27" s="4">
        <v>616</v>
      </c>
      <c r="AG27" s="4">
        <v>625</v>
      </c>
      <c r="AH27" s="4">
        <v>595</v>
      </c>
      <c r="AI27" s="4">
        <v>563</v>
      </c>
      <c r="AJ27" s="4">
        <v>569</v>
      </c>
      <c r="AK27" s="4">
        <v>649</v>
      </c>
      <c r="AL27" s="4">
        <v>632</v>
      </c>
      <c r="AM27" s="4">
        <v>625</v>
      </c>
      <c r="AN27" s="4">
        <v>2472</v>
      </c>
      <c r="AO27" s="4">
        <v>2510</v>
      </c>
      <c r="AP27" s="4">
        <v>2535</v>
      </c>
      <c r="AQ27" s="4">
        <f t="shared" ref="AQ27:AR27" si="27">+AQ25-AQ26</f>
        <v>4368</v>
      </c>
      <c r="AR27" s="4">
        <f t="shared" si="27"/>
        <v>29760</v>
      </c>
      <c r="AS27" s="4">
        <f>+AS25-AS26</f>
        <v>72880</v>
      </c>
      <c r="AT27" s="4">
        <f>+AT25-AT26</f>
        <v>120067</v>
      </c>
      <c r="BQ27" s="4">
        <v>25070</v>
      </c>
      <c r="BR27" s="4">
        <v>24940</v>
      </c>
      <c r="BS27" s="4">
        <v>24804</v>
      </c>
    </row>
    <row r="28" spans="1:99" x14ac:dyDescent="0.2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</row>
    <row r="29" spans="1:99" x14ac:dyDescent="0.2">
      <c r="B29" s="2" t="s">
        <v>33</v>
      </c>
      <c r="C29" s="10">
        <f t="shared" ref="C29:G29" si="28">C27/C30</f>
        <v>0.82712550607287449</v>
      </c>
      <c r="D29" s="10">
        <f t="shared" si="28"/>
        <v>0.25023252052246353</v>
      </c>
      <c r="E29" s="10">
        <f t="shared" si="28"/>
        <v>0.37451377633711508</v>
      </c>
      <c r="F29" s="10">
        <f t="shared" si="28"/>
        <v>0.49761036857027136</v>
      </c>
      <c r="G29" s="10">
        <f t="shared" si="28"/>
        <v>6.0442729488220959</v>
      </c>
      <c r="H29" s="10">
        <f>H27/H30</f>
        <v>0.67536007811864274</v>
      </c>
      <c r="I29" s="10">
        <f t="shared" ref="I29:P29" si="29">I27/I30</f>
        <v>0.78706232421636169</v>
      </c>
      <c r="J29" s="10">
        <f t="shared" si="29"/>
        <v>0.89965383832213397</v>
      </c>
      <c r="K29" s="10">
        <f t="shared" si="29"/>
        <v>0.76817642485986659</v>
      </c>
      <c r="L29" s="10">
        <f t="shared" si="29"/>
        <v>1.0843798735943528</v>
      </c>
      <c r="M29" s="10">
        <f t="shared" si="29"/>
        <v>1.3117112673161508</v>
      </c>
      <c r="N29" s="10">
        <f t="shared" si="29"/>
        <v>1.7676102699144174</v>
      </c>
      <c r="O29" s="10">
        <f t="shared" si="29"/>
        <v>2.4014246891213045</v>
      </c>
      <c r="P29" s="10">
        <f t="shared" si="29"/>
        <v>2.4674658949979329</v>
      </c>
      <c r="Q29" s="10"/>
      <c r="R29" s="10"/>
      <c r="S29" s="10"/>
      <c r="T29" s="10">
        <f t="shared" ref="T29:AP29" si="30">+T27/T30</f>
        <v>0.9976661737720689</v>
      </c>
      <c r="U29" s="10">
        <f t="shared" si="30"/>
        <v>0.9976661737720689</v>
      </c>
      <c r="V29" s="10">
        <f t="shared" si="30"/>
        <v>0.9976661737720689</v>
      </c>
      <c r="W29" s="10">
        <f t="shared" si="30"/>
        <v>0.9976661737720689</v>
      </c>
      <c r="X29" s="10">
        <f t="shared" si="30"/>
        <v>1.0016965149067496</v>
      </c>
      <c r="Y29" s="10">
        <f t="shared" si="30"/>
        <v>1.0025034266360064</v>
      </c>
      <c r="Z29" s="10">
        <f t="shared" si="30"/>
        <v>0.99986249435244667</v>
      </c>
      <c r="AA29" s="10">
        <f t="shared" si="30"/>
        <v>0.99956407427084615</v>
      </c>
      <c r="AB29" s="10">
        <f t="shared" si="30"/>
        <v>1.0004417106729167</v>
      </c>
      <c r="AC29" s="10">
        <f t="shared" si="30"/>
        <v>0.99977012584697689</v>
      </c>
      <c r="AD29" s="10">
        <f t="shared" si="30"/>
        <v>1.0007751458402327</v>
      </c>
      <c r="AE29" s="10">
        <f t="shared" si="30"/>
        <v>1.0005367905361791</v>
      </c>
      <c r="AF29" s="10">
        <f t="shared" si="30"/>
        <v>0.99939808978683298</v>
      </c>
      <c r="AG29" s="10">
        <f t="shared" si="30"/>
        <v>1.0000688047337658</v>
      </c>
      <c r="AH29" s="10">
        <f t="shared" si="30"/>
        <v>1</v>
      </c>
      <c r="AI29" s="10">
        <f t="shared" si="30"/>
        <v>1</v>
      </c>
      <c r="AJ29" s="10">
        <f t="shared" si="30"/>
        <v>1</v>
      </c>
      <c r="AK29" s="10">
        <f t="shared" si="30"/>
        <v>1</v>
      </c>
      <c r="AL29" s="10">
        <f t="shared" si="30"/>
        <v>1</v>
      </c>
      <c r="AM29" s="10">
        <f t="shared" si="30"/>
        <v>1</v>
      </c>
      <c r="AN29" s="10">
        <f t="shared" si="30"/>
        <v>1</v>
      </c>
      <c r="AO29" s="10">
        <f t="shared" si="30"/>
        <v>1</v>
      </c>
      <c r="AP29" s="10">
        <f t="shared" si="30"/>
        <v>1</v>
      </c>
      <c r="AQ29" s="10">
        <f t="shared" ref="AQ29:AR29" si="31">+AQ27/AQ30</f>
        <v>0.17563329312424608</v>
      </c>
      <c r="AR29" s="10">
        <f t="shared" si="31"/>
        <v>1.2053462940461726</v>
      </c>
      <c r="AS29" s="10">
        <f>+AS27/AS30</f>
        <v>2.9680309509264915</v>
      </c>
      <c r="AT29" s="10">
        <f>+AT27/AT30</f>
        <v>4.9290611273040765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</row>
    <row r="30" spans="1:99" x14ac:dyDescent="0.2">
      <c r="B30" s="2" t="s">
        <v>4</v>
      </c>
      <c r="C30" s="4">
        <v>2470</v>
      </c>
      <c r="D30" s="4">
        <v>24729</v>
      </c>
      <c r="E30" s="4">
        <v>24680</v>
      </c>
      <c r="F30" s="4">
        <f>+AR30</f>
        <v>24690</v>
      </c>
      <c r="G30" s="4">
        <v>2462</v>
      </c>
      <c r="H30" s="4">
        <v>24578</v>
      </c>
      <c r="I30" s="4">
        <v>24533</v>
      </c>
      <c r="J30" s="4">
        <f>+AS30</f>
        <v>24555</v>
      </c>
      <c r="K30" s="4">
        <v>24441</v>
      </c>
      <c r="L30" s="4">
        <v>24366</v>
      </c>
      <c r="M30" s="4">
        <v>24327</v>
      </c>
      <c r="N30" s="4">
        <v>24304</v>
      </c>
      <c r="O30" s="4">
        <v>24286</v>
      </c>
      <c r="P30" s="4">
        <v>24190</v>
      </c>
      <c r="Q30" s="4"/>
      <c r="R30" s="4"/>
      <c r="S30" s="4"/>
      <c r="T30" s="6">
        <v>168.393</v>
      </c>
      <c r="U30" s="6">
        <v>168.393</v>
      </c>
      <c r="V30" s="6">
        <v>168.393</v>
      </c>
      <c r="W30" s="6">
        <v>168.393</v>
      </c>
      <c r="X30" s="6">
        <v>172.70699999999999</v>
      </c>
      <c r="Y30" s="6">
        <v>176.55799999999999</v>
      </c>
      <c r="Z30" s="6">
        <v>509.07</v>
      </c>
      <c r="AA30" s="6">
        <v>587.25599999999997</v>
      </c>
      <c r="AB30" s="6">
        <v>606.73199999999997</v>
      </c>
      <c r="AC30" s="6">
        <v>548.12599999999998</v>
      </c>
      <c r="AD30" s="6">
        <v>549.57399999999996</v>
      </c>
      <c r="AE30" s="6">
        <v>588.68399999999997</v>
      </c>
      <c r="AF30" s="6">
        <v>616.37099999999998</v>
      </c>
      <c r="AG30" s="6">
        <v>624.95699999999999</v>
      </c>
      <c r="AH30" s="6">
        <v>595</v>
      </c>
      <c r="AI30" s="6">
        <v>563</v>
      </c>
      <c r="AJ30" s="6">
        <v>569</v>
      </c>
      <c r="AK30" s="6">
        <v>649</v>
      </c>
      <c r="AL30" s="6">
        <v>632</v>
      </c>
      <c r="AM30" s="6">
        <v>625</v>
      </c>
      <c r="AN30" s="6">
        <v>2472</v>
      </c>
      <c r="AO30" s="6">
        <v>2510</v>
      </c>
      <c r="AP30" s="6">
        <v>2535</v>
      </c>
      <c r="AQ30" s="4">
        <v>24870</v>
      </c>
      <c r="AR30" s="4">
        <v>24690</v>
      </c>
      <c r="AS30" s="4">
        <v>24555</v>
      </c>
      <c r="AT30" s="6">
        <v>24359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</row>
    <row r="31" spans="1:99" x14ac:dyDescent="0.2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</row>
    <row r="32" spans="1:99" x14ac:dyDescent="0.2">
      <c r="B32" s="2" t="s">
        <v>55</v>
      </c>
      <c r="C32" s="4"/>
      <c r="D32" s="4"/>
      <c r="E32" s="4"/>
      <c r="F32" s="4"/>
      <c r="G32" s="9">
        <f t="shared" ref="G32:P34" si="32">G3/C3-1</f>
        <v>4.2668067226890756</v>
      </c>
      <c r="H32" s="9">
        <f t="shared" si="32"/>
        <v>1.5449966095127388</v>
      </c>
      <c r="I32" s="9">
        <f t="shared" si="32"/>
        <v>1.1200909466721787</v>
      </c>
      <c r="J32" s="9">
        <f t="shared" si="32"/>
        <v>0.93327537491849588</v>
      </c>
      <c r="K32" s="9">
        <f t="shared" si="32"/>
        <v>0.73345743030625354</v>
      </c>
      <c r="L32" s="9">
        <f t="shared" si="32"/>
        <v>0.56425091352009749</v>
      </c>
      <c r="M32" s="9">
        <f t="shared" si="32"/>
        <v>0.66439179747164534</v>
      </c>
      <c r="N32" s="9">
        <f t="shared" si="32"/>
        <v>0.75137717818999428</v>
      </c>
      <c r="O32" s="9">
        <f t="shared" si="32"/>
        <v>0.92385968500715898</v>
      </c>
      <c r="P32" s="9">
        <f t="shared" si="32"/>
        <v>1.166220556745182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</row>
    <row r="33" spans="2:115" x14ac:dyDescent="0.2">
      <c r="B33" s="2" t="s">
        <v>56</v>
      </c>
      <c r="C33" s="4"/>
      <c r="D33" s="4"/>
      <c r="E33" s="4"/>
      <c r="F33" s="4"/>
      <c r="G33" s="9">
        <f t="shared" si="32"/>
        <v>4.7765862377122428</v>
      </c>
      <c r="H33" s="9">
        <f t="shared" si="32"/>
        <v>1.6247097073850441</v>
      </c>
      <c r="I33" s="9">
        <f t="shared" si="32"/>
        <v>1.321464561639234</v>
      </c>
      <c r="J33" s="9">
        <f t="shared" si="32"/>
        <v>1.1598885424268559</v>
      </c>
      <c r="K33" s="9">
        <f t="shared" si="32"/>
        <v>0.76129331683168311</v>
      </c>
      <c r="L33" s="9">
        <f t="shared" si="32"/>
        <v>0.49725712263316235</v>
      </c>
      <c r="M33" s="9">
        <f t="shared" si="32"/>
        <v>0.55650412386051218</v>
      </c>
      <c r="N33" s="9">
        <f t="shared" si="32"/>
        <v>0.57679076053569234</v>
      </c>
      <c r="O33" s="30" t="s">
        <v>152</v>
      </c>
      <c r="P33" s="30" t="s">
        <v>152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>
        <f t="shared" ref="AS33:AT35" si="33">+AS3/AR3-1</f>
        <v>1.4236927932667016</v>
      </c>
      <c r="AT33" s="9">
        <f t="shared" si="33"/>
        <v>0.68194919521469632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</row>
    <row r="34" spans="2:115" x14ac:dyDescent="0.2">
      <c r="B34" s="2" t="s">
        <v>57</v>
      </c>
      <c r="C34" s="4"/>
      <c r="D34" s="4"/>
      <c r="E34" s="4"/>
      <c r="F34" s="4"/>
      <c r="G34" s="9">
        <f t="shared" si="32"/>
        <v>2.4207119741100325</v>
      </c>
      <c r="H34" s="9">
        <f t="shared" si="32"/>
        <v>1.1437755698421976</v>
      </c>
      <c r="I34" s="9">
        <f t="shared" si="32"/>
        <v>0.19992325402916356</v>
      </c>
      <c r="J34" s="9">
        <f t="shared" si="32"/>
        <v>-9.2164515160612415E-2</v>
      </c>
      <c r="K34" s="9">
        <f t="shared" si="32"/>
        <v>0.56322926521602024</v>
      </c>
      <c r="L34" s="9">
        <f t="shared" si="32"/>
        <v>0.97709923664122145</v>
      </c>
      <c r="M34" s="9">
        <f t="shared" si="32"/>
        <v>1.618164374800128</v>
      </c>
      <c r="N34" s="9">
        <f t="shared" si="32"/>
        <v>2.6309523809523809</v>
      </c>
      <c r="O34" s="30" t="s">
        <v>152</v>
      </c>
      <c r="P34" s="30" t="s">
        <v>152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>
        <f t="shared" si="33"/>
        <v>1.6237740693196407</v>
      </c>
      <c r="AT34" s="9">
        <f t="shared" si="33"/>
        <v>0.58872167208109905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</row>
    <row r="35" spans="2:115" x14ac:dyDescent="0.2">
      <c r="B35" s="2" t="s">
        <v>58</v>
      </c>
      <c r="C35" s="4"/>
      <c r="D35" s="4"/>
      <c r="E35" s="4"/>
      <c r="F35" s="4"/>
      <c r="G35" s="9">
        <f t="shared" ref="G35:N38" si="34">G9/C9-1</f>
        <v>0.18169642857142865</v>
      </c>
      <c r="H35" s="9">
        <f t="shared" si="34"/>
        <v>0.15848753016894612</v>
      </c>
      <c r="I35" s="9">
        <f t="shared" si="34"/>
        <v>0.14810924369747891</v>
      </c>
      <c r="J35" s="9">
        <f t="shared" si="34"/>
        <v>-0.11204188481675392</v>
      </c>
      <c r="K35" s="9">
        <f t="shared" si="34"/>
        <v>0.42160936909709101</v>
      </c>
      <c r="L35" s="9">
        <f t="shared" si="34"/>
        <v>0.48854166666666665</v>
      </c>
      <c r="M35" s="9">
        <f t="shared" si="34"/>
        <v>0.30070143336383048</v>
      </c>
      <c r="N35" s="9">
        <f t="shared" si="34"/>
        <v>0.46501572327044016</v>
      </c>
      <c r="O35" s="30" t="s">
        <v>152</v>
      </c>
      <c r="P35" s="30" t="s">
        <v>152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>
        <f t="shared" si="33"/>
        <v>0.51486880466472296</v>
      </c>
      <c r="AT35" s="9">
        <f t="shared" si="33"/>
        <v>1.4153964588144725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</row>
    <row r="36" spans="2:115" x14ac:dyDescent="0.2">
      <c r="B36" s="2" t="s">
        <v>59</v>
      </c>
      <c r="C36" s="4"/>
      <c r="D36" s="4"/>
      <c r="E36" s="4"/>
      <c r="F36" s="4"/>
      <c r="G36" s="9">
        <f t="shared" si="34"/>
        <v>0.44745762711864412</v>
      </c>
      <c r="H36" s="9">
        <f t="shared" si="34"/>
        <v>0.19788918205804751</v>
      </c>
      <c r="I36" s="9">
        <f t="shared" si="34"/>
        <v>0.16826923076923084</v>
      </c>
      <c r="J36" s="9">
        <f t="shared" si="34"/>
        <v>0.10367170626349886</v>
      </c>
      <c r="K36" s="9">
        <f t="shared" si="34"/>
        <v>0.19203747072599531</v>
      </c>
      <c r="L36" s="9">
        <f t="shared" si="34"/>
        <v>0.32378854625550657</v>
      </c>
      <c r="M36" s="9">
        <f t="shared" si="34"/>
        <v>0.56378600823045266</v>
      </c>
      <c r="N36" s="9">
        <f t="shared" si="34"/>
        <v>1.5851272015655575</v>
      </c>
      <c r="O36" s="30" t="s">
        <v>152</v>
      </c>
      <c r="P36" s="30" t="s">
        <v>152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>
        <f t="shared" ref="AS36:AT38" si="35">+AS9/AR9-1</f>
        <v>8.643629750167503E-2</v>
      </c>
      <c r="AT36" s="9">
        <f t="shared" si="35"/>
        <v>0.41339207048458149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</row>
    <row r="37" spans="2:115" x14ac:dyDescent="0.2">
      <c r="B37" s="2" t="s">
        <v>60</v>
      </c>
      <c r="C37" s="4"/>
      <c r="D37" s="4"/>
      <c r="E37" s="4"/>
      <c r="F37" s="4"/>
      <c r="G37" s="9">
        <f t="shared" si="34"/>
        <v>0.1114864864864864</v>
      </c>
      <c r="H37" s="9">
        <f t="shared" si="34"/>
        <v>0.3359073359073359</v>
      </c>
      <c r="I37" s="9">
        <f t="shared" si="34"/>
        <v>0.72030651340996177</v>
      </c>
      <c r="J37" s="9">
        <f t="shared" si="34"/>
        <v>1.0727272727272728</v>
      </c>
      <c r="K37" s="9">
        <f t="shared" si="34"/>
        <v>0.72340425531914887</v>
      </c>
      <c r="L37" s="9">
        <f t="shared" si="34"/>
        <v>0.69364161849710992</v>
      </c>
      <c r="M37" s="9">
        <f t="shared" si="34"/>
        <v>0.31848552338530056</v>
      </c>
      <c r="N37" s="9">
        <f t="shared" si="34"/>
        <v>5.9649122807017507E-2</v>
      </c>
      <c r="O37" s="30" t="s">
        <v>152</v>
      </c>
      <c r="P37" s="30" t="s">
        <v>152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>
        <f t="shared" si="35"/>
        <v>0.20927237604636195</v>
      </c>
      <c r="AT37" s="9">
        <f t="shared" si="35"/>
        <v>0.6991480298189563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</row>
    <row r="38" spans="2:115" x14ac:dyDescent="0.2">
      <c r="B38" s="2" t="s">
        <v>61</v>
      </c>
      <c r="C38" s="4"/>
      <c r="D38" s="4"/>
      <c r="E38" s="4"/>
      <c r="F38" s="4"/>
      <c r="G38" s="9">
        <f t="shared" si="34"/>
        <v>1.298701298701288E-2</v>
      </c>
      <c r="H38" s="9">
        <f t="shared" si="34"/>
        <v>0.33333333333333326</v>
      </c>
      <c r="I38" s="9">
        <f t="shared" si="34"/>
        <v>0.32876712328767121</v>
      </c>
      <c r="J38" s="9">
        <f t="shared" si="34"/>
        <v>0.39999999999999991</v>
      </c>
      <c r="K38" s="9">
        <f t="shared" si="34"/>
        <v>0.42307692307692313</v>
      </c>
      <c r="L38" s="9">
        <f t="shared" si="34"/>
        <v>0.96590909090909083</v>
      </c>
      <c r="M38" s="9">
        <f t="shared" si="34"/>
        <v>0.79381443298969079</v>
      </c>
      <c r="N38" s="9">
        <f t="shared" si="34"/>
        <v>0.27777777777777768</v>
      </c>
      <c r="O38" s="30" t="s">
        <v>152</v>
      </c>
      <c r="P38" s="30" t="s">
        <v>152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>
        <f t="shared" si="35"/>
        <v>0.55270394133822176</v>
      </c>
      <c r="AT38" s="9">
        <f t="shared" si="35"/>
        <v>0.38665879574970474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</row>
    <row r="39" spans="2:115" x14ac:dyDescent="0.2">
      <c r="B39" s="7" t="s">
        <v>34</v>
      </c>
      <c r="C39" s="8"/>
      <c r="D39" s="8"/>
      <c r="E39" s="8"/>
      <c r="F39" s="8"/>
      <c r="G39" s="11">
        <f t="shared" ref="G39" si="36">G15/C15-1</f>
        <v>2.6212458286985538</v>
      </c>
      <c r="H39" s="11">
        <f t="shared" ref="H39" si="37">H15/D15-1</f>
        <v>1.2240319834160065</v>
      </c>
      <c r="I39" s="11">
        <f t="shared" ref="I39:N39" si="38">I15/E15-1</f>
        <v>0.93609271523178816</v>
      </c>
      <c r="J39" s="11">
        <f t="shared" si="38"/>
        <v>0.77944170474596208</v>
      </c>
      <c r="K39" s="11">
        <f t="shared" si="38"/>
        <v>0.69182921210259551</v>
      </c>
      <c r="L39" s="11">
        <f t="shared" si="38"/>
        <v>0.5560252996005326</v>
      </c>
      <c r="M39" s="11">
        <f t="shared" si="38"/>
        <v>0.62493586454592109</v>
      </c>
      <c r="N39" s="11">
        <f t="shared" si="38"/>
        <v>0.73214512725331171</v>
      </c>
      <c r="O39" s="11">
        <f t="shared" ref="O39:P39" si="39">O15/K15-1</f>
        <v>0.85227633788752222</v>
      </c>
      <c r="P39" s="11">
        <f t="shared" si="39"/>
        <v>1.0585114348672526</v>
      </c>
      <c r="Q39" s="11"/>
      <c r="R39" s="11"/>
      <c r="S39" s="11"/>
      <c r="T39" s="11"/>
      <c r="U39" s="11">
        <f t="shared" ref="U39:AR39" si="40">+U15/T15-1</f>
        <v>0.96329555012616663</v>
      </c>
      <c r="V39" s="11">
        <f t="shared" si="40"/>
        <v>0.86255685032858942</v>
      </c>
      <c r="W39" s="11">
        <f t="shared" si="40"/>
        <v>0.39429531549043384</v>
      </c>
      <c r="X39" s="11">
        <f t="shared" si="40"/>
        <v>-4.5302121504288917E-2</v>
      </c>
      <c r="Y39" s="11">
        <f t="shared" si="40"/>
        <v>0.10262953627235039</v>
      </c>
      <c r="Z39" s="11">
        <f t="shared" si="40"/>
        <v>0.18191442628056365</v>
      </c>
      <c r="AA39" s="11">
        <f t="shared" si="40"/>
        <v>0.29174045234073365</v>
      </c>
      <c r="AB39" s="11">
        <f t="shared" si="40"/>
        <v>0.33534238951032824</v>
      </c>
      <c r="AC39" s="11">
        <f t="shared" si="40"/>
        <v>-0.16423230661857646</v>
      </c>
      <c r="AD39" s="11">
        <f t="shared" si="40"/>
        <v>-2.8735197565797566E-2</v>
      </c>
      <c r="AE39" s="11">
        <f t="shared" si="40"/>
        <v>6.5193923242380381E-2</v>
      </c>
      <c r="AF39" s="11">
        <f t="shared" si="40"/>
        <v>0.12830407960468571</v>
      </c>
      <c r="AG39" s="11">
        <f t="shared" si="40"/>
        <v>7.0593782282331041E-2</v>
      </c>
      <c r="AH39" s="11">
        <f t="shared" si="40"/>
        <v>-3.5082575203397748E-2</v>
      </c>
      <c r="AI39" s="11">
        <f t="shared" si="40"/>
        <v>0.13365617433414045</v>
      </c>
      <c r="AJ39" s="11">
        <f t="shared" si="40"/>
        <v>7.0055531824006811E-2</v>
      </c>
      <c r="AK39" s="11">
        <f t="shared" si="40"/>
        <v>0.37924151696606789</v>
      </c>
      <c r="AL39" s="11">
        <f t="shared" si="40"/>
        <v>0.40578871201157751</v>
      </c>
      <c r="AM39" s="11">
        <f t="shared" si="40"/>
        <v>-5.5178093473337464E-2</v>
      </c>
      <c r="AN39" s="11">
        <f t="shared" si="40"/>
        <v>0.18958378731749836</v>
      </c>
      <c r="AO39" s="11">
        <f t="shared" si="40"/>
        <v>0.52729437625938824</v>
      </c>
      <c r="AP39" s="11">
        <f t="shared" si="40"/>
        <v>0.61397301349325328</v>
      </c>
      <c r="AQ39" s="11">
        <f t="shared" si="40"/>
        <v>2.2665626277262874E-3</v>
      </c>
      <c r="AR39" s="11">
        <f t="shared" si="40"/>
        <v>1.2585452658115224</v>
      </c>
      <c r="AS39" s="11">
        <f>+AS15/AR15-1</f>
        <v>1.1420340763599355</v>
      </c>
      <c r="AT39" s="11">
        <f>+AT15/AS15-1</f>
        <v>0.65473535790094783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</row>
    <row r="40" spans="2:115" x14ac:dyDescent="0.2">
      <c r="B40" s="2" t="s">
        <v>35</v>
      </c>
      <c r="C40" s="9">
        <f t="shared" ref="C40:G40" si="41">C17/C15</f>
        <v>0.64627363737486099</v>
      </c>
      <c r="D40" s="9">
        <f t="shared" si="41"/>
        <v>0.7005256533649219</v>
      </c>
      <c r="E40" s="9">
        <f t="shared" si="41"/>
        <v>0.73951434878587197</v>
      </c>
      <c r="F40" s="9">
        <f t="shared" si="41"/>
        <v>0.75967063294575399</v>
      </c>
      <c r="G40" s="9">
        <f t="shared" si="41"/>
        <v>0.78352019659038552</v>
      </c>
      <c r="H40" s="9">
        <f t="shared" ref="H40:J40" si="42">H17/H15</f>
        <v>0.75146471371504664</v>
      </c>
      <c r="I40" s="9">
        <f t="shared" si="42"/>
        <v>0.74556752750698363</v>
      </c>
      <c r="J40" s="9">
        <f t="shared" si="42"/>
        <v>0.73026365970862683</v>
      </c>
      <c r="K40" s="9">
        <f t="shared" ref="K40:L40" si="43">K17/K15</f>
        <v>0.60523807362353044</v>
      </c>
      <c r="L40" s="9">
        <f t="shared" si="43"/>
        <v>0.72423678411740799</v>
      </c>
      <c r="M40" s="9">
        <f t="shared" ref="M40:N40" si="44">M17/M15</f>
        <v>0.7341157071185489</v>
      </c>
      <c r="N40" s="9">
        <f t="shared" si="44"/>
        <v>0.74996697344665109</v>
      </c>
      <c r="O40" s="9">
        <f t="shared" ref="O40:P40" si="45">O17/O15</f>
        <v>0.74933529375727503</v>
      </c>
      <c r="P40" s="9">
        <f t="shared" si="45"/>
        <v>0.74975317238440675</v>
      </c>
      <c r="Q40" s="9"/>
      <c r="R40" s="9"/>
      <c r="S40" s="9"/>
      <c r="T40" s="9">
        <f t="shared" ref="T40:AS40" si="46">T17/T15</f>
        <v>0.62125205270957662</v>
      </c>
      <c r="U40" s="9">
        <f t="shared" si="46"/>
        <v>0.62886935848892367</v>
      </c>
      <c r="V40" s="9">
        <f t="shared" si="46"/>
        <v>0.6208477580029077</v>
      </c>
      <c r="W40" s="9">
        <f t="shared" si="46"/>
        <v>0.30489246362952205</v>
      </c>
      <c r="X40" s="9">
        <f t="shared" si="46"/>
        <v>0.29012285066197824</v>
      </c>
      <c r="Y40" s="9">
        <f t="shared" si="46"/>
        <v>0.3231220581950644</v>
      </c>
      <c r="Z40" s="9">
        <f t="shared" si="46"/>
        <v>0.38306098404377342</v>
      </c>
      <c r="AA40" s="9">
        <f t="shared" si="46"/>
        <v>0.42376866830402143</v>
      </c>
      <c r="AB40" s="9">
        <f t="shared" si="46"/>
        <v>0.45616004451103742</v>
      </c>
      <c r="AC40" s="9">
        <f t="shared" si="46"/>
        <v>0.34286637785672341</v>
      </c>
      <c r="AD40" s="9">
        <f t="shared" si="46"/>
        <v>0.35380804432359475</v>
      </c>
      <c r="AE40" s="9">
        <f t="shared" si="46"/>
        <v>0.39767629636591112</v>
      </c>
      <c r="AF40" s="9">
        <f t="shared" si="46"/>
        <v>0.51439544964519135</v>
      </c>
      <c r="AG40" s="9">
        <f t="shared" si="46"/>
        <v>0.52015427464260089</v>
      </c>
      <c r="AH40" s="9">
        <f t="shared" si="46"/>
        <v>0.54915254237288136</v>
      </c>
      <c r="AI40" s="9">
        <f t="shared" si="46"/>
        <v>0.55510465612985904</v>
      </c>
      <c r="AJ40" s="9">
        <f t="shared" si="46"/>
        <v>0.56107784431137719</v>
      </c>
      <c r="AK40" s="9">
        <f t="shared" si="46"/>
        <v>0.58798842257597683</v>
      </c>
      <c r="AL40" s="9">
        <f t="shared" si="46"/>
        <v>0.59934115709285563</v>
      </c>
      <c r="AM40" s="9">
        <f t="shared" si="46"/>
        <v>0.50479407278274135</v>
      </c>
      <c r="AN40" s="9">
        <f t="shared" si="46"/>
        <v>0.61989375343469499</v>
      </c>
      <c r="AO40" s="9">
        <f t="shared" si="46"/>
        <v>0.62344827586206897</v>
      </c>
      <c r="AP40" s="9">
        <f t="shared" si="46"/>
        <v>0.64924014416824583</v>
      </c>
      <c r="AQ40" s="9">
        <f t="shared" si="46"/>
        <v>0.56928894490991322</v>
      </c>
      <c r="AR40" s="9">
        <f t="shared" si="46"/>
        <v>0.72717573290436954</v>
      </c>
      <c r="AS40" s="9">
        <f t="shared" si="46"/>
        <v>0.74988697058169917</v>
      </c>
      <c r="AT40" s="9">
        <f t="shared" ref="AT40" si="47">AT17/AT15</f>
        <v>0.71068084357547079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</row>
    <row r="41" spans="2:115" x14ac:dyDescent="0.2">
      <c r="B41" s="2" t="s">
        <v>36</v>
      </c>
      <c r="C41" s="9">
        <f t="shared" ref="C41:G41" si="48">C21/C15</f>
        <v>0.29755283648498332</v>
      </c>
      <c r="D41" s="9">
        <f t="shared" si="48"/>
        <v>0.50344265936181243</v>
      </c>
      <c r="E41" s="9">
        <f t="shared" si="48"/>
        <v>0.5748896247240618</v>
      </c>
      <c r="F41" s="9">
        <f t="shared" si="48"/>
        <v>0.61597973125820027</v>
      </c>
      <c r="G41" s="9">
        <f t="shared" si="48"/>
        <v>0.64924742743050223</v>
      </c>
      <c r="H41" s="9">
        <f t="shared" ref="H41:J41" si="49">H21/H15</f>
        <v>0.62057256990679099</v>
      </c>
      <c r="I41" s="9">
        <f t="shared" si="49"/>
        <v>0.62336810900176731</v>
      </c>
      <c r="J41" s="9">
        <f t="shared" si="49"/>
        <v>0.61104472299204193</v>
      </c>
      <c r="K41" s="9">
        <f t="shared" ref="K41:L41" si="50">K21/K15</f>
        <v>0.49108074985248057</v>
      </c>
      <c r="L41" s="9">
        <f t="shared" si="50"/>
        <v>0.60843334830883766</v>
      </c>
      <c r="M41" s="9">
        <f t="shared" ref="M41:N41" si="51">M21/M15</f>
        <v>0.63168789250254365</v>
      </c>
      <c r="N41" s="9">
        <f t="shared" si="51"/>
        <v>0.65024146080115075</v>
      </c>
      <c r="O41" s="9">
        <f t="shared" ref="O41:P41" si="52">O21/O15</f>
        <v>0.65595785088525393</v>
      </c>
      <c r="P41" s="9">
        <f t="shared" si="52"/>
        <v>0.66237100009353467</v>
      </c>
      <c r="Q41" s="9"/>
      <c r="R41" s="9"/>
      <c r="S41" s="9"/>
      <c r="T41" s="9">
        <f t="shared" ref="T41:AS41" si="53">T21/T15</f>
        <v>0.62125205270957662</v>
      </c>
      <c r="U41" s="9">
        <f t="shared" si="53"/>
        <v>0.62886935848892367</v>
      </c>
      <c r="V41" s="9">
        <f t="shared" si="53"/>
        <v>0.6208477580029077</v>
      </c>
      <c r="W41" s="9">
        <f t="shared" si="53"/>
        <v>0.10778932329622133</v>
      </c>
      <c r="X41" s="9">
        <f t="shared" si="53"/>
        <v>5.1376755744139253E-2</v>
      </c>
      <c r="Y41" s="9">
        <f t="shared" si="53"/>
        <v>5.651300252284408E-2</v>
      </c>
      <c r="Z41" s="9">
        <f t="shared" si="53"/>
        <v>0.14767181030160956</v>
      </c>
      <c r="AA41" s="9">
        <f t="shared" si="53"/>
        <v>0.14776338801428987</v>
      </c>
      <c r="AB41" s="9">
        <f t="shared" si="53"/>
        <v>0.20409335604437434</v>
      </c>
      <c r="AC41" s="9">
        <f t="shared" si="53"/>
        <v>-1.2798191108013595E-2</v>
      </c>
      <c r="AD41" s="9">
        <f t="shared" si="53"/>
        <v>-2.9744967976322981E-2</v>
      </c>
      <c r="AE41" s="9">
        <f t="shared" si="53"/>
        <v>5.6090789710973574E-2</v>
      </c>
      <c r="AF41" s="9">
        <f t="shared" si="53"/>
        <v>0.1621586671102295</v>
      </c>
      <c r="AG41" s="9">
        <f t="shared" si="53"/>
        <v>0.15145208390622875</v>
      </c>
      <c r="AH41" s="9">
        <f t="shared" si="53"/>
        <v>0.12009685230024213</v>
      </c>
      <c r="AI41" s="9">
        <f t="shared" si="53"/>
        <v>0.16211020931225972</v>
      </c>
      <c r="AJ41" s="9">
        <f t="shared" si="53"/>
        <v>0.17524950099800399</v>
      </c>
      <c r="AK41" s="9">
        <f t="shared" si="53"/>
        <v>0.28031837916063673</v>
      </c>
      <c r="AL41" s="9">
        <f t="shared" si="53"/>
        <v>0.33045089561457691</v>
      </c>
      <c r="AM41" s="9">
        <f t="shared" si="53"/>
        <v>0.13793854870342123</v>
      </c>
      <c r="AN41" s="9">
        <f t="shared" si="53"/>
        <v>0.2606704524638212</v>
      </c>
      <c r="AO41" s="9">
        <f t="shared" si="53"/>
        <v>0.27178410794602698</v>
      </c>
      <c r="AP41" s="9">
        <f t="shared" si="53"/>
        <v>0.37305391446512837</v>
      </c>
      <c r="AQ41" s="9">
        <f t="shared" si="53"/>
        <v>0.1565952398606065</v>
      </c>
      <c r="AR41" s="9">
        <f t="shared" si="53"/>
        <v>0.54121663766783756</v>
      </c>
      <c r="AS41" s="9">
        <f t="shared" si="53"/>
        <v>0.62417526839697468</v>
      </c>
      <c r="AT41" s="9">
        <f t="shared" ref="AT41" si="54">AT21/AT15</f>
        <v>0.60381683631412719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</row>
    <row r="42" spans="2:115" x14ac:dyDescent="0.2">
      <c r="B42" s="2" t="s">
        <v>37</v>
      </c>
      <c r="C42" s="9">
        <f t="shared" ref="C42:G42" si="55">C26/C25</f>
        <v>7.5147125396106837E-2</v>
      </c>
      <c r="D42" s="9">
        <f t="shared" si="55"/>
        <v>0.11359404096834265</v>
      </c>
      <c r="E42" s="9">
        <f t="shared" si="55"/>
        <v>0.12155483748336818</v>
      </c>
      <c r="F42" s="9">
        <f t="shared" si="55"/>
        <v>0.12902311073302142</v>
      </c>
      <c r="G42" s="9">
        <f t="shared" si="55"/>
        <v>0.13878117946640431</v>
      </c>
      <c r="H42" s="9">
        <f t="shared" ref="H42:J42" si="56">H26/H25</f>
        <v>0.1360986780472572</v>
      </c>
      <c r="I42" s="9">
        <f t="shared" si="56"/>
        <v>0.13474637031726117</v>
      </c>
      <c r="J42" s="9">
        <f t="shared" si="56"/>
        <v>0.1239639925447119</v>
      </c>
      <c r="K42" s="9">
        <f t="shared" ref="K42:L42" si="57">K26/K25</f>
        <v>0.1430853491556367</v>
      </c>
      <c r="L42" s="9">
        <f t="shared" si="57"/>
        <v>0.15330385182336731</v>
      </c>
      <c r="M42" s="9">
        <f t="shared" ref="M42:N42" si="58">M26/M25</f>
        <v>0.15884647827920709</v>
      </c>
      <c r="N42" s="9">
        <f t="shared" si="58"/>
        <v>0.14756830763735937</v>
      </c>
      <c r="O42" s="9">
        <f t="shared" ref="O42:P42" si="59">O26/O25</f>
        <v>0.16568673733602277</v>
      </c>
      <c r="P42" s="9">
        <f t="shared" si="59"/>
        <v>0.16528451759967555</v>
      </c>
      <c r="Q42" s="9"/>
      <c r="R42" s="9"/>
      <c r="S42" s="9"/>
      <c r="T42" s="9">
        <f t="shared" ref="T42:AS42" si="60">T26/T25</f>
        <v>5.9138414478715267E-3</v>
      </c>
      <c r="U42" s="9">
        <f t="shared" si="60"/>
        <v>5.9407382012947518E-3</v>
      </c>
      <c r="V42" s="9">
        <f t="shared" si="60"/>
        <v>5.9356954041987374E-3</v>
      </c>
      <c r="W42" s="9">
        <f t="shared" si="60"/>
        <v>5.9655298689946044E-3</v>
      </c>
      <c r="X42" s="9">
        <f t="shared" si="60"/>
        <v>5.8020887519507061E-3</v>
      </c>
      <c r="Y42" s="9">
        <f t="shared" si="60"/>
        <v>5.7042211236314954E-3</v>
      </c>
      <c r="Z42" s="9">
        <f t="shared" si="60"/>
        <v>1.9625967053699188E-3</v>
      </c>
      <c r="AA42" s="9">
        <f t="shared" si="60"/>
        <v>1.692944431326599E-3</v>
      </c>
      <c r="AB42" s="9">
        <f t="shared" si="60"/>
        <v>1.643789549764788E-3</v>
      </c>
      <c r="AC42" s="9">
        <f t="shared" si="60"/>
        <v>0</v>
      </c>
      <c r="AD42" s="9">
        <f t="shared" si="60"/>
        <v>1.8462349993406376E-3</v>
      </c>
      <c r="AE42" s="9">
        <f t="shared" si="60"/>
        <v>1.6824202379859894E-3</v>
      </c>
      <c r="AF42" s="9">
        <f t="shared" si="60"/>
        <v>1.6176495895644401E-3</v>
      </c>
      <c r="AG42" s="9">
        <f t="shared" si="60"/>
        <v>1.5998976065531808E-3</v>
      </c>
      <c r="AH42" s="9">
        <f t="shared" si="60"/>
        <v>1.6818181818181819E-3</v>
      </c>
      <c r="AI42" s="9">
        <f t="shared" si="60"/>
        <v>1.7719568567026193E-3</v>
      </c>
      <c r="AJ42" s="9">
        <f t="shared" si="60"/>
        <v>1.7583892617449666E-3</v>
      </c>
      <c r="AK42" s="9">
        <f t="shared" si="60"/>
        <v>1.5398442180946674E-3</v>
      </c>
      <c r="AL42" s="9">
        <f t="shared" si="60"/>
        <v>1.5818838201509683E-3</v>
      </c>
      <c r="AM42" s="9">
        <f t="shared" si="60"/>
        <v>4.1359950093574549E-3</v>
      </c>
      <c r="AN42" s="9">
        <f t="shared" si="60"/>
        <v>4.0414878397711013E-4</v>
      </c>
      <c r="AO42" s="9">
        <f t="shared" si="60"/>
        <v>3.9935364727608497E-4</v>
      </c>
      <c r="AP42" s="9">
        <f t="shared" si="60"/>
        <v>3.9479081214109928E-4</v>
      </c>
      <c r="AQ42" s="9">
        <f t="shared" si="60"/>
        <v>-4.4726142071274816E-2</v>
      </c>
      <c r="AR42" s="9">
        <f t="shared" si="60"/>
        <v>0.1199952687917677</v>
      </c>
      <c r="AS42" s="9">
        <f t="shared" si="60"/>
        <v>0.13264941803727417</v>
      </c>
      <c r="AT42" s="9">
        <f t="shared" ref="AT42" si="61">AT26/AT25</f>
        <v>0.15117002474372571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</row>
    <row r="43" spans="2:115" x14ac:dyDescent="0.2">
      <c r="B43" s="2" t="s">
        <v>84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9"/>
      <c r="AR43" s="9"/>
      <c r="AS43" s="9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</row>
    <row r="44" spans="2:115" x14ac:dyDescent="0.2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</row>
    <row r="45" spans="2:115" x14ac:dyDescent="0.2">
      <c r="B45" s="16" t="s">
        <v>92</v>
      </c>
      <c r="C45" s="4"/>
      <c r="D45" s="4"/>
      <c r="E45" s="4"/>
      <c r="F45" s="4"/>
      <c r="G45" s="4"/>
      <c r="H45" s="4"/>
      <c r="I45" s="4"/>
      <c r="J45" s="4"/>
      <c r="K45" s="4"/>
      <c r="L45" s="4">
        <v>11639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>
        <v>8589</v>
      </c>
      <c r="AT45" s="4">
        <v>10605</v>
      </c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</row>
    <row r="46" spans="2:115" x14ac:dyDescent="0.2">
      <c r="B46" s="16" t="s">
        <v>93</v>
      </c>
      <c r="C46" s="4"/>
      <c r="D46" s="4"/>
      <c r="E46" s="4"/>
      <c r="F46" s="4"/>
      <c r="G46" s="4"/>
      <c r="H46" s="4"/>
      <c r="I46" s="4"/>
      <c r="J46" s="4"/>
      <c r="K46" s="4"/>
      <c r="L46" s="4">
        <v>45152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>
        <v>34621</v>
      </c>
      <c r="AT46" s="4">
        <v>51951</v>
      </c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</row>
    <row r="47" spans="2:115" x14ac:dyDescent="0.2">
      <c r="B47" s="16" t="s">
        <v>94</v>
      </c>
      <c r="C47" s="4"/>
      <c r="D47" s="4"/>
      <c r="E47" s="4"/>
      <c r="F47" s="4"/>
      <c r="G47" s="4"/>
      <c r="H47" s="4"/>
      <c r="I47" s="4"/>
      <c r="J47" s="4"/>
      <c r="K47" s="4"/>
      <c r="L47" s="4">
        <v>27808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>
        <v>23065</v>
      </c>
      <c r="AT47" s="4">
        <v>38466</v>
      </c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</row>
    <row r="48" spans="2:115" x14ac:dyDescent="0.2">
      <c r="B48" s="16" t="s">
        <v>95</v>
      </c>
      <c r="C48" s="4"/>
      <c r="D48" s="4"/>
      <c r="E48" s="4"/>
      <c r="F48" s="4"/>
      <c r="G48" s="4"/>
      <c r="H48" s="4"/>
      <c r="I48" s="4"/>
      <c r="J48" s="4"/>
      <c r="K48" s="4"/>
      <c r="L48" s="4">
        <v>14962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>
        <v>10080</v>
      </c>
      <c r="AT48" s="4">
        <v>21403</v>
      </c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</row>
    <row r="49" spans="2:115" x14ac:dyDescent="0.2">
      <c r="B49" s="16" t="s">
        <v>96</v>
      </c>
      <c r="C49" s="4"/>
      <c r="D49" s="4"/>
      <c r="E49" s="4"/>
      <c r="F49" s="4"/>
      <c r="G49" s="4"/>
      <c r="H49" s="4"/>
      <c r="I49" s="4"/>
      <c r="J49" s="4"/>
      <c r="K49" s="4"/>
      <c r="L49" s="4">
        <v>2658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>
        <v>3771</v>
      </c>
      <c r="AT49" s="4">
        <v>3180</v>
      </c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</row>
    <row r="50" spans="2:115" x14ac:dyDescent="0.2">
      <c r="B50" s="16" t="s">
        <v>97</v>
      </c>
      <c r="C50" s="4">
        <f t="shared" ref="C50:K50" si="62">+SUM(C45:C49)</f>
        <v>0</v>
      </c>
      <c r="D50" s="4">
        <f t="shared" si="62"/>
        <v>0</v>
      </c>
      <c r="E50" s="4">
        <f t="shared" si="62"/>
        <v>0</v>
      </c>
      <c r="F50" s="4">
        <f t="shared" si="62"/>
        <v>0</v>
      </c>
      <c r="G50" s="4">
        <f t="shared" si="62"/>
        <v>0</v>
      </c>
      <c r="H50" s="4">
        <f t="shared" si="62"/>
        <v>0</v>
      </c>
      <c r="I50" s="4">
        <f t="shared" si="62"/>
        <v>0</v>
      </c>
      <c r="J50" s="4">
        <f t="shared" si="62"/>
        <v>0</v>
      </c>
      <c r="K50" s="4">
        <f t="shared" si="62"/>
        <v>0</v>
      </c>
      <c r="L50" s="4">
        <f>+SUM(L45:L49)</f>
        <v>102219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>
        <f>+SUM(AS45:AS49)</f>
        <v>80126</v>
      </c>
      <c r="AT50" s="4">
        <f>+SUM(AT45:AT49)</f>
        <v>125605</v>
      </c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</row>
    <row r="51" spans="2:115" x14ac:dyDescent="0.2">
      <c r="B51" s="16" t="s">
        <v>99</v>
      </c>
      <c r="C51" s="4"/>
      <c r="D51" s="4"/>
      <c r="E51" s="4"/>
      <c r="F51" s="4"/>
      <c r="G51" s="4"/>
      <c r="H51" s="4"/>
      <c r="I51" s="4"/>
      <c r="J51" s="4"/>
      <c r="K51" s="4"/>
      <c r="L51" s="4">
        <v>9141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>
        <v>6283</v>
      </c>
      <c r="AT51" s="4">
        <v>10383</v>
      </c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</row>
    <row r="52" spans="2:115" x14ac:dyDescent="0.2">
      <c r="B52" s="16" t="s">
        <v>100</v>
      </c>
      <c r="C52" s="4"/>
      <c r="D52" s="4"/>
      <c r="E52" s="4"/>
      <c r="F52" s="4"/>
      <c r="G52" s="4"/>
      <c r="H52" s="4"/>
      <c r="I52" s="4"/>
      <c r="J52" s="4"/>
      <c r="K52" s="4"/>
      <c r="L52" s="4">
        <v>2084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>
        <v>1793</v>
      </c>
      <c r="AT52" s="4">
        <v>2867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</row>
    <row r="53" spans="2:115" x14ac:dyDescent="0.2">
      <c r="B53" s="16" t="s">
        <v>101</v>
      </c>
      <c r="C53" s="4"/>
      <c r="D53" s="4"/>
      <c r="E53" s="4"/>
      <c r="F53" s="4"/>
      <c r="G53" s="4"/>
      <c r="H53" s="4"/>
      <c r="I53" s="4"/>
      <c r="J53" s="4"/>
      <c r="K53" s="4"/>
      <c r="L53" s="4">
        <v>5755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>
        <v>5188</v>
      </c>
      <c r="AT53" s="4">
        <v>20832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</row>
    <row r="54" spans="2:115" x14ac:dyDescent="0.2">
      <c r="B54" s="16" t="s">
        <v>102</v>
      </c>
      <c r="C54" s="4"/>
      <c r="D54" s="4"/>
      <c r="E54" s="4"/>
      <c r="F54" s="4"/>
      <c r="G54" s="4"/>
      <c r="H54" s="4"/>
      <c r="I54" s="4"/>
      <c r="J54" s="4"/>
      <c r="K54" s="4"/>
      <c r="L54" s="4">
        <v>755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>
        <v>807</v>
      </c>
      <c r="AT54" s="4">
        <v>3306</v>
      </c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</row>
    <row r="55" spans="2:115" x14ac:dyDescent="0.2">
      <c r="B55" s="16" t="s">
        <v>103</v>
      </c>
      <c r="C55" s="4"/>
      <c r="D55" s="4"/>
      <c r="E55" s="4"/>
      <c r="F55" s="4"/>
      <c r="G55" s="4"/>
      <c r="H55" s="4"/>
      <c r="I55" s="4"/>
      <c r="J55" s="4"/>
      <c r="K55" s="4"/>
      <c r="L55" s="4">
        <v>13570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>
        <v>10979</v>
      </c>
      <c r="AT55" s="4">
        <v>13258</v>
      </c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</row>
    <row r="56" spans="2:115" x14ac:dyDescent="0.2">
      <c r="B56" s="16" t="s">
        <v>104</v>
      </c>
      <c r="C56" s="4"/>
      <c r="D56" s="4"/>
      <c r="E56" s="4"/>
      <c r="F56" s="4"/>
      <c r="G56" s="4"/>
      <c r="H56" s="4"/>
      <c r="I56" s="4"/>
      <c r="J56" s="4"/>
      <c r="K56" s="4"/>
      <c r="L56" s="4">
        <v>7216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>
        <f>3038+3387</f>
        <v>6425</v>
      </c>
      <c r="AT56" s="4">
        <f>22251+8301</f>
        <v>30552</v>
      </c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</row>
    <row r="57" spans="2:115" x14ac:dyDescent="0.2">
      <c r="B57" s="16" t="s">
        <v>105</v>
      </c>
      <c r="C57" s="4"/>
      <c r="D57" s="4"/>
      <c r="E57" s="4"/>
      <c r="F57" s="4"/>
      <c r="G57" s="4"/>
      <c r="H57" s="4"/>
      <c r="I57" s="4"/>
      <c r="J57" s="4"/>
      <c r="K57" s="4"/>
      <c r="L57" s="4">
        <f>+SUM(L51:L56)</f>
        <v>38521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>
        <f>+SUM(AS51:AS56)</f>
        <v>31475</v>
      </c>
      <c r="AT57" s="4">
        <f>+SUM(AT51:AT56)</f>
        <v>81198</v>
      </c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</row>
    <row r="58" spans="2:115" x14ac:dyDescent="0.2">
      <c r="B58" s="7" t="s">
        <v>98</v>
      </c>
      <c r="C58" s="8">
        <f t="shared" ref="C58:K58" si="63">+C57+C50</f>
        <v>0</v>
      </c>
      <c r="D58" s="8">
        <f t="shared" si="63"/>
        <v>0</v>
      </c>
      <c r="E58" s="8">
        <f t="shared" si="63"/>
        <v>0</v>
      </c>
      <c r="F58" s="8">
        <f t="shared" si="63"/>
        <v>0</v>
      </c>
      <c r="G58" s="8">
        <f t="shared" si="63"/>
        <v>0</v>
      </c>
      <c r="H58" s="8">
        <f t="shared" si="63"/>
        <v>0</v>
      </c>
      <c r="I58" s="8">
        <f t="shared" si="63"/>
        <v>0</v>
      </c>
      <c r="J58" s="8">
        <f t="shared" si="63"/>
        <v>0</v>
      </c>
      <c r="K58" s="8">
        <f t="shared" si="63"/>
        <v>0</v>
      </c>
      <c r="L58" s="8">
        <f>+L57+L50</f>
        <v>140740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>
        <f>+AS57+AS50</f>
        <v>111601</v>
      </c>
      <c r="AT58" s="8">
        <f>+AT57+AT50</f>
        <v>206803</v>
      </c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</row>
    <row r="59" spans="2:115" x14ac:dyDescent="0.2">
      <c r="B59" s="16" t="s">
        <v>107</v>
      </c>
      <c r="C59" s="4"/>
      <c r="D59" s="4"/>
      <c r="E59" s="4"/>
      <c r="F59" s="4"/>
      <c r="G59" s="4"/>
      <c r="H59" s="4"/>
      <c r="I59" s="4"/>
      <c r="J59" s="4"/>
      <c r="K59" s="4"/>
      <c r="L59" s="4">
        <v>9064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>
        <v>6310</v>
      </c>
      <c r="AT59" s="4">
        <v>9812</v>
      </c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</row>
    <row r="60" spans="2:115" x14ac:dyDescent="0.2">
      <c r="B60" s="16" t="s">
        <v>29</v>
      </c>
      <c r="C60" s="4"/>
      <c r="D60" s="4"/>
      <c r="E60" s="4"/>
      <c r="F60" s="4"/>
      <c r="G60" s="4"/>
      <c r="H60" s="4"/>
      <c r="I60" s="4"/>
      <c r="J60" s="4"/>
      <c r="K60" s="4"/>
      <c r="L60" s="4">
        <v>15193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>
        <v>11737</v>
      </c>
      <c r="AT60" s="4">
        <v>21352</v>
      </c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</row>
    <row r="61" spans="2:115" x14ac:dyDescent="0.2">
      <c r="B61" s="20" t="s">
        <v>119</v>
      </c>
      <c r="C61" s="4"/>
      <c r="D61" s="4"/>
      <c r="E61" s="4"/>
      <c r="F61" s="4"/>
      <c r="G61" s="4"/>
      <c r="H61" s="4"/>
      <c r="I61" s="4"/>
      <c r="J61" s="4"/>
      <c r="K61" s="4"/>
      <c r="L61" s="4">
        <v>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>
        <v>0</v>
      </c>
      <c r="AT61" s="4">
        <v>999</v>
      </c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</row>
    <row r="62" spans="2:115" x14ac:dyDescent="0.2">
      <c r="B62" s="16" t="s">
        <v>108</v>
      </c>
      <c r="C62" s="4"/>
      <c r="D62" s="4"/>
      <c r="E62" s="4"/>
      <c r="F62" s="4"/>
      <c r="G62" s="4"/>
      <c r="H62" s="4"/>
      <c r="I62" s="4"/>
      <c r="J62" s="4"/>
      <c r="K62" s="4"/>
      <c r="L62" s="4">
        <f>+L59+L60+L61</f>
        <v>24257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>
        <f>+AS59+AS60+AS61</f>
        <v>18047</v>
      </c>
      <c r="AT62" s="4">
        <f>+AT59+AT60+AT61</f>
        <v>32163</v>
      </c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</row>
    <row r="63" spans="2:115" x14ac:dyDescent="0.2">
      <c r="B63" s="16" t="s">
        <v>109</v>
      </c>
      <c r="C63" s="4"/>
      <c r="D63" s="4"/>
      <c r="E63" s="4"/>
      <c r="F63" s="4"/>
      <c r="G63" s="4"/>
      <c r="H63" s="4"/>
      <c r="I63" s="4"/>
      <c r="J63" s="4"/>
      <c r="K63" s="4"/>
      <c r="L63" s="4">
        <v>8466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>
        <v>8463</v>
      </c>
      <c r="AT63" s="4">
        <v>7469</v>
      </c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</row>
    <row r="64" spans="2:115" x14ac:dyDescent="0.2">
      <c r="B64" s="16" t="s">
        <v>100</v>
      </c>
      <c r="C64" s="4"/>
      <c r="D64" s="4"/>
      <c r="E64" s="4"/>
      <c r="F64" s="4"/>
      <c r="G64" s="4"/>
      <c r="H64" s="4"/>
      <c r="I64" s="4"/>
      <c r="J64" s="4"/>
      <c r="K64" s="4"/>
      <c r="L64" s="4">
        <v>1831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>
        <v>1519</v>
      </c>
      <c r="AT64" s="4">
        <v>2572</v>
      </c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</row>
    <row r="65" spans="2:115" x14ac:dyDescent="0.2">
      <c r="B65" s="16" t="s">
        <v>29</v>
      </c>
      <c r="C65" s="4"/>
      <c r="D65" s="4"/>
      <c r="E65" s="4"/>
      <c r="F65" s="4"/>
      <c r="G65" s="4"/>
      <c r="H65" s="4"/>
      <c r="I65" s="4"/>
      <c r="J65" s="4"/>
      <c r="K65" s="4"/>
      <c r="L65" s="4">
        <v>6055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>
        <v>4245</v>
      </c>
      <c r="AT65" s="4">
        <v>7306</v>
      </c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</row>
    <row r="66" spans="2:115" x14ac:dyDescent="0.2">
      <c r="B66" s="16" t="s">
        <v>110</v>
      </c>
      <c r="C66" s="4"/>
      <c r="D66" s="4"/>
      <c r="E66" s="4"/>
      <c r="F66" s="4"/>
      <c r="G66" s="4"/>
      <c r="H66" s="4"/>
      <c r="I66" s="4"/>
      <c r="J66" s="4"/>
      <c r="K66" s="4"/>
      <c r="L66" s="4">
        <f>+SUM(L63:L65)</f>
        <v>16352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>
        <f t="shared" ref="AS66" si="64">+SUM(AS63:AS65)</f>
        <v>14227</v>
      </c>
      <c r="AT66" s="4">
        <f>+SUM(AT63:AT65)</f>
        <v>17347</v>
      </c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</row>
    <row r="67" spans="2:115" x14ac:dyDescent="0.2">
      <c r="B67" s="16" t="s">
        <v>111</v>
      </c>
      <c r="C67" s="4"/>
      <c r="D67" s="4"/>
      <c r="E67" s="4"/>
      <c r="F67" s="4"/>
      <c r="G67" s="4"/>
      <c r="H67" s="4"/>
      <c r="I67" s="4"/>
      <c r="J67" s="4"/>
      <c r="K67" s="4"/>
      <c r="L67" s="4">
        <v>100131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>
        <v>79327</v>
      </c>
      <c r="AT67" s="4">
        <v>157293</v>
      </c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</row>
    <row r="68" spans="2:115" x14ac:dyDescent="0.2">
      <c r="B68" s="7" t="s">
        <v>106</v>
      </c>
      <c r="C68" s="8">
        <f t="shared" ref="C68:K68" si="65">+C67+C66+C62</f>
        <v>0</v>
      </c>
      <c r="D68" s="8">
        <f t="shared" si="65"/>
        <v>0</v>
      </c>
      <c r="E68" s="8">
        <f t="shared" si="65"/>
        <v>0</v>
      </c>
      <c r="F68" s="8">
        <f t="shared" si="65"/>
        <v>0</v>
      </c>
      <c r="G68" s="8">
        <f t="shared" si="65"/>
        <v>0</v>
      </c>
      <c r="H68" s="8">
        <f t="shared" si="65"/>
        <v>0</v>
      </c>
      <c r="I68" s="8">
        <f t="shared" si="65"/>
        <v>0</v>
      </c>
      <c r="J68" s="8">
        <f t="shared" si="65"/>
        <v>0</v>
      </c>
      <c r="K68" s="8">
        <f t="shared" si="65"/>
        <v>0</v>
      </c>
      <c r="L68" s="8">
        <f>+L67+L66+L62</f>
        <v>140740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>
        <f t="shared" ref="AS68" si="66">+AS67+AS66+AS62</f>
        <v>111601</v>
      </c>
      <c r="AT68" s="8">
        <f>+AT67+AT66+AT62</f>
        <v>206803</v>
      </c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</row>
    <row r="69" spans="2:115" x14ac:dyDescent="0.2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</row>
    <row r="70" spans="2:115" x14ac:dyDescent="0.2">
      <c r="B70" s="16" t="s">
        <v>32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>
        <f t="shared" ref="AR70:AS70" si="67">+AR27</f>
        <v>29760</v>
      </c>
      <c r="AS70" s="4">
        <f t="shared" si="67"/>
        <v>72880</v>
      </c>
      <c r="AT70" s="4">
        <f>+AT27</f>
        <v>120067</v>
      </c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</row>
    <row r="71" spans="2:115" x14ac:dyDescent="0.2">
      <c r="B71" s="20" t="s">
        <v>122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>
        <v>3549</v>
      </c>
      <c r="AS71" s="4">
        <v>4737</v>
      </c>
      <c r="AT71" s="4">
        <v>6386</v>
      </c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</row>
    <row r="72" spans="2:115" x14ac:dyDescent="0.2">
      <c r="B72" s="20" t="s">
        <v>123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>
        <v>1508</v>
      </c>
      <c r="AS72" s="4">
        <v>1864</v>
      </c>
      <c r="AT72" s="4">
        <v>2843</v>
      </c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</row>
    <row r="73" spans="2:115" x14ac:dyDescent="0.2">
      <c r="B73" s="20" t="s">
        <v>124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>
        <v>-238</v>
      </c>
      <c r="AS73" s="4">
        <v>-1030</v>
      </c>
      <c r="AT73" s="4">
        <v>-8918</v>
      </c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</row>
    <row r="74" spans="2:115" x14ac:dyDescent="0.2">
      <c r="B74" s="20" t="s">
        <v>125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>
        <v>-2489</v>
      </c>
      <c r="AS74" s="4">
        <v>-4477</v>
      </c>
      <c r="AT74" s="4">
        <v>-1424</v>
      </c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</row>
    <row r="75" spans="2:115" x14ac:dyDescent="0.2">
      <c r="B75" s="20" t="s">
        <v>29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>
        <v>-278</v>
      </c>
      <c r="AS75" s="4">
        <v>-502</v>
      </c>
      <c r="AT75" s="4">
        <v>-287</v>
      </c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</row>
    <row r="76" spans="2:115" x14ac:dyDescent="0.2">
      <c r="B76" s="20" t="s">
        <v>126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>
        <v>-6172</v>
      </c>
      <c r="AS76" s="4">
        <v>-13063</v>
      </c>
      <c r="AT76" s="4">
        <v>-15399</v>
      </c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</row>
    <row r="77" spans="2:115" x14ac:dyDescent="0.2">
      <c r="B77" s="20" t="s">
        <v>130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>
        <v>-98</v>
      </c>
      <c r="AS77" s="4">
        <v>-4781</v>
      </c>
      <c r="AT77" s="4">
        <v>-11324</v>
      </c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</row>
    <row r="78" spans="2:115" x14ac:dyDescent="0.2">
      <c r="B78" s="20" t="s">
        <v>127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>
        <v>-1522</v>
      </c>
      <c r="AS78" s="4">
        <v>-395</v>
      </c>
      <c r="AT78" s="4">
        <v>577</v>
      </c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</row>
    <row r="79" spans="2:115" x14ac:dyDescent="0.2">
      <c r="B79" s="20" t="s">
        <v>128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>
        <v>1531</v>
      </c>
      <c r="AS79" s="4">
        <v>3357</v>
      </c>
      <c r="AT79" s="4">
        <v>3096</v>
      </c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</row>
    <row r="80" spans="2:115" x14ac:dyDescent="0.2">
      <c r="B80" s="20" t="s">
        <v>129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>
        <v>2025</v>
      </c>
      <c r="AS80" s="4">
        <v>4278</v>
      </c>
      <c r="AT80" s="4">
        <v>5257</v>
      </c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</row>
    <row r="81" spans="2:115" x14ac:dyDescent="0.2">
      <c r="B81" s="20" t="s">
        <v>131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>
        <v>514</v>
      </c>
      <c r="AS81" s="4">
        <v>1221</v>
      </c>
      <c r="AT81" s="4">
        <v>1844</v>
      </c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</row>
    <row r="82" spans="2:115" x14ac:dyDescent="0.2">
      <c r="B82" s="20" t="s">
        <v>121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>
        <f t="shared" ref="AP82" si="68">+SUM(AP76:AP81)</f>
        <v>0</v>
      </c>
      <c r="AQ82" s="4">
        <f t="shared" ref="AQ82" si="69">+SUM(AQ76:AQ81)</f>
        <v>0</v>
      </c>
      <c r="AR82" s="4">
        <f t="shared" ref="AR82:AS82" si="70">+SUM(AR76:AR81)</f>
        <v>-3722</v>
      </c>
      <c r="AS82" s="4">
        <f t="shared" si="70"/>
        <v>-9383</v>
      </c>
      <c r="AT82" s="4">
        <f>+SUM(AT76:AT81)</f>
        <v>-15949</v>
      </c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</row>
    <row r="83" spans="2:115" x14ac:dyDescent="0.2">
      <c r="B83" s="7" t="s">
        <v>120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8">
        <f t="shared" ref="AP83" si="71">+SUM(AP70:AP75)+AP82</f>
        <v>0</v>
      </c>
      <c r="AQ83" s="8">
        <f t="shared" ref="AQ83" si="72">+SUM(AQ70:AQ75)+AQ82</f>
        <v>0</v>
      </c>
      <c r="AR83" s="8">
        <f t="shared" ref="AR83:AS83" si="73">+SUM(AR70:AR75)+AR82</f>
        <v>28090</v>
      </c>
      <c r="AS83" s="8">
        <f t="shared" si="73"/>
        <v>64089</v>
      </c>
      <c r="AT83" s="8">
        <f>+SUM(AT70:AT75)+AT82</f>
        <v>102718</v>
      </c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</row>
    <row r="84" spans="2:115" x14ac:dyDescent="0.2">
      <c r="B84" s="20" t="s">
        <v>132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>
        <f>50+1</f>
        <v>51</v>
      </c>
      <c r="AS84" s="4">
        <f>495+171</f>
        <v>666</v>
      </c>
      <c r="AT84" s="4">
        <f>15157+84</f>
        <v>15241</v>
      </c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</row>
    <row r="85" spans="2:115" x14ac:dyDescent="0.2">
      <c r="B85" s="20" t="s">
        <v>133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>
        <v>9732</v>
      </c>
      <c r="AS85" s="4">
        <v>11195</v>
      </c>
      <c r="AT85" s="4">
        <v>11226</v>
      </c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</row>
    <row r="86" spans="2:115" x14ac:dyDescent="0.2">
      <c r="B86" s="20" t="s">
        <v>134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>
        <f>-18211-862</f>
        <v>-19073</v>
      </c>
      <c r="AS86" s="4">
        <f>-26575-1486</f>
        <v>-28061</v>
      </c>
      <c r="AT86" s="4">
        <f>-17502-40616</f>
        <v>-58118</v>
      </c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</row>
    <row r="87" spans="2:115" x14ac:dyDescent="0.2">
      <c r="B87" s="20" t="s">
        <v>135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>
        <v>0</v>
      </c>
      <c r="AS87" s="4">
        <v>0</v>
      </c>
      <c r="AT87" s="4">
        <v>-13000</v>
      </c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</row>
    <row r="88" spans="2:115" x14ac:dyDescent="0.2">
      <c r="B88" s="20" t="s">
        <v>136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>
        <v>-1069</v>
      </c>
      <c r="AS88" s="4">
        <v>-3236</v>
      </c>
      <c r="AT88" s="4">
        <v>-6042</v>
      </c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</row>
    <row r="89" spans="2:115" x14ac:dyDescent="0.2">
      <c r="B89" s="20" t="s">
        <v>137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>
        <v>-83</v>
      </c>
      <c r="AS89" s="4">
        <v>-1007</v>
      </c>
      <c r="AT89" s="4">
        <v>-1535</v>
      </c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</row>
    <row r="90" spans="2:115" x14ac:dyDescent="0.2">
      <c r="B90" s="20" t="s">
        <v>29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>
        <v>-124</v>
      </c>
      <c r="AS90" s="4">
        <v>22</v>
      </c>
      <c r="AT90" s="4">
        <v>0</v>
      </c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</row>
    <row r="91" spans="2:115" x14ac:dyDescent="0.2">
      <c r="B91" s="7" t="s">
        <v>138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8">
        <f t="shared" ref="AP91" si="74">+SUM(AP84:AP90)</f>
        <v>0</v>
      </c>
      <c r="AQ91" s="8">
        <f t="shared" ref="AQ91" si="75">+SUM(AQ84:AQ90)</f>
        <v>0</v>
      </c>
      <c r="AR91" s="8">
        <f t="shared" ref="AR91" si="76">+SUM(AR84:AR90)</f>
        <v>-10566</v>
      </c>
      <c r="AS91" s="8">
        <f t="shared" ref="AS91" si="77">+SUM(AS84:AS90)</f>
        <v>-20421</v>
      </c>
      <c r="AT91" s="8">
        <f>+SUM(AT84:AT90)</f>
        <v>-52228</v>
      </c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</row>
    <row r="92" spans="2:115" x14ac:dyDescent="0.2">
      <c r="B92" s="20" t="s">
        <v>139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>
        <v>403</v>
      </c>
      <c r="AS92" s="4">
        <v>490</v>
      </c>
      <c r="AT92" s="4">
        <v>644</v>
      </c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</row>
    <row r="93" spans="2:115" x14ac:dyDescent="0.2">
      <c r="B93" s="20" t="s">
        <v>140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>
        <v>-9533</v>
      </c>
      <c r="AS93" s="4">
        <v>-33706</v>
      </c>
      <c r="AT93" s="23">
        <v>-40086</v>
      </c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</row>
    <row r="94" spans="2:115" x14ac:dyDescent="0.2">
      <c r="B94" s="20" t="s">
        <v>141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>
        <v>-2783</v>
      </c>
      <c r="AS94" s="4">
        <v>-6930</v>
      </c>
      <c r="AT94" s="4">
        <v>-7948</v>
      </c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</row>
    <row r="95" spans="2:115" x14ac:dyDescent="0.2">
      <c r="B95" s="20" t="s">
        <v>142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>
        <v>-395</v>
      </c>
      <c r="AS95" s="4">
        <v>-834</v>
      </c>
      <c r="AT95" s="4">
        <v>-974</v>
      </c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</row>
    <row r="96" spans="2:115" x14ac:dyDescent="0.2">
      <c r="B96" s="20" t="s">
        <v>143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>
        <v>-74</v>
      </c>
      <c r="AS96" s="4">
        <v>-129</v>
      </c>
      <c r="AT96" s="4">
        <v>-101</v>
      </c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</row>
    <row r="97" spans="2:115" x14ac:dyDescent="0.2">
      <c r="B97" s="20" t="s">
        <v>144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>
        <v>-1250</v>
      </c>
      <c r="AS97" s="4">
        <v>-1250</v>
      </c>
      <c r="AT97" s="4">
        <v>0</v>
      </c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</row>
    <row r="98" spans="2:115" x14ac:dyDescent="0.2">
      <c r="B98" s="20" t="s">
        <v>29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>
        <v>-1</v>
      </c>
      <c r="AS98" s="4">
        <v>0</v>
      </c>
      <c r="AT98" s="4">
        <v>-9</v>
      </c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</row>
    <row r="99" spans="2:115" x14ac:dyDescent="0.2">
      <c r="B99" s="7" t="s">
        <v>145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8">
        <f>+SUM(AR92:AR98)</f>
        <v>-13633</v>
      </c>
      <c r="AS99" s="8">
        <f>+SUM(AS92:AS98)</f>
        <v>-42359</v>
      </c>
      <c r="AT99" s="8">
        <f>+SUM(AT92:AT98)</f>
        <v>-48474</v>
      </c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</row>
    <row r="100" spans="2:115" x14ac:dyDescent="0.2">
      <c r="B100" s="20" t="s">
        <v>146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>
        <f>+AQ99+AQ91+AQ83</f>
        <v>0</v>
      </c>
      <c r="AR100" s="4">
        <f>+AR99+AR91+AR83</f>
        <v>3891</v>
      </c>
      <c r="AS100" s="4">
        <f>+AS99+AS91+AS83</f>
        <v>1309</v>
      </c>
      <c r="AT100" s="4">
        <f>+AT99+AT91+AT83</f>
        <v>2016</v>
      </c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</row>
    <row r="101" spans="2:115" x14ac:dyDescent="0.2">
      <c r="B101" s="20" t="s">
        <v>147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>
        <v>3389</v>
      </c>
      <c r="AS101" s="4">
        <v>7820</v>
      </c>
      <c r="AT101" s="4">
        <v>8589</v>
      </c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</row>
    <row r="102" spans="2:115" x14ac:dyDescent="0.2">
      <c r="B102" s="20" t="s">
        <v>148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>
        <f>+AS101</f>
        <v>7820</v>
      </c>
      <c r="AS102" s="4">
        <f>+AT101</f>
        <v>8589</v>
      </c>
      <c r="AT102" s="4">
        <f>+AT100+AT101</f>
        <v>10605</v>
      </c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</row>
    <row r="103" spans="2:115" x14ac:dyDescent="0.2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</row>
    <row r="104" spans="2:115" x14ac:dyDescent="0.2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</row>
    <row r="105" spans="2:115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</row>
    <row r="106" spans="2:115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</row>
    <row r="107" spans="2:115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</row>
    <row r="108" spans="2:115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</row>
    <row r="109" spans="2:115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</row>
    <row r="110" spans="2:115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</row>
    <row r="111" spans="2:115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</row>
    <row r="112" spans="2:115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</row>
    <row r="113" spans="3:115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</row>
    <row r="114" spans="3:115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</row>
    <row r="115" spans="3:115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</row>
    <row r="116" spans="3:115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</row>
    <row r="117" spans="3:115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</row>
    <row r="118" spans="3:115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</row>
    <row r="119" spans="3:115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</row>
    <row r="120" spans="3:115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</row>
    <row r="121" spans="3:115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</row>
    <row r="122" spans="3:115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</row>
    <row r="123" spans="3:115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</row>
    <row r="124" spans="3:115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</row>
    <row r="125" spans="3:115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</row>
    <row r="126" spans="3:115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</row>
    <row r="127" spans="3:115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</row>
    <row r="128" spans="3:115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</row>
    <row r="129" spans="3:115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</row>
    <row r="130" spans="3:115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</row>
    <row r="131" spans="3:115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</row>
    <row r="132" spans="3:115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</row>
    <row r="133" spans="3:115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</row>
    <row r="134" spans="3:115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</row>
    <row r="135" spans="3:115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</row>
    <row r="136" spans="3:115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</row>
    <row r="137" spans="3:115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</row>
    <row r="138" spans="3:115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</row>
    <row r="139" spans="3:115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</row>
    <row r="140" spans="3:115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</row>
    <row r="141" spans="3:115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</row>
    <row r="142" spans="3:115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</row>
    <row r="143" spans="3:115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</row>
    <row r="144" spans="3:115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</row>
    <row r="145" spans="3:115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</row>
    <row r="146" spans="3:115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</row>
    <row r="147" spans="3:115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</row>
    <row r="148" spans="3:115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</row>
    <row r="149" spans="3:115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</row>
    <row r="150" spans="3:115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</row>
    <row r="151" spans="3:115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</row>
    <row r="152" spans="3:115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</row>
    <row r="153" spans="3:115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</row>
    <row r="154" spans="3:115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</row>
    <row r="155" spans="3:115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</row>
    <row r="156" spans="3:115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</row>
    <row r="157" spans="3:115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</row>
    <row r="158" spans="3:115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</row>
    <row r="159" spans="3:115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</row>
    <row r="160" spans="3:115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</row>
    <row r="161" spans="3:115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</row>
    <row r="162" spans="3:115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</row>
    <row r="163" spans="3:115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</row>
    <row r="164" spans="3:115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</row>
    <row r="165" spans="3:115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</row>
    <row r="166" spans="3:115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</row>
    <row r="167" spans="3:115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</row>
    <row r="168" spans="3:115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</row>
    <row r="169" spans="3:115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</row>
    <row r="170" spans="3:115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</row>
    <row r="171" spans="3:115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</row>
    <row r="172" spans="3:115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</row>
    <row r="173" spans="3:115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</row>
    <row r="174" spans="3:115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</row>
    <row r="175" spans="3:115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</row>
    <row r="176" spans="3:115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</row>
    <row r="177" spans="3:115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</row>
    <row r="178" spans="3:115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</row>
    <row r="179" spans="3:115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</row>
    <row r="180" spans="3:115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</row>
    <row r="181" spans="3:115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</row>
    <row r="182" spans="3:115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</row>
    <row r="183" spans="3:115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</row>
    <row r="184" spans="3:115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</row>
    <row r="185" spans="3:115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</row>
    <row r="186" spans="3:115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</row>
    <row r="187" spans="3:115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</row>
    <row r="188" spans="3:115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</row>
    <row r="189" spans="3:115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</row>
    <row r="190" spans="3:115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</row>
    <row r="191" spans="3:115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</row>
    <row r="192" spans="3:115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</row>
    <row r="193" spans="3:115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</row>
    <row r="194" spans="3:115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</row>
    <row r="195" spans="3:115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</row>
    <row r="196" spans="3:115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</row>
    <row r="197" spans="3:115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</row>
    <row r="198" spans="3:115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</row>
    <row r="199" spans="3:115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</row>
    <row r="200" spans="3:115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</row>
    <row r="201" spans="3:115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</row>
    <row r="202" spans="3:115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</row>
    <row r="203" spans="3:115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</row>
    <row r="204" spans="3:115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</row>
    <row r="205" spans="3:115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</row>
    <row r="206" spans="3:115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</row>
    <row r="207" spans="3:115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</row>
    <row r="208" spans="3:115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</row>
    <row r="209" spans="3:115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</row>
    <row r="210" spans="3:115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</row>
    <row r="211" spans="3:115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</row>
    <row r="212" spans="3:115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</row>
    <row r="213" spans="3:115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</row>
    <row r="214" spans="3:115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</row>
    <row r="215" spans="3:115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</row>
    <row r="216" spans="3:115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</row>
    <row r="217" spans="3:115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</row>
    <row r="218" spans="3:115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</row>
    <row r="219" spans="3:115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</row>
    <row r="220" spans="3:115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</row>
    <row r="221" spans="3:115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</row>
    <row r="222" spans="3:115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</row>
    <row r="223" spans="3:115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</row>
    <row r="224" spans="3:115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</row>
    <row r="225" spans="3:115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</row>
    <row r="226" spans="3:115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</row>
    <row r="227" spans="3:115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</row>
    <row r="228" spans="3:115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</row>
    <row r="229" spans="3:115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</row>
    <row r="230" spans="3:115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</row>
    <row r="231" spans="3:115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</row>
    <row r="232" spans="3:115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</row>
    <row r="233" spans="3:115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</row>
    <row r="234" spans="3:115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</row>
    <row r="235" spans="3:115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</row>
    <row r="236" spans="3:115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</row>
    <row r="237" spans="3:115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</row>
    <row r="238" spans="3:115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</row>
    <row r="239" spans="3:115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</row>
    <row r="240" spans="3:115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</row>
    <row r="241" spans="3:115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</row>
    <row r="242" spans="3:115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</row>
    <row r="243" spans="3:115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</row>
    <row r="244" spans="3:115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</row>
    <row r="245" spans="3:115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</row>
    <row r="246" spans="3:115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</row>
    <row r="247" spans="3:115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</row>
    <row r="248" spans="3:115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</row>
    <row r="249" spans="3:115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</row>
    <row r="250" spans="3:115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</row>
    <row r="251" spans="3:115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</row>
    <row r="252" spans="3:115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</row>
    <row r="253" spans="3:115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</row>
    <row r="254" spans="3:115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</row>
    <row r="255" spans="3:115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</row>
    <row r="256" spans="3:115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</row>
    <row r="257" spans="3:115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</row>
    <row r="258" spans="3:115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</row>
    <row r="259" spans="3:115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</row>
    <row r="260" spans="3:115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</row>
    <row r="261" spans="3:115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</row>
    <row r="262" spans="3:115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</row>
    <row r="263" spans="3:115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</row>
    <row r="264" spans="3:115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</row>
    <row r="265" spans="3:115" x14ac:dyDescent="0.2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</row>
    <row r="266" spans="3:115" x14ac:dyDescent="0.2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</row>
    <row r="267" spans="3:115" x14ac:dyDescent="0.2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</row>
    <row r="268" spans="3:115" x14ac:dyDescent="0.2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</row>
    <row r="269" spans="3:115" x14ac:dyDescent="0.2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</row>
    <row r="270" spans="3:115" x14ac:dyDescent="0.2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</row>
    <row r="271" spans="3:115" x14ac:dyDescent="0.2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</row>
    <row r="272" spans="3:115" x14ac:dyDescent="0.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</row>
    <row r="273" spans="3:115" x14ac:dyDescent="0.2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</row>
    <row r="274" spans="3:115" x14ac:dyDescent="0.2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</row>
    <row r="275" spans="3:115" x14ac:dyDescent="0.2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</row>
    <row r="276" spans="3:115" x14ac:dyDescent="0.2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</row>
    <row r="277" spans="3:115" x14ac:dyDescent="0.2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</row>
    <row r="278" spans="3:115" x14ac:dyDescent="0.2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</row>
    <row r="279" spans="3:115" x14ac:dyDescent="0.2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</row>
    <row r="280" spans="3:115" x14ac:dyDescent="0.2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</row>
    <row r="281" spans="3:115" x14ac:dyDescent="0.2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</row>
    <row r="282" spans="3:115" x14ac:dyDescent="0.2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</row>
    <row r="283" spans="3:115" x14ac:dyDescent="0.2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</row>
    <row r="284" spans="3:115" x14ac:dyDescent="0.2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</row>
    <row r="285" spans="3:115" x14ac:dyDescent="0.2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</row>
    <row r="286" spans="3:115" x14ac:dyDescent="0.2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</row>
    <row r="287" spans="3:115" x14ac:dyDescent="0.2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</row>
    <row r="288" spans="3:115" x14ac:dyDescent="0.2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</row>
    <row r="289" spans="3:115" x14ac:dyDescent="0.2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</row>
    <row r="290" spans="3:115" x14ac:dyDescent="0.2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</row>
    <row r="291" spans="3:115" x14ac:dyDescent="0.2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</row>
    <row r="292" spans="3:115" x14ac:dyDescent="0.2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</row>
    <row r="293" spans="3:115" x14ac:dyDescent="0.2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</row>
    <row r="294" spans="3:115" x14ac:dyDescent="0.2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</row>
    <row r="295" spans="3:115" x14ac:dyDescent="0.2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</row>
    <row r="296" spans="3:115" x14ac:dyDescent="0.2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</row>
    <row r="297" spans="3:115" x14ac:dyDescent="0.2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</row>
    <row r="298" spans="3:115" x14ac:dyDescent="0.2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</row>
    <row r="299" spans="3:115" x14ac:dyDescent="0.2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</row>
    <row r="300" spans="3:115" x14ac:dyDescent="0.2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</row>
    <row r="301" spans="3:115" x14ac:dyDescent="0.2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</row>
    <row r="302" spans="3:115" x14ac:dyDescent="0.2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</row>
    <row r="303" spans="3:115" x14ac:dyDescent="0.2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</row>
    <row r="304" spans="3:115" x14ac:dyDescent="0.2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</row>
    <row r="305" spans="3:115" x14ac:dyDescent="0.2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</row>
    <row r="306" spans="3:115" x14ac:dyDescent="0.2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</row>
    <row r="307" spans="3:115" x14ac:dyDescent="0.2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</row>
    <row r="308" spans="3:115" x14ac:dyDescent="0.2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</row>
    <row r="309" spans="3:115" x14ac:dyDescent="0.2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</row>
    <row r="310" spans="3:115" x14ac:dyDescent="0.2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</row>
    <row r="311" spans="3:115" x14ac:dyDescent="0.2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</row>
    <row r="312" spans="3:115" x14ac:dyDescent="0.2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</row>
    <row r="313" spans="3:115" x14ac:dyDescent="0.2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</row>
    <row r="314" spans="3:115" x14ac:dyDescent="0.2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</row>
    <row r="315" spans="3:115" x14ac:dyDescent="0.2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</row>
    <row r="316" spans="3:115" x14ac:dyDescent="0.2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</row>
    <row r="317" spans="3:115" x14ac:dyDescent="0.2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</row>
    <row r="318" spans="3:115" x14ac:dyDescent="0.2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</row>
    <row r="319" spans="3:115" x14ac:dyDescent="0.2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</row>
    <row r="320" spans="3:115" x14ac:dyDescent="0.2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</row>
    <row r="321" spans="3:64" x14ac:dyDescent="0.2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</row>
    <row r="322" spans="3:64" x14ac:dyDescent="0.2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</row>
    <row r="323" spans="3:64" x14ac:dyDescent="0.2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</row>
    <row r="324" spans="3:64" x14ac:dyDescent="0.2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</row>
    <row r="325" spans="3:64" x14ac:dyDescent="0.2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</row>
    <row r="326" spans="3:64" x14ac:dyDescent="0.2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</row>
    <row r="327" spans="3:64" x14ac:dyDescent="0.2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</row>
    <row r="328" spans="3:64" x14ac:dyDescent="0.2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</row>
    <row r="329" spans="3:64" x14ac:dyDescent="0.2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</row>
    <row r="330" spans="3:64" x14ac:dyDescent="0.2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</row>
    <row r="331" spans="3:64" x14ac:dyDescent="0.2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</row>
    <row r="332" spans="3:64" x14ac:dyDescent="0.2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</row>
    <row r="333" spans="3:64" x14ac:dyDescent="0.2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</row>
    <row r="334" spans="3:64" x14ac:dyDescent="0.2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</row>
    <row r="335" spans="3:64" x14ac:dyDescent="0.2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</row>
    <row r="336" spans="3:64" x14ac:dyDescent="0.2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</row>
    <row r="337" spans="3:64" x14ac:dyDescent="0.2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</row>
    <row r="338" spans="3:64" x14ac:dyDescent="0.2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</row>
    <row r="339" spans="3:64" x14ac:dyDescent="0.2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</row>
    <row r="340" spans="3:64" x14ac:dyDescent="0.2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</row>
    <row r="341" spans="3:64" x14ac:dyDescent="0.2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</row>
    <row r="342" spans="3:64" x14ac:dyDescent="0.2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</row>
    <row r="343" spans="3:64" x14ac:dyDescent="0.2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</row>
    <row r="344" spans="3:64" x14ac:dyDescent="0.2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</row>
    <row r="345" spans="3:64" x14ac:dyDescent="0.2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</row>
    <row r="346" spans="3:64" x14ac:dyDescent="0.2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</row>
    <row r="347" spans="3:64" x14ac:dyDescent="0.2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</row>
    <row r="348" spans="3:64" x14ac:dyDescent="0.2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</row>
    <row r="349" spans="3:64" x14ac:dyDescent="0.2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</row>
    <row r="350" spans="3:64" x14ac:dyDescent="0.2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</row>
    <row r="351" spans="3:64" x14ac:dyDescent="0.2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</row>
    <row r="352" spans="3:64" x14ac:dyDescent="0.2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</row>
    <row r="353" spans="3:64" x14ac:dyDescent="0.2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</row>
    <row r="354" spans="3:64" x14ac:dyDescent="0.2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</row>
    <row r="355" spans="3:64" x14ac:dyDescent="0.2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</row>
    <row r="356" spans="3:64" x14ac:dyDescent="0.2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</row>
    <row r="357" spans="3:64" x14ac:dyDescent="0.2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</row>
    <row r="358" spans="3:64" x14ac:dyDescent="0.2"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</row>
    <row r="359" spans="3:64" x14ac:dyDescent="0.2"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</row>
    <row r="360" spans="3:64" x14ac:dyDescent="0.2"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</row>
    <row r="361" spans="3:64" x14ac:dyDescent="0.2"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</row>
    <row r="362" spans="3:64" x14ac:dyDescent="0.2"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</row>
    <row r="363" spans="3:64" x14ac:dyDescent="0.2"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</row>
    <row r="364" spans="3:64" x14ac:dyDescent="0.2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</row>
    <row r="365" spans="3:64" x14ac:dyDescent="0.2"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</row>
    <row r="366" spans="3:64" x14ac:dyDescent="0.2"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</row>
    <row r="367" spans="3:64" x14ac:dyDescent="0.2"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</row>
    <row r="368" spans="3:64" x14ac:dyDescent="0.2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</row>
    <row r="369" spans="3:64" x14ac:dyDescent="0.2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</row>
    <row r="370" spans="3:64" x14ac:dyDescent="0.2"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</row>
    <row r="371" spans="3:64" x14ac:dyDescent="0.2"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</row>
    <row r="372" spans="3:64" x14ac:dyDescent="0.2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</row>
    <row r="373" spans="3:64" x14ac:dyDescent="0.2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</row>
    <row r="374" spans="3:64" x14ac:dyDescent="0.2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</row>
    <row r="375" spans="3:64" x14ac:dyDescent="0.2"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</row>
    <row r="376" spans="3:64" x14ac:dyDescent="0.2"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</row>
    <row r="377" spans="3:64" x14ac:dyDescent="0.2"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</row>
    <row r="378" spans="3:64" x14ac:dyDescent="0.2"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</row>
    <row r="379" spans="3:64" x14ac:dyDescent="0.2"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</row>
    <row r="380" spans="3:64" x14ac:dyDescent="0.2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</row>
    <row r="381" spans="3:64" x14ac:dyDescent="0.2"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</row>
    <row r="382" spans="3:64" x14ac:dyDescent="0.2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</row>
    <row r="383" spans="3:64" x14ac:dyDescent="0.2"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</row>
    <row r="384" spans="3:64" x14ac:dyDescent="0.2"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</row>
    <row r="385" spans="3:64" x14ac:dyDescent="0.2"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</row>
    <row r="386" spans="3:64" x14ac:dyDescent="0.2"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</row>
    <row r="387" spans="3:64" x14ac:dyDescent="0.2"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</row>
    <row r="388" spans="3:64" x14ac:dyDescent="0.2"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</row>
  </sheetData>
  <hyperlinks>
    <hyperlink ref="A1" location="Main!A1" display="Main" xr:uid="{7EC9EFAD-ABD2-4F9A-879B-A63A92EA658B}"/>
  </hyperlink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cp:lastPrinted>2025-09-01T15:18:26Z</cp:lastPrinted>
  <dcterms:created xsi:type="dcterms:W3CDTF">2024-10-01T08:29:07Z</dcterms:created>
  <dcterms:modified xsi:type="dcterms:W3CDTF">2026-08-27T08:14:26Z</dcterms:modified>
</cp:coreProperties>
</file>