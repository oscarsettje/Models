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3AE3B1D-F2D6-4296-97BF-8CCE052CC717}" xr6:coauthVersionLast="47" xr6:coauthVersionMax="47" xr10:uidLastSave="{00000000-0000-0000-0000-000000000000}"/>
  <bookViews>
    <workbookView xWindow="19095" yWindow="0" windowWidth="19410" windowHeight="20925" xr2:uid="{68CFFFE5-2F24-4F2C-A46F-66A769E5CA6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R34" i="2"/>
  <c r="Q34" i="2"/>
  <c r="S34" i="2"/>
  <c r="S32" i="2"/>
  <c r="R32" i="2"/>
  <c r="P32" i="2"/>
  <c r="O32" i="2"/>
  <c r="N32" i="2"/>
  <c r="M32" i="2"/>
  <c r="L32" i="2"/>
  <c r="S30" i="2"/>
  <c r="R30" i="2"/>
  <c r="Q30" i="2"/>
  <c r="Q32" i="2" s="1"/>
  <c r="P30" i="2"/>
  <c r="O30" i="2"/>
  <c r="N30" i="2"/>
  <c r="M30" i="2"/>
  <c r="L30" i="2"/>
  <c r="S28" i="2"/>
  <c r="R28" i="2"/>
  <c r="Q28" i="2"/>
  <c r="P28" i="2"/>
  <c r="O28" i="2"/>
  <c r="N28" i="2"/>
  <c r="M28" i="2"/>
  <c r="L28" i="2"/>
  <c r="S25" i="2"/>
  <c r="R25" i="2"/>
  <c r="Q25" i="2"/>
  <c r="P25" i="2"/>
  <c r="O25" i="2"/>
  <c r="N25" i="2"/>
  <c r="M25" i="2"/>
  <c r="L25" i="2"/>
  <c r="S21" i="2"/>
  <c r="R21" i="2"/>
  <c r="Q21" i="2"/>
  <c r="P21" i="2"/>
  <c r="O21" i="2"/>
  <c r="N21" i="2"/>
  <c r="M21" i="2"/>
  <c r="L21" i="2"/>
  <c r="R6" i="2"/>
  <c r="S6" i="2"/>
  <c r="J18" i="2"/>
  <c r="J21" i="2" s="1"/>
  <c r="J25" i="2" s="1"/>
  <c r="J28" i="2" s="1"/>
  <c r="J30" i="2" s="1"/>
  <c r="J32" i="2" s="1"/>
  <c r="I18" i="2"/>
  <c r="I21" i="2" s="1"/>
  <c r="I25" i="2" s="1"/>
  <c r="I28" i="2" s="1"/>
  <c r="I30" i="2" s="1"/>
  <c r="I32" i="2" s="1"/>
  <c r="G18" i="2"/>
  <c r="G21" i="2" s="1"/>
  <c r="G25" i="2" s="1"/>
  <c r="G28" i="2" s="1"/>
  <c r="G30" i="2" s="1"/>
  <c r="G32" i="2" s="1"/>
  <c r="F18" i="2"/>
  <c r="F21" i="2" s="1"/>
  <c r="F25" i="2" s="1"/>
  <c r="F28" i="2" s="1"/>
  <c r="F30" i="2" s="1"/>
  <c r="F32" i="2" s="1"/>
  <c r="E18" i="2"/>
  <c r="E21" i="2" s="1"/>
  <c r="E25" i="2" s="1"/>
  <c r="E28" i="2" s="1"/>
  <c r="E30" i="2" s="1"/>
  <c r="E32" i="2" s="1"/>
  <c r="D18" i="2"/>
  <c r="D21" i="2" s="1"/>
  <c r="D25" i="2" s="1"/>
  <c r="D28" i="2" s="1"/>
  <c r="D30" i="2" s="1"/>
  <c r="D32" i="2" s="1"/>
  <c r="C18" i="2"/>
  <c r="C21" i="2" s="1"/>
  <c r="C25" i="2" s="1"/>
  <c r="C28" i="2" s="1"/>
  <c r="C30" i="2" s="1"/>
  <c r="C32" i="2" s="1"/>
  <c r="H18" i="2"/>
  <c r="H21" i="2" s="1"/>
  <c r="H25" i="2" s="1"/>
  <c r="H28" i="2" s="1"/>
  <c r="H30" i="2" s="1"/>
  <c r="H32" i="2" s="1"/>
  <c r="H5" i="1"/>
  <c r="H8" i="1" s="1"/>
</calcChain>
</file>

<file path=xl/sharedStrings.xml><?xml version="1.0" encoding="utf-8"?>
<sst xmlns="http://schemas.openxmlformats.org/spreadsheetml/2006/main" count="81" uniqueCount="70">
  <si>
    <t>RTX</t>
  </si>
  <si>
    <t>Raytheon Technologies</t>
  </si>
  <si>
    <t>Tickr</t>
  </si>
  <si>
    <t>SEC</t>
  </si>
  <si>
    <t>numbers in mio USD</t>
  </si>
  <si>
    <t>Price</t>
  </si>
  <si>
    <t>Shares</t>
  </si>
  <si>
    <t>MC</t>
  </si>
  <si>
    <t xml:space="preserve">Cash </t>
  </si>
  <si>
    <t>Debt</t>
  </si>
  <si>
    <t>EV</t>
  </si>
  <si>
    <t>Q224</t>
  </si>
  <si>
    <t>Main</t>
  </si>
  <si>
    <t>Q123</t>
  </si>
  <si>
    <t>Q223</t>
  </si>
  <si>
    <t>Q323</t>
  </si>
  <si>
    <t>Q423</t>
  </si>
  <si>
    <t>Q424</t>
  </si>
  <si>
    <t>Q124</t>
  </si>
  <si>
    <t>Q324</t>
  </si>
  <si>
    <t>FY18</t>
  </si>
  <si>
    <t>FY19</t>
  </si>
  <si>
    <t>FY20</t>
  </si>
  <si>
    <t>FY21</t>
  </si>
  <si>
    <t>FY22</t>
  </si>
  <si>
    <t>FY24</t>
  </si>
  <si>
    <t>Services</t>
  </si>
  <si>
    <t>Products</t>
  </si>
  <si>
    <t>Revenue</t>
  </si>
  <si>
    <t>Businessmodel</t>
  </si>
  <si>
    <t>Segment</t>
  </si>
  <si>
    <t>Customers</t>
  </si>
  <si>
    <t>COGS Products</t>
  </si>
  <si>
    <t>COGS Services</t>
  </si>
  <si>
    <t>Gross Profit</t>
  </si>
  <si>
    <t>R&amp;D</t>
  </si>
  <si>
    <t>SG&amp;A</t>
  </si>
  <si>
    <t>Other Income</t>
  </si>
  <si>
    <t>Operating Profit</t>
  </si>
  <si>
    <t>Pension Income</t>
  </si>
  <si>
    <t>Interest Expense</t>
  </si>
  <si>
    <t>Pretax Income</t>
  </si>
  <si>
    <t>Income Tax</t>
  </si>
  <si>
    <t>Net Income</t>
  </si>
  <si>
    <t>Minorities</t>
  </si>
  <si>
    <t>Net Income to Company</t>
  </si>
  <si>
    <t>EPS</t>
  </si>
  <si>
    <t>Notes</t>
  </si>
  <si>
    <t>x</t>
  </si>
  <si>
    <t>Aerospace and Defense Company</t>
  </si>
  <si>
    <t>Customers: Commercial, Military, Governements</t>
  </si>
  <si>
    <t>Founded 1934</t>
  </si>
  <si>
    <t>46% of sales to US Governement</t>
  </si>
  <si>
    <t>Collins Aerospace</t>
  </si>
  <si>
    <t>Raytheon</t>
  </si>
  <si>
    <t>Commercial &amp; Military</t>
  </si>
  <si>
    <t>Pratt&amp;Whittney</t>
  </si>
  <si>
    <t>Aerospace Parts</t>
  </si>
  <si>
    <t>Aicraft Engines</t>
  </si>
  <si>
    <t>Offense&amp;Deffense Weappons etc</t>
  </si>
  <si>
    <t>Q425</t>
  </si>
  <si>
    <t>FY23</t>
  </si>
  <si>
    <t>FY25</t>
  </si>
  <si>
    <t>US Government Sales</t>
  </si>
  <si>
    <t>Foreign Military through US</t>
  </si>
  <si>
    <t>Foreign Governments</t>
  </si>
  <si>
    <t>Commercial Aerospace</t>
  </si>
  <si>
    <t>Pratt &amp; Whitney</t>
  </si>
  <si>
    <t>Backlock (in billions)</t>
  </si>
  <si>
    <t>Total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</si>
</sst>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;\(#,##0\)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0" fontId="5" fillId="0" borderId="0" xfId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0" xfId="0" applyFont="1" applyAlignment="1">
      <alignment horizontal="right"/>
    </xf>
    <xf numFmtId="165" fontId="2" fillId="0" borderId="0" xfId="0" applyNumberFormat="1" applyFont="1"/>
    <xf numFmtId="165" fontId="4" fillId="0" borderId="0" xfId="0" applyNumberFormat="1" applyFont="1"/>
    <xf numFmtId="0" fontId="1" fillId="0" borderId="0" xfId="0" applyFont="1"/>
    <xf numFmtId="0" fontId="7" fillId="0" borderId="0" xfId="0" applyFont="1"/>
    <xf numFmtId="165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edgar/browse/?CIK=101829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87B0-E78D-4701-A09F-D2BFA7AAFE07}">
  <dimension ref="A1:I17"/>
  <sheetViews>
    <sheetView tabSelected="1" topLeftCell="D1" zoomScale="200" zoomScaleNormal="200" workbookViewId="0">
      <selection activeCell="H8" sqref="H8"/>
    </sheetView>
  </sheetViews>
  <sheetFormatPr defaultRowHeight="12.75" x14ac:dyDescent="0.2"/>
  <cols>
    <col min="1" max="1" width="4.85546875" style="2" customWidth="1"/>
    <col min="2" max="2" width="16.42578125" style="2" customWidth="1"/>
    <col min="3" max="3" width="35.140625" style="2" customWidth="1"/>
    <col min="4" max="4" width="9.140625" style="2"/>
    <col min="5" max="5" width="20.7109375" style="2" bestFit="1" customWidth="1"/>
    <col min="6" max="16384" width="9.140625" style="2"/>
  </cols>
  <sheetData>
    <row r="1" spans="1:9" x14ac:dyDescent="0.2">
      <c r="A1" s="1" t="s">
        <v>1</v>
      </c>
    </row>
    <row r="2" spans="1:9" x14ac:dyDescent="0.2">
      <c r="A2" s="2" t="s">
        <v>4</v>
      </c>
    </row>
    <row r="3" spans="1:9" x14ac:dyDescent="0.2">
      <c r="B3" s="2" t="s">
        <v>2</v>
      </c>
      <c r="C3" s="2" t="s">
        <v>0</v>
      </c>
      <c r="G3" s="2" t="s">
        <v>5</v>
      </c>
      <c r="H3" s="2">
        <v>200.99</v>
      </c>
    </row>
    <row r="4" spans="1:9" x14ac:dyDescent="0.2">
      <c r="B4" s="4" t="s">
        <v>3</v>
      </c>
      <c r="G4" s="2" t="s">
        <v>6</v>
      </c>
      <c r="H4" s="20">
        <v>1342.2876759999999</v>
      </c>
      <c r="I4" s="19" t="s">
        <v>60</v>
      </c>
    </row>
    <row r="5" spans="1:9" x14ac:dyDescent="0.2">
      <c r="G5" s="2" t="s">
        <v>7</v>
      </c>
      <c r="H5" s="20">
        <f>H4*H3</f>
        <v>269786.39999924001</v>
      </c>
    </row>
    <row r="6" spans="1:9" x14ac:dyDescent="0.2">
      <c r="A6" s="6" t="s">
        <v>48</v>
      </c>
      <c r="B6" s="7" t="s">
        <v>29</v>
      </c>
      <c r="G6" s="2" t="s">
        <v>8</v>
      </c>
      <c r="H6" s="20">
        <v>7435</v>
      </c>
      <c r="I6" s="19" t="s">
        <v>60</v>
      </c>
    </row>
    <row r="7" spans="1:9" x14ac:dyDescent="0.2">
      <c r="B7" s="8" t="s">
        <v>30</v>
      </c>
      <c r="C7" s="9" t="s">
        <v>27</v>
      </c>
      <c r="D7" s="9" t="s">
        <v>28</v>
      </c>
      <c r="E7" s="10" t="s">
        <v>31</v>
      </c>
      <c r="G7" s="2" t="s">
        <v>9</v>
      </c>
      <c r="H7" s="20">
        <f>204+34288</f>
        <v>34492</v>
      </c>
      <c r="I7" s="19" t="s">
        <v>60</v>
      </c>
    </row>
    <row r="8" spans="1:9" x14ac:dyDescent="0.2">
      <c r="B8" s="11" t="s">
        <v>53</v>
      </c>
      <c r="C8" s="12" t="s">
        <v>57</v>
      </c>
      <c r="D8" s="12"/>
      <c r="E8" s="13" t="s">
        <v>55</v>
      </c>
      <c r="G8" s="2" t="s">
        <v>10</v>
      </c>
      <c r="H8" s="20">
        <f>H5-H6+H7</f>
        <v>296843.39999924001</v>
      </c>
    </row>
    <row r="9" spans="1:9" x14ac:dyDescent="0.2">
      <c r="B9" s="14" t="s">
        <v>56</v>
      </c>
      <c r="C9" s="2" t="s">
        <v>58</v>
      </c>
      <c r="E9" s="15"/>
    </row>
    <row r="10" spans="1:9" x14ac:dyDescent="0.2">
      <c r="B10" s="14" t="s">
        <v>54</v>
      </c>
      <c r="C10" s="2" t="s">
        <v>59</v>
      </c>
      <c r="E10" s="15"/>
    </row>
    <row r="11" spans="1:9" x14ac:dyDescent="0.2">
      <c r="B11" s="16"/>
      <c r="C11" s="17"/>
      <c r="D11" s="17"/>
      <c r="E11" s="18"/>
    </row>
    <row r="13" spans="1:9" x14ac:dyDescent="0.2">
      <c r="A13" s="6" t="s">
        <v>48</v>
      </c>
      <c r="B13" s="7" t="s">
        <v>47</v>
      </c>
    </row>
    <row r="14" spans="1:9" x14ac:dyDescent="0.2">
      <c r="B14" s="2" t="s">
        <v>49</v>
      </c>
    </row>
    <row r="15" spans="1:9" x14ac:dyDescent="0.2">
      <c r="B15" s="2" t="s">
        <v>50</v>
      </c>
    </row>
    <row r="16" spans="1:9" x14ac:dyDescent="0.2">
      <c r="B16" s="2" t="s">
        <v>51</v>
      </c>
    </row>
    <row r="17" spans="2:2" x14ac:dyDescent="0.2">
      <c r="B17" s="2" t="s">
        <v>52</v>
      </c>
    </row>
  </sheetData>
  <hyperlinks>
    <hyperlink ref="B4" r:id="rId1" xr:uid="{E755125C-A10A-463C-B3D3-D5E42FA16F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148B-93AA-495B-AEDD-7C44D78478AD}">
  <dimension ref="A1:T35"/>
  <sheetViews>
    <sheetView zoomScale="200" zoomScaleNormal="200" workbookViewId="0">
      <pane xSplit="2" ySplit="2" topLeftCell="N8" activePane="bottomRight" state="frozen"/>
      <selection pane="topRight" activeCell="C1" sqref="C1"/>
      <selection pane="bottomLeft" activeCell="A3" sqref="A3"/>
      <selection pane="bottomRight" activeCell="S34" sqref="Q34:S34"/>
    </sheetView>
  </sheetViews>
  <sheetFormatPr defaultRowHeight="12.75" x14ac:dyDescent="0.2"/>
  <cols>
    <col min="1" max="1" width="4.7109375" style="2" bestFit="1" customWidth="1"/>
    <col min="2" max="2" width="24.85546875" style="2" customWidth="1"/>
    <col min="3" max="16384" width="9.140625" style="20"/>
  </cols>
  <sheetData>
    <row r="1" spans="1:19" s="2" customFormat="1" x14ac:dyDescent="0.2">
      <c r="A1" s="4" t="s">
        <v>12</v>
      </c>
    </row>
    <row r="2" spans="1:19" s="2" customFormat="1" x14ac:dyDescent="0.2">
      <c r="C2" s="5" t="s">
        <v>13</v>
      </c>
      <c r="D2" s="5" t="s">
        <v>14</v>
      </c>
      <c r="E2" s="5" t="s">
        <v>15</v>
      </c>
      <c r="F2" s="5" t="s">
        <v>16</v>
      </c>
      <c r="G2" s="5" t="s">
        <v>18</v>
      </c>
      <c r="H2" s="5" t="s">
        <v>11</v>
      </c>
      <c r="I2" s="5" t="s">
        <v>19</v>
      </c>
      <c r="J2" s="5" t="s">
        <v>17</v>
      </c>
      <c r="K2" s="5"/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19" t="s">
        <v>61</v>
      </c>
      <c r="R2" s="5" t="s">
        <v>25</v>
      </c>
      <c r="S2" s="19" t="s">
        <v>62</v>
      </c>
    </row>
    <row r="3" spans="1:19" x14ac:dyDescent="0.2">
      <c r="B3" s="23" t="s">
        <v>68</v>
      </c>
      <c r="R3" s="20">
        <v>36</v>
      </c>
      <c r="S3" s="20">
        <v>42</v>
      </c>
    </row>
    <row r="4" spans="1:19" x14ac:dyDescent="0.2">
      <c r="B4" s="22" t="s">
        <v>53</v>
      </c>
      <c r="R4" s="20">
        <v>119</v>
      </c>
      <c r="S4" s="20">
        <v>151</v>
      </c>
    </row>
    <row r="5" spans="1:19" x14ac:dyDescent="0.2">
      <c r="B5" s="22" t="s">
        <v>67</v>
      </c>
      <c r="R5" s="20">
        <v>63</v>
      </c>
      <c r="S5" s="20">
        <v>75</v>
      </c>
    </row>
    <row r="6" spans="1:19" x14ac:dyDescent="0.2">
      <c r="B6" s="22" t="s">
        <v>54</v>
      </c>
      <c r="R6" s="21">
        <f>+SUM(R3:R5)</f>
        <v>218</v>
      </c>
      <c r="S6" s="21">
        <f>+SUM(S3:S5)</f>
        <v>268</v>
      </c>
    </row>
    <row r="7" spans="1:19" x14ac:dyDescent="0.2">
      <c r="B7" s="1" t="s">
        <v>69</v>
      </c>
    </row>
    <row r="9" spans="1:19" x14ac:dyDescent="0.2">
      <c r="B9" s="22" t="s">
        <v>53</v>
      </c>
      <c r="Q9" s="20">
        <v>26253</v>
      </c>
      <c r="R9" s="20">
        <v>28284</v>
      </c>
      <c r="S9" s="20">
        <v>30196</v>
      </c>
    </row>
    <row r="10" spans="1:19" x14ac:dyDescent="0.2">
      <c r="B10" s="22" t="s">
        <v>67</v>
      </c>
      <c r="Q10" s="20">
        <v>18296</v>
      </c>
      <c r="R10" s="20">
        <v>28066</v>
      </c>
      <c r="S10" s="20">
        <v>32916</v>
      </c>
    </row>
    <row r="11" spans="1:19" x14ac:dyDescent="0.2">
      <c r="B11" s="22" t="s">
        <v>54</v>
      </c>
      <c r="Q11" s="20">
        <v>26350</v>
      </c>
      <c r="R11" s="20">
        <v>26713</v>
      </c>
      <c r="S11" s="20">
        <v>28043</v>
      </c>
    </row>
    <row r="12" spans="1:19" x14ac:dyDescent="0.2">
      <c r="B12" s="22" t="s">
        <v>63</v>
      </c>
      <c r="Q12" s="20">
        <v>31628</v>
      </c>
      <c r="R12" s="20">
        <v>32246</v>
      </c>
      <c r="S12" s="20">
        <v>33279</v>
      </c>
    </row>
    <row r="13" spans="1:19" x14ac:dyDescent="0.2">
      <c r="B13" s="22" t="s">
        <v>64</v>
      </c>
      <c r="Q13" s="20">
        <v>4974</v>
      </c>
      <c r="R13" s="20">
        <v>5765</v>
      </c>
      <c r="S13" s="20">
        <v>6702</v>
      </c>
    </row>
    <row r="14" spans="1:19" x14ac:dyDescent="0.2">
      <c r="B14" s="22" t="s">
        <v>65</v>
      </c>
      <c r="Q14" s="20">
        <v>4249</v>
      </c>
      <c r="R14" s="20">
        <v>5317</v>
      </c>
      <c r="S14" s="20">
        <v>6123</v>
      </c>
    </row>
    <row r="15" spans="1:19" x14ac:dyDescent="0.2">
      <c r="B15" s="22" t="s">
        <v>66</v>
      </c>
      <c r="Q15" s="20">
        <v>28069</v>
      </c>
      <c r="R15" s="20">
        <v>37410</v>
      </c>
      <c r="S15" s="20">
        <v>42499</v>
      </c>
    </row>
    <row r="16" spans="1:19" x14ac:dyDescent="0.2">
      <c r="B16" s="2" t="s">
        <v>27</v>
      </c>
      <c r="D16" s="20">
        <v>13411</v>
      </c>
      <c r="H16" s="20">
        <v>14562</v>
      </c>
      <c r="Q16" s="20">
        <v>49571</v>
      </c>
      <c r="R16" s="20">
        <v>59612</v>
      </c>
      <c r="S16" s="20">
        <v>64171</v>
      </c>
    </row>
    <row r="17" spans="2:20" x14ac:dyDescent="0.2">
      <c r="B17" s="2" t="s">
        <v>26</v>
      </c>
      <c r="D17" s="20">
        <v>4904</v>
      </c>
      <c r="H17" s="20">
        <v>5159</v>
      </c>
      <c r="Q17" s="20">
        <v>19349</v>
      </c>
      <c r="R17" s="20">
        <v>21126</v>
      </c>
      <c r="S17" s="20">
        <v>24432</v>
      </c>
    </row>
    <row r="18" spans="2:20" x14ac:dyDescent="0.2">
      <c r="B18" s="1" t="s">
        <v>28</v>
      </c>
      <c r="C18" s="21">
        <f t="shared" ref="C18:G18" si="0">SUM(C16:C17)</f>
        <v>0</v>
      </c>
      <c r="D18" s="21">
        <f t="shared" si="0"/>
        <v>18315</v>
      </c>
      <c r="E18" s="21">
        <f t="shared" si="0"/>
        <v>0</v>
      </c>
      <c r="F18" s="21">
        <f t="shared" si="0"/>
        <v>0</v>
      </c>
      <c r="G18" s="21">
        <f t="shared" si="0"/>
        <v>0</v>
      </c>
      <c r="H18" s="21">
        <f>SUM(H16:H17)</f>
        <v>19721</v>
      </c>
      <c r="I18" s="21">
        <f t="shared" ref="I18:J18" si="1">SUM(I16:I17)</f>
        <v>0</v>
      </c>
      <c r="J18" s="21">
        <f t="shared" si="1"/>
        <v>0</v>
      </c>
      <c r="K18" s="21"/>
      <c r="L18" s="21"/>
      <c r="M18" s="21"/>
      <c r="N18" s="21"/>
      <c r="Q18" s="21">
        <v>68920</v>
      </c>
      <c r="R18" s="21">
        <v>80738</v>
      </c>
      <c r="S18" s="21">
        <v>88603</v>
      </c>
    </row>
    <row r="19" spans="2:20" x14ac:dyDescent="0.2">
      <c r="B19" s="22" t="s">
        <v>32</v>
      </c>
      <c r="C19" s="24"/>
      <c r="D19" s="24">
        <v>11089</v>
      </c>
      <c r="E19" s="24"/>
      <c r="F19" s="24"/>
      <c r="G19" s="24"/>
      <c r="H19" s="24">
        <v>12625</v>
      </c>
      <c r="I19" s="24"/>
      <c r="J19" s="24"/>
      <c r="K19" s="24"/>
      <c r="L19" s="24"/>
      <c r="M19" s="24"/>
      <c r="N19" s="24"/>
      <c r="O19" s="24"/>
      <c r="P19" s="24"/>
      <c r="Q19" s="24">
        <v>43425</v>
      </c>
      <c r="R19" s="24">
        <v>50768</v>
      </c>
      <c r="S19" s="24">
        <v>53780</v>
      </c>
      <c r="T19" s="24"/>
    </row>
    <row r="20" spans="2:20" x14ac:dyDescent="0.2">
      <c r="B20" s="2" t="s">
        <v>33</v>
      </c>
      <c r="D20" s="20">
        <v>3429</v>
      </c>
      <c r="H20" s="20">
        <v>3516</v>
      </c>
      <c r="Q20" s="20">
        <v>13406</v>
      </c>
      <c r="R20" s="20">
        <v>14560</v>
      </c>
      <c r="S20" s="20">
        <v>17034</v>
      </c>
    </row>
    <row r="21" spans="2:20" x14ac:dyDescent="0.2">
      <c r="B21" s="2" t="s">
        <v>34</v>
      </c>
      <c r="C21" s="20">
        <f t="shared" ref="C21:G21" si="2">C18-SUM(C19:C20)</f>
        <v>0</v>
      </c>
      <c r="D21" s="20">
        <f>D18-SUM(D19:D20)</f>
        <v>3797</v>
      </c>
      <c r="E21" s="20">
        <f t="shared" si="2"/>
        <v>0</v>
      </c>
      <c r="F21" s="20">
        <f t="shared" si="2"/>
        <v>0</v>
      </c>
      <c r="G21" s="20">
        <f t="shared" si="2"/>
        <v>0</v>
      </c>
      <c r="H21" s="20">
        <f>H18-SUM(H19:H20)</f>
        <v>3580</v>
      </c>
      <c r="I21" s="20">
        <f t="shared" ref="I21:S21" si="3">I18-SUM(I19:I20)</f>
        <v>0</v>
      </c>
      <c r="J21" s="20">
        <f t="shared" si="3"/>
        <v>0</v>
      </c>
      <c r="L21" s="20">
        <f t="shared" si="3"/>
        <v>0</v>
      </c>
      <c r="M21" s="20">
        <f t="shared" si="3"/>
        <v>0</v>
      </c>
      <c r="N21" s="20">
        <f t="shared" si="3"/>
        <v>0</v>
      </c>
      <c r="O21" s="20">
        <f t="shared" si="3"/>
        <v>0</v>
      </c>
      <c r="P21" s="20">
        <f t="shared" si="3"/>
        <v>0</v>
      </c>
      <c r="Q21" s="20">
        <f t="shared" si="3"/>
        <v>12089</v>
      </c>
      <c r="R21" s="20">
        <f t="shared" si="3"/>
        <v>15410</v>
      </c>
      <c r="S21" s="20">
        <f t="shared" si="3"/>
        <v>17789</v>
      </c>
    </row>
    <row r="22" spans="2:20" x14ac:dyDescent="0.2">
      <c r="B22" s="2" t="s">
        <v>35</v>
      </c>
      <c r="D22" s="20">
        <v>729</v>
      </c>
      <c r="H22" s="20">
        <v>706</v>
      </c>
      <c r="Q22" s="20">
        <v>2805</v>
      </c>
      <c r="R22" s="20">
        <v>2934</v>
      </c>
      <c r="S22" s="20">
        <v>2807</v>
      </c>
    </row>
    <row r="23" spans="2:20" x14ac:dyDescent="0.2">
      <c r="B23" s="2" t="s">
        <v>36</v>
      </c>
      <c r="D23" s="20">
        <v>1600</v>
      </c>
      <c r="H23" s="20">
        <v>1449</v>
      </c>
      <c r="Q23" s="20">
        <v>5809</v>
      </c>
      <c r="R23" s="20">
        <v>5806</v>
      </c>
      <c r="S23" s="20">
        <v>6095</v>
      </c>
    </row>
    <row r="24" spans="2:20" x14ac:dyDescent="0.2">
      <c r="B24" s="2" t="s">
        <v>37</v>
      </c>
      <c r="D24" s="20">
        <v>25</v>
      </c>
      <c r="H24" s="20">
        <v>-896</v>
      </c>
      <c r="Q24" s="20">
        <v>86</v>
      </c>
      <c r="R24" s="20">
        <v>-132</v>
      </c>
      <c r="S24" s="20">
        <v>413</v>
      </c>
    </row>
    <row r="25" spans="2:20" x14ac:dyDescent="0.2">
      <c r="B25" s="2" t="s">
        <v>38</v>
      </c>
      <c r="C25" s="20">
        <f t="shared" ref="C25:G25" si="4">C21-C22-C23+C24</f>
        <v>0</v>
      </c>
      <c r="D25" s="20">
        <f>D21-D22-D23+D24</f>
        <v>1493</v>
      </c>
      <c r="E25" s="20">
        <f t="shared" si="4"/>
        <v>0</v>
      </c>
      <c r="F25" s="20">
        <f t="shared" si="4"/>
        <v>0</v>
      </c>
      <c r="G25" s="20">
        <f t="shared" si="4"/>
        <v>0</v>
      </c>
      <c r="H25" s="20">
        <f>H21-H22-H23+H24</f>
        <v>529</v>
      </c>
      <c r="I25" s="20">
        <f t="shared" ref="I25:S25" si="5">I21-I22-I23+I24</f>
        <v>0</v>
      </c>
      <c r="J25" s="20">
        <f t="shared" si="5"/>
        <v>0</v>
      </c>
      <c r="L25" s="20">
        <f t="shared" si="5"/>
        <v>0</v>
      </c>
      <c r="M25" s="20">
        <f t="shared" si="5"/>
        <v>0</v>
      </c>
      <c r="N25" s="20">
        <f t="shared" si="5"/>
        <v>0</v>
      </c>
      <c r="O25" s="20">
        <f t="shared" si="5"/>
        <v>0</v>
      </c>
      <c r="P25" s="20">
        <f t="shared" si="5"/>
        <v>0</v>
      </c>
      <c r="Q25" s="20">
        <f t="shared" si="5"/>
        <v>3561</v>
      </c>
      <c r="R25" s="20">
        <f t="shared" si="5"/>
        <v>6538</v>
      </c>
      <c r="S25" s="20">
        <f t="shared" si="5"/>
        <v>9300</v>
      </c>
    </row>
    <row r="26" spans="2:20" x14ac:dyDescent="0.2">
      <c r="B26" s="2" t="s">
        <v>39</v>
      </c>
      <c r="D26" s="20">
        <v>-447</v>
      </c>
      <c r="H26" s="20">
        <v>-374</v>
      </c>
      <c r="Q26" s="20">
        <v>-1780</v>
      </c>
      <c r="R26" s="20">
        <v>-1518</v>
      </c>
      <c r="S26" s="20">
        <v>-1182</v>
      </c>
    </row>
    <row r="27" spans="2:20" x14ac:dyDescent="0.2">
      <c r="B27" s="2" t="s">
        <v>40</v>
      </c>
      <c r="D27" s="20">
        <v>333</v>
      </c>
      <c r="H27" s="20">
        <v>475</v>
      </c>
      <c r="Q27" s="20">
        <v>1505</v>
      </c>
      <c r="R27" s="20">
        <v>1862</v>
      </c>
      <c r="S27" s="20">
        <v>1749</v>
      </c>
    </row>
    <row r="28" spans="2:20" x14ac:dyDescent="0.2">
      <c r="B28" s="2" t="s">
        <v>41</v>
      </c>
      <c r="C28" s="20">
        <f t="shared" ref="C28:G28" si="6">C25-C26-C27</f>
        <v>0</v>
      </c>
      <c r="D28" s="20">
        <f>D25-D26-D27</f>
        <v>1607</v>
      </c>
      <c r="E28" s="20">
        <f t="shared" si="6"/>
        <v>0</v>
      </c>
      <c r="F28" s="20">
        <f t="shared" si="6"/>
        <v>0</v>
      </c>
      <c r="G28" s="20">
        <f t="shared" si="6"/>
        <v>0</v>
      </c>
      <c r="H28" s="20">
        <f>H25-H26-H27</f>
        <v>428</v>
      </c>
      <c r="I28" s="20">
        <f t="shared" ref="I28:S28" si="7">I25-I26-I27</f>
        <v>0</v>
      </c>
      <c r="J28" s="20">
        <f t="shared" si="7"/>
        <v>0</v>
      </c>
      <c r="L28" s="20">
        <f t="shared" si="7"/>
        <v>0</v>
      </c>
      <c r="M28" s="20">
        <f t="shared" si="7"/>
        <v>0</v>
      </c>
      <c r="N28" s="20">
        <f t="shared" si="7"/>
        <v>0</v>
      </c>
      <c r="O28" s="20">
        <f t="shared" si="7"/>
        <v>0</v>
      </c>
      <c r="P28" s="20">
        <f t="shared" si="7"/>
        <v>0</v>
      </c>
      <c r="Q28" s="20">
        <f t="shared" si="7"/>
        <v>3836</v>
      </c>
      <c r="R28" s="20">
        <f t="shared" si="7"/>
        <v>6194</v>
      </c>
      <c r="S28" s="20">
        <f t="shared" si="7"/>
        <v>8733</v>
      </c>
    </row>
    <row r="29" spans="2:20" x14ac:dyDescent="0.2">
      <c r="B29" s="2" t="s">
        <v>42</v>
      </c>
      <c r="D29" s="20">
        <v>248</v>
      </c>
      <c r="H29" s="20">
        <v>253</v>
      </c>
      <c r="Q29" s="20">
        <v>456</v>
      </c>
      <c r="R29" s="20">
        <v>1181</v>
      </c>
      <c r="S29" s="20">
        <v>1664</v>
      </c>
    </row>
    <row r="30" spans="2:20" x14ac:dyDescent="0.2">
      <c r="B30" s="2" t="s">
        <v>43</v>
      </c>
      <c r="C30" s="20">
        <f t="shared" ref="C30:G30" si="8">C28-C29</f>
        <v>0</v>
      </c>
      <c r="D30" s="20">
        <f>D28-D29</f>
        <v>1359</v>
      </c>
      <c r="E30" s="20">
        <f t="shared" si="8"/>
        <v>0</v>
      </c>
      <c r="F30" s="20">
        <f t="shared" si="8"/>
        <v>0</v>
      </c>
      <c r="G30" s="20">
        <f t="shared" si="8"/>
        <v>0</v>
      </c>
      <c r="H30" s="20">
        <f>H28-H29</f>
        <v>175</v>
      </c>
      <c r="I30" s="20">
        <f t="shared" ref="I30:S30" si="9">I28-I29</f>
        <v>0</v>
      </c>
      <c r="J30" s="20">
        <f t="shared" si="9"/>
        <v>0</v>
      </c>
      <c r="L30" s="20">
        <f t="shared" si="9"/>
        <v>0</v>
      </c>
      <c r="M30" s="20">
        <f t="shared" si="9"/>
        <v>0</v>
      </c>
      <c r="N30" s="20">
        <f t="shared" si="9"/>
        <v>0</v>
      </c>
      <c r="O30" s="20">
        <f t="shared" si="9"/>
        <v>0</v>
      </c>
      <c r="P30" s="20">
        <f t="shared" si="9"/>
        <v>0</v>
      </c>
      <c r="Q30" s="20">
        <f t="shared" si="9"/>
        <v>3380</v>
      </c>
      <c r="R30" s="20">
        <f t="shared" si="9"/>
        <v>5013</v>
      </c>
      <c r="S30" s="20">
        <f t="shared" si="9"/>
        <v>7069</v>
      </c>
    </row>
    <row r="31" spans="2:20" x14ac:dyDescent="0.2">
      <c r="B31" s="2" t="s">
        <v>44</v>
      </c>
      <c r="D31" s="20">
        <v>32</v>
      </c>
      <c r="H31" s="20">
        <v>64</v>
      </c>
      <c r="Q31" s="20">
        <v>185</v>
      </c>
      <c r="R31" s="20">
        <v>239</v>
      </c>
      <c r="S31" s="20">
        <v>337</v>
      </c>
    </row>
    <row r="32" spans="2:20" x14ac:dyDescent="0.2">
      <c r="B32" s="2" t="s">
        <v>45</v>
      </c>
      <c r="C32" s="20">
        <f t="shared" ref="C32:G32" si="10">C30-C31</f>
        <v>0</v>
      </c>
      <c r="D32" s="20">
        <f t="shared" si="10"/>
        <v>1327</v>
      </c>
      <c r="E32" s="20">
        <f t="shared" si="10"/>
        <v>0</v>
      </c>
      <c r="F32" s="20">
        <f t="shared" si="10"/>
        <v>0</v>
      </c>
      <c r="G32" s="20">
        <f t="shared" si="10"/>
        <v>0</v>
      </c>
      <c r="H32" s="20">
        <f>H30-H31</f>
        <v>111</v>
      </c>
      <c r="I32" s="20">
        <f t="shared" ref="I32:S32" si="11">I30-I31</f>
        <v>0</v>
      </c>
      <c r="J32" s="20">
        <f t="shared" si="11"/>
        <v>0</v>
      </c>
      <c r="L32" s="20">
        <f t="shared" si="11"/>
        <v>0</v>
      </c>
      <c r="M32" s="20">
        <f t="shared" si="11"/>
        <v>0</v>
      </c>
      <c r="N32" s="20">
        <f t="shared" si="11"/>
        <v>0</v>
      </c>
      <c r="O32" s="20">
        <f t="shared" si="11"/>
        <v>0</v>
      </c>
      <c r="P32" s="20">
        <f t="shared" si="11"/>
        <v>0</v>
      </c>
      <c r="Q32" s="20">
        <f t="shared" si="11"/>
        <v>3195</v>
      </c>
      <c r="R32" s="20">
        <f t="shared" si="11"/>
        <v>4774</v>
      </c>
      <c r="S32" s="20">
        <f t="shared" si="11"/>
        <v>6732</v>
      </c>
    </row>
    <row r="34" spans="2:19" x14ac:dyDescent="0.2">
      <c r="B34" s="22" t="s">
        <v>46</v>
      </c>
      <c r="Q34" s="3">
        <f t="shared" ref="Q34:R34" si="12">+Q32/Q35</f>
        <v>2.2405329593267882</v>
      </c>
      <c r="R34" s="3">
        <f t="shared" si="12"/>
        <v>3.5838150289017343</v>
      </c>
      <c r="S34" s="3">
        <f>+S32/S35</f>
        <v>5.0186372446697476</v>
      </c>
    </row>
    <row r="35" spans="2:19" x14ac:dyDescent="0.2">
      <c r="B35" s="22" t="s">
        <v>6</v>
      </c>
      <c r="Q35" s="20">
        <v>1426</v>
      </c>
      <c r="R35" s="20">
        <v>1332.1</v>
      </c>
      <c r="S35" s="20">
        <v>1341.4</v>
      </c>
    </row>
  </sheetData>
  <hyperlinks>
    <hyperlink ref="A1" location="Main!A1" display="Main" xr:uid="{E95D4133-5D66-4D78-AC82-02FFC441EF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2024-09-09T07:56:47Z</dcterms:created>
  <dcterms:modified xsi:type="dcterms:W3CDTF">2026-03-20T11:02:46Z</dcterms:modified>
</cp:coreProperties>
</file>