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0617C07-1879-421B-A8A5-226B814480A5}" xr6:coauthVersionLast="47" xr6:coauthVersionMax="47" xr10:uidLastSave="{00000000-0000-0000-0000-000000000000}"/>
  <bookViews>
    <workbookView xWindow="225" yWindow="3855" windowWidth="38175" windowHeight="15240" xr2:uid="{A4ADBA59-3CC7-412B-B773-295D070EBE3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3" i="2" s="1"/>
  <c r="H16" i="2" s="1"/>
  <c r="H19" i="2" s="1"/>
  <c r="H22" i="2" s="1"/>
  <c r="H24" i="2" s="1"/>
  <c r="G11" i="2"/>
  <c r="G13" i="2" s="1"/>
  <c r="G16" i="2" s="1"/>
  <c r="G19" i="2" s="1"/>
  <c r="G22" i="2" s="1"/>
  <c r="G24" i="2" s="1"/>
  <c r="F11" i="2"/>
  <c r="F13" i="2" s="1"/>
  <c r="F16" i="2" s="1"/>
  <c r="F19" i="2" s="1"/>
  <c r="F22" i="2" s="1"/>
  <c r="F24" i="2" s="1"/>
  <c r="E11" i="2"/>
  <c r="E13" i="2" s="1"/>
  <c r="E16" i="2" s="1"/>
  <c r="E19" i="2" s="1"/>
  <c r="E22" i="2" s="1"/>
  <c r="E24" i="2" s="1"/>
  <c r="D11" i="2"/>
  <c r="D13" i="2" s="1"/>
  <c r="D16" i="2" s="1"/>
  <c r="D19" i="2" s="1"/>
  <c r="D22" i="2" s="1"/>
  <c r="D24" i="2" s="1"/>
  <c r="C11" i="2"/>
  <c r="C13" i="2" s="1"/>
  <c r="C16" i="2" s="1"/>
  <c r="C19" i="2" s="1"/>
  <c r="C22" i="2" s="1"/>
  <c r="C24" i="2" s="1"/>
  <c r="I7" i="1"/>
  <c r="I6" i="1"/>
  <c r="I4" i="1"/>
  <c r="I3" i="1"/>
</calcChain>
</file>

<file path=xl/sharedStrings.xml><?xml version="1.0" encoding="utf-8"?>
<sst xmlns="http://schemas.openxmlformats.org/spreadsheetml/2006/main" count="51" uniqueCount="47">
  <si>
    <t>Constellation Brand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</si>
  <si>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</si>
  <si>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</si>
  <si>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</si>
  <si>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</si>
  <si>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</si>
  <si>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</si>
  <si>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</si>
  <si>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</si>
  <si>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Q225</t>
  </si>
  <si>
    <t>Main</t>
  </si>
  <si>
    <t>Q125</t>
  </si>
  <si>
    <t>Q325</t>
  </si>
  <si>
    <t>Q425</t>
  </si>
  <si>
    <t>Sales</t>
  </si>
  <si>
    <t>Excise taxes</t>
  </si>
  <si>
    <t>Revenue</t>
  </si>
  <si>
    <t>COGS</t>
  </si>
  <si>
    <t>Gross Profit</t>
  </si>
  <si>
    <t>SG&amp;A</t>
  </si>
  <si>
    <t>Operating Income</t>
  </si>
  <si>
    <t>Income from investments</t>
  </si>
  <si>
    <t>Interest Expense</t>
  </si>
  <si>
    <t>Pretax Income</t>
  </si>
  <si>
    <t>Tax Expense</t>
  </si>
  <si>
    <t>Minority Interest</t>
  </si>
  <si>
    <t>Net Income</t>
  </si>
  <si>
    <t>EPS</t>
  </si>
  <si>
    <t>Goowill impairment &amp; other</t>
  </si>
  <si>
    <t>Beer</t>
  </si>
  <si>
    <t>Wine &amp; Spirits</t>
  </si>
  <si>
    <t>Corporate &amp; Other</t>
  </si>
  <si>
    <t>Brands</t>
  </si>
  <si>
    <t>Beer:</t>
  </si>
  <si>
    <t>Q226</t>
  </si>
  <si>
    <t>Q326</t>
  </si>
  <si>
    <t>Q426</t>
  </si>
  <si>
    <t>Beer Shipments</t>
  </si>
  <si>
    <t>Wine &amp; Spirits Shipments</t>
  </si>
  <si>
    <t>Corona, Modelo, Pacifico Clara, Victoria</t>
  </si>
  <si>
    <t>Wine</t>
  </si>
  <si>
    <t>Kim Crawford, Ruffino, The Prisoner</t>
  </si>
  <si>
    <t xml:space="preserve">Saldo, Unshackled </t>
  </si>
  <si>
    <t>Spirits</t>
  </si>
  <si>
    <t>Mi Campo, High West, Casa Noble</t>
  </si>
  <si>
    <t>Austin Cocktails, Nelson's Greenbrier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</si>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</sst>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.00;\(#,##0.00\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cbrand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7113-6E7A-4B05-9F2F-1546D75B8AB5}">
  <dimension ref="A1:J16"/>
  <sheetViews>
    <sheetView tabSelected="1" zoomScale="200" zoomScaleNormal="200" workbookViewId="0">
      <selection activeCell="B17" sqref="B17"/>
    </sheetView>
  </sheetViews>
  <sheetFormatPr defaultRowHeight="12.75" x14ac:dyDescent="0.2"/>
  <cols>
    <col min="1" max="1" width="4" customWidth="1"/>
  </cols>
  <sheetData>
    <row r="1" spans="1:10" x14ac:dyDescent="0.2">
      <c r="A1" s="1" t="s">
        <v>0</v>
      </c>
    </row>
    <row r="2" spans="1:10" x14ac:dyDescent="0.2">
      <c r="A2" t="s">
        <v>1</v>
      </c>
      <c r="H2" t="s">
        <v>3</v>
      </c>
      <c r="I2">
        <v>141.83000000000001</v>
      </c>
    </row>
    <row r="3" spans="1:10" x14ac:dyDescent="0.2">
      <c r="H3" t="s">
        <v>4</v>
      </c>
      <c r="I3" s="3">
        <f>175.013336+27.167</f>
        <v>202.18033600000001</v>
      </c>
      <c r="J3" s="4" t="s">
        <v>34</v>
      </c>
    </row>
    <row r="4" spans="1:10" x14ac:dyDescent="0.2">
      <c r="H4" t="s">
        <v>5</v>
      </c>
      <c r="I4" s="3">
        <f>+I2*I3</f>
        <v>28675.237054880003</v>
      </c>
    </row>
    <row r="5" spans="1:10" x14ac:dyDescent="0.2">
      <c r="B5" s="2" t="s">
        <v>2</v>
      </c>
      <c r="H5" t="s">
        <v>6</v>
      </c>
      <c r="I5" s="3">
        <v>72</v>
      </c>
      <c r="J5" s="4" t="s">
        <v>34</v>
      </c>
    </row>
    <row r="6" spans="1:10" x14ac:dyDescent="0.2">
      <c r="H6" t="s">
        <v>7</v>
      </c>
      <c r="I6" s="3">
        <f>252.5+504.1+9788.3</f>
        <v>10544.9</v>
      </c>
      <c r="J6" s="4" t="s">
        <v>34</v>
      </c>
    </row>
    <row r="7" spans="1:10" x14ac:dyDescent="0.2">
      <c r="H7" t="s">
        <v>8</v>
      </c>
      <c r="I7" s="3">
        <f>+I4-I5+I6</f>
        <v>39148.137054880004</v>
      </c>
    </row>
    <row r="8" spans="1:10" x14ac:dyDescent="0.2">
      <c r="B8" t="s">
        <v>32</v>
      </c>
    </row>
    <row r="9" spans="1:10" x14ac:dyDescent="0.2">
      <c r="B9" t="s">
        <v>33</v>
      </c>
    </row>
    <row r="10" spans="1:10" x14ac:dyDescent="0.2">
      <c r="B10" t="s">
        <v>39</v>
      </c>
    </row>
    <row r="11" spans="1:10" x14ac:dyDescent="0.2">
      <c r="B11" t="s">
        <v>40</v>
      </c>
    </row>
    <row r="12" spans="1:10" x14ac:dyDescent="0.2">
      <c r="B12" t="s">
        <v>41</v>
      </c>
    </row>
    <row r="13" spans="1:10" x14ac:dyDescent="0.2">
      <c r="B13" t="s">
        <v>42</v>
      </c>
    </row>
    <row r="14" spans="1:10" x14ac:dyDescent="0.2">
      <c r="B14" t="s">
        <v>43</v>
      </c>
    </row>
    <row r="15" spans="1:10" x14ac:dyDescent="0.2">
      <c r="B15" t="s">
        <v>44</v>
      </c>
    </row>
    <row r="16" spans="1:10" x14ac:dyDescent="0.2">
      <c r="B16" t="s">
        <v>45</v>
      </c>
    </row>
  </sheetData>
  <hyperlinks>
    <hyperlink ref="B5" r:id="rId1" xr:uid="{774A0765-B43C-409F-A944-89816C17FE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40EB-26F1-42A4-8FC5-57C518451405}">
  <dimension ref="A1:AJ463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" sqref="G5"/>
    </sheetView>
  </sheetViews>
  <sheetFormatPr defaultRowHeight="12.75" x14ac:dyDescent="0.2"/>
  <cols>
    <col min="1" max="1" width="5" bestFit="1" customWidth="1"/>
    <col min="2" max="2" width="26" customWidth="1"/>
  </cols>
  <sheetData>
    <row r="1" spans="1:36" x14ac:dyDescent="0.2">
      <c r="A1" s="2" t="s">
        <v>10</v>
      </c>
    </row>
    <row r="2" spans="1:36" x14ac:dyDescent="0.2">
      <c r="C2" s="4" t="s">
        <v>11</v>
      </c>
      <c r="D2" s="4" t="s">
        <v>9</v>
      </c>
      <c r="E2" s="4" t="s">
        <v>12</v>
      </c>
      <c r="F2" s="4" t="s">
        <v>13</v>
      </c>
      <c r="G2" s="4" t="s">
        <v>46</v>
      </c>
      <c r="H2" s="4" t="s">
        <v>34</v>
      </c>
      <c r="I2" s="4" t="s">
        <v>35</v>
      </c>
      <c r="J2" s="4" t="s">
        <v>36</v>
      </c>
    </row>
    <row r="3" spans="1:36" x14ac:dyDescent="0.2">
      <c r="B3" t="s">
        <v>37</v>
      </c>
      <c r="C3" s="4">
        <v>115.1</v>
      </c>
      <c r="D3" s="4">
        <v>128.6</v>
      </c>
      <c r="E3" s="4"/>
      <c r="F3" s="4"/>
      <c r="G3" s="4">
        <v>111.3</v>
      </c>
      <c r="H3" s="4">
        <v>117.4</v>
      </c>
      <c r="I3" s="4"/>
      <c r="J3" s="4"/>
    </row>
    <row r="4" spans="1:36" x14ac:dyDescent="0.2">
      <c r="B4" t="s">
        <v>38</v>
      </c>
      <c r="C4" s="4">
        <v>5.6</v>
      </c>
      <c r="D4" s="4">
        <v>5.5</v>
      </c>
      <c r="E4" s="4"/>
      <c r="F4" s="4"/>
      <c r="G4" s="4">
        <v>3.9</v>
      </c>
      <c r="H4" s="4">
        <v>1.3</v>
      </c>
      <c r="I4" s="4"/>
      <c r="J4" s="4"/>
    </row>
    <row r="5" spans="1:36" x14ac:dyDescent="0.2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2">
      <c r="B6" t="s">
        <v>29</v>
      </c>
      <c r="C6" s="3">
        <v>2272.8000000000002</v>
      </c>
      <c r="D6" s="3">
        <v>2530.1999999999998</v>
      </c>
      <c r="E6" s="3"/>
      <c r="F6" s="3"/>
      <c r="G6" s="3">
        <v>2234.5</v>
      </c>
      <c r="H6" s="3">
        <v>2345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">
      <c r="B7" t="s">
        <v>30</v>
      </c>
      <c r="C7" s="3">
        <v>389</v>
      </c>
      <c r="D7" s="3">
        <v>388.7</v>
      </c>
      <c r="E7" s="3"/>
      <c r="F7" s="3"/>
      <c r="G7" s="3">
        <v>280.5</v>
      </c>
      <c r="H7" s="3">
        <v>136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B8" t="s">
        <v>31</v>
      </c>
      <c r="C8" s="3">
        <v>0</v>
      </c>
      <c r="D8" s="3">
        <v>0</v>
      </c>
      <c r="E8" s="3"/>
      <c r="F8" s="3"/>
      <c r="G8" s="3">
        <v>0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">
      <c r="B9" t="s">
        <v>14</v>
      </c>
      <c r="C9" s="3">
        <v>2860.7</v>
      </c>
      <c r="D9" s="3">
        <v>3139.1</v>
      </c>
      <c r="E9" s="3"/>
      <c r="F9" s="3"/>
      <c r="G9" s="3">
        <v>2677.5</v>
      </c>
      <c r="H9" s="3">
        <v>2653.9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2">
      <c r="B10" t="s">
        <v>15</v>
      </c>
      <c r="C10" s="3">
        <v>198.9</v>
      </c>
      <c r="D10" s="3">
        <v>220.2</v>
      </c>
      <c r="E10" s="3"/>
      <c r="F10" s="3"/>
      <c r="G10" s="3">
        <v>162.5</v>
      </c>
      <c r="H10" s="3">
        <v>172.9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">
      <c r="B11" s="1" t="s">
        <v>16</v>
      </c>
      <c r="C11" s="6">
        <f t="shared" ref="C11:F11" si="0">+C9-C10</f>
        <v>2661.7999999999997</v>
      </c>
      <c r="D11" s="6">
        <f t="shared" si="0"/>
        <v>2918.9</v>
      </c>
      <c r="E11" s="6">
        <f t="shared" si="0"/>
        <v>0</v>
      </c>
      <c r="F11" s="6">
        <f t="shared" si="0"/>
        <v>0</v>
      </c>
      <c r="G11" s="6">
        <f>+G9-G10</f>
        <v>2515</v>
      </c>
      <c r="H11" s="6">
        <f>+H9-H10</f>
        <v>2481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B12" t="s">
        <v>17</v>
      </c>
      <c r="C12" s="3">
        <v>1258</v>
      </c>
      <c r="D12" s="3">
        <v>1407.1</v>
      </c>
      <c r="E12" s="3"/>
      <c r="F12" s="3"/>
      <c r="G12" s="3">
        <v>1248.4000000000001</v>
      </c>
      <c r="H12" s="3">
        <v>1171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">
      <c r="B13" t="s">
        <v>18</v>
      </c>
      <c r="C13" s="3">
        <f t="shared" ref="C13:F13" si="1">+C11-C12</f>
        <v>1403.7999999999997</v>
      </c>
      <c r="D13" s="3">
        <f t="shared" si="1"/>
        <v>1511.8000000000002</v>
      </c>
      <c r="E13" s="3">
        <f t="shared" si="1"/>
        <v>0</v>
      </c>
      <c r="F13" s="3">
        <f t="shared" si="1"/>
        <v>0</v>
      </c>
      <c r="G13" s="3">
        <f>+G11-G12</f>
        <v>1266.5999999999999</v>
      </c>
      <c r="H13" s="3">
        <f>+H11-H12</f>
        <v>1310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2">
      <c r="B14" t="s">
        <v>19</v>
      </c>
      <c r="C14" s="3">
        <v>462.2</v>
      </c>
      <c r="D14" s="3">
        <v>491.2</v>
      </c>
      <c r="E14" s="3"/>
      <c r="F14" s="3"/>
      <c r="G14" s="3">
        <v>500.7</v>
      </c>
      <c r="H14" s="3">
        <v>436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">
      <c r="B15" t="s">
        <v>28</v>
      </c>
      <c r="C15" s="3">
        <v>0</v>
      </c>
      <c r="D15" s="3">
        <v>2250</v>
      </c>
      <c r="E15" s="3"/>
      <c r="F15" s="3"/>
      <c r="G15" s="3">
        <v>52.1</v>
      </c>
      <c r="H15" s="3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">
      <c r="B16" t="s">
        <v>20</v>
      </c>
      <c r="C16" s="3">
        <f t="shared" ref="C16:F16" si="2">+C13-C14-C15</f>
        <v>941.59999999999968</v>
      </c>
      <c r="D16" s="3">
        <f t="shared" si="2"/>
        <v>-1229.3999999999999</v>
      </c>
      <c r="E16" s="3">
        <f t="shared" si="2"/>
        <v>0</v>
      </c>
      <c r="F16" s="3">
        <f t="shared" si="2"/>
        <v>0</v>
      </c>
      <c r="G16" s="3">
        <f>+G13-G14-G15</f>
        <v>713.79999999999984</v>
      </c>
      <c r="H16" s="3">
        <f>+H13-H14-H15</f>
        <v>874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2:36" x14ac:dyDescent="0.2">
      <c r="B17" t="s">
        <v>21</v>
      </c>
      <c r="C17" s="3">
        <v>82</v>
      </c>
      <c r="D17" s="3">
        <v>-1.2</v>
      </c>
      <c r="E17" s="3"/>
      <c r="F17" s="3"/>
      <c r="G17" s="3">
        <v>-3.5</v>
      </c>
      <c r="H17" s="3">
        <v>-3.5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2:36" x14ac:dyDescent="0.2">
      <c r="B18" t="s">
        <v>22</v>
      </c>
      <c r="C18" s="3">
        <v>102.9</v>
      </c>
      <c r="D18" s="3">
        <v>104</v>
      </c>
      <c r="E18" s="3"/>
      <c r="F18" s="3"/>
      <c r="G18" s="3">
        <v>98.9</v>
      </c>
      <c r="H18" s="3">
        <v>87.6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2:36" x14ac:dyDescent="0.2">
      <c r="B19" t="s">
        <v>23</v>
      </c>
      <c r="C19" s="3">
        <f t="shared" ref="C19:F19" si="3">+C16+C17-C18</f>
        <v>920.6999999999997</v>
      </c>
      <c r="D19" s="3">
        <f t="shared" si="3"/>
        <v>-1334.6</v>
      </c>
      <c r="E19" s="3">
        <f t="shared" si="3"/>
        <v>0</v>
      </c>
      <c r="F19" s="3">
        <f t="shared" si="3"/>
        <v>0</v>
      </c>
      <c r="G19" s="3">
        <f>+G16+G17-G18</f>
        <v>611.39999999999986</v>
      </c>
      <c r="H19" s="3">
        <f>+H16+H17-H18</f>
        <v>782.9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2:36" x14ac:dyDescent="0.2">
      <c r="B20" t="s">
        <v>24</v>
      </c>
      <c r="C20" s="3">
        <v>28</v>
      </c>
      <c r="D20" s="3">
        <v>-152.19999999999999</v>
      </c>
      <c r="E20" s="3"/>
      <c r="F20" s="3"/>
      <c r="G20" s="3">
        <v>87.6</v>
      </c>
      <c r="H20" s="3">
        <v>296.8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2:36" x14ac:dyDescent="0.2">
      <c r="B21" t="s">
        <v>25</v>
      </c>
      <c r="C21" s="3">
        <v>15.8</v>
      </c>
      <c r="D21" s="3">
        <v>16.600000000000001</v>
      </c>
      <c r="E21" s="3"/>
      <c r="F21" s="3"/>
      <c r="G21" s="3">
        <v>7.7</v>
      </c>
      <c r="H21" s="3">
        <v>20.100000000000001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2:36" x14ac:dyDescent="0.2">
      <c r="B22" t="s">
        <v>26</v>
      </c>
      <c r="C22" s="3">
        <f t="shared" ref="C22:F22" si="4">+C19-C20-C21</f>
        <v>876.89999999999975</v>
      </c>
      <c r="D22" s="3">
        <f t="shared" si="4"/>
        <v>-1198.9999999999998</v>
      </c>
      <c r="E22" s="3">
        <f t="shared" si="4"/>
        <v>0</v>
      </c>
      <c r="F22" s="3">
        <f t="shared" si="4"/>
        <v>0</v>
      </c>
      <c r="G22" s="3">
        <f>+G19-G20-G21</f>
        <v>516.0999999999998</v>
      </c>
      <c r="H22" s="3">
        <f>+H19-H20-H21</f>
        <v>465.99999999999994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2:36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2:36" x14ac:dyDescent="0.2">
      <c r="B24" t="s">
        <v>27</v>
      </c>
      <c r="C24" s="5">
        <f t="shared" ref="C24:F24" si="5">+C22/C25</f>
        <v>4.7979383473950286</v>
      </c>
      <c r="D24" s="5">
        <f t="shared" si="5"/>
        <v>-6.5898311046623457</v>
      </c>
      <c r="E24" s="5" t="e">
        <f t="shared" si="5"/>
        <v>#DIV/0!</v>
      </c>
      <c r="F24" s="5" t="e">
        <f t="shared" si="5"/>
        <v>#DIV/0!</v>
      </c>
      <c r="G24" s="5">
        <f>+G22/G25</f>
        <v>2.9026833369891047</v>
      </c>
      <c r="H24" s="5">
        <f>+H22/H25</f>
        <v>2.6504228732631478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2:36" x14ac:dyDescent="0.2">
      <c r="B25" t="s">
        <v>4</v>
      </c>
      <c r="C25" s="3">
        <v>182.76599999999999</v>
      </c>
      <c r="D25" s="3">
        <v>181.947</v>
      </c>
      <c r="E25" s="3"/>
      <c r="F25" s="3"/>
      <c r="G25" s="3">
        <v>177.80099999999999</v>
      </c>
      <c r="H25" s="3">
        <v>175.821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2:36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2:36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2:36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2:36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2:36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2:36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2:36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3:36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3:36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3:36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3:36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3:36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3:36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3:36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3:36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3:36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3:36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3:36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3:36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3:36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3:36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3:3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3:36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3:36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3:36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3:36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3:36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3:36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3:36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3:3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3:36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3:36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3:36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3:36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3:36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3:36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3:36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3:36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3:36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3:36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3:36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3:3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3:3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3:36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3:36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3:36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3:36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3:36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3:36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3:36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3:36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3:36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3:36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3:36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3:36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3:36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3:36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3:36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3:36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3:36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3:36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3:36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3:36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3:36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3:36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3:36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3:36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3:36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3:36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3:3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3:36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3:36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3:36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3:36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3:3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3:3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3:3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3:3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3:3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3:3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3:3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3:3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3:3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3:3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3:3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3:3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3:3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3:3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3:3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3:3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3:3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3:3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3:3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3:3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3:3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3:3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3:3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3:3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3:3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3:3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3:3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3:3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3:3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3:3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3:3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3:3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3:3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3:3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3:3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3:3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3:3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3:3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3:3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3:3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3:3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3:3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3:3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3:3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3:3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3:3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3:3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3:3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3:3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3:3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3:3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3:3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3:3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3:3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3:3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3:3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3:3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3:3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3:3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3:3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3:3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3:3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3:3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3:3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3:3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3:3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3:36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3:36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3:36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3:36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3:36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3:36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3:36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3:36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3:36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3:36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3:36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3:36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3:36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3:36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3:36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3:36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3:36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3:36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3:36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3:36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3:36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3:36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3:36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3:36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3:36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3:36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3:36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3:36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3:36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3:36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3:36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3:36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3:36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3:36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3:36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3:36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3:36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3:36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3:36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3:36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3:36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3:36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3:36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3:36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3:36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3:36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3:36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3:36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3:36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3:36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3:36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3:36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3:36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3:36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3:3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3:3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3:3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3:3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3:3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3:3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3:3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3:3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3:3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3:3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3:3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3:3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3:3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3:3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3:3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3:3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3:3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3:3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3:3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3:3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3:3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3:3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3:3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3:3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3:36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3:36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3:36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3:36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3:36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3:36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3:36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3:36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3:36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3:36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3:36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3:36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3:36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3:36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3:36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3:36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3:36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3:36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3:36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3:36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3:36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3:36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3:36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3:36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3:36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3:36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3:36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3:36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3:36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3:36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3:36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3:36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3:36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3:36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3:36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3:36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3:36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3:36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3:36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3:36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3:36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3:36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3:36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spans="3:36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3:36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spans="3:36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3:36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spans="3:36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3:36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3:36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3:36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3:36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3:36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3:36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3:36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3:36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3:36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3:36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3:36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3:36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3:36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3:36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3:36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3:36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3:36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3:36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3:36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3:36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3:36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3:36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3:36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3:36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3:36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3:36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3:36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3:36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3:36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3:36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3:36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3:36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3:36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3:36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3:36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3:36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3:36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spans="3:36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3:36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spans="3:36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3:36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3:36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3:36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3:36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3:36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3:36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3:36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3:36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3:36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3:36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3:36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3:36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3:36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3:36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3:36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3:36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3:36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3:36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3:36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3:36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3:36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3:36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3:36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3:36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3:36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3:36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3:36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3:36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3:36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3:36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3:36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3:36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3:36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3:36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3:36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3:36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3:36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3:36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3:36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3:36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3:36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3:36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3:36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3:36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3:36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3:36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3:36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3:36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3:36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3:36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3:36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3:36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3:36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3:36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3:36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3:36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3:36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3:36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3:36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3:36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3:36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3:36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3:36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3:36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3:36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3:36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3:36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3:36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3:36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3:36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3:36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3:36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3:36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3:36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3:36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3:36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3:36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3:36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3:36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3:36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3:36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3:36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3:36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3:36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3:36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3:36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3:36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3:36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3:36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3:36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3:36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3:36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3:36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3:36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3:36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3:36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3:36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3:36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3:36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3:36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3:36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3:36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3:36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3:36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3:36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3:36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3:36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3:36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3:36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3:36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3:36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3:36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3:36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3:36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3:36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3:36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3:36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3:36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3:36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3:36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3:36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3:36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3:36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spans="3:36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3:36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spans="3:36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3:36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</sheetData>
  <hyperlinks>
    <hyperlink ref="A1" location="Main!A1" display="Main" xr:uid="{ED5D5874-B9C0-4272-90EA-41DC3D7873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2025-12-22T17:20:42Z</dcterms:created>
  <dcterms:modified xsi:type="dcterms:W3CDTF">2025-12-22T17:42:41Z</dcterms:modified>
</cp:coreProperties>
</file>