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9D18301-88E9-44C6-BF72-3C14F5F2402C}" xr6:coauthVersionLast="47" xr6:coauthVersionMax="47" xr10:uidLastSave="{00000000-0000-0000-0000-000000000000}"/>
  <bookViews>
    <workbookView xWindow="19095" yWindow="0" windowWidth="19410" windowHeight="20925" xr2:uid="{5888D0D8-B8CE-451E-8406-386FBD36059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F36" i="2"/>
  <c r="E36" i="2"/>
  <c r="G35" i="2"/>
  <c r="F35" i="2"/>
  <c r="E35" i="2"/>
  <c r="G34" i="2"/>
  <c r="F34" i="2"/>
  <c r="E34" i="2"/>
  <c r="H36" i="2"/>
  <c r="H35" i="2"/>
  <c r="H34" i="2"/>
  <c r="H32" i="2"/>
  <c r="H33" i="2"/>
  <c r="G29" i="2"/>
  <c r="H29" i="2"/>
  <c r="J7" i="1"/>
  <c r="J4" i="1"/>
  <c r="J6" i="1"/>
  <c r="J5" i="1"/>
  <c r="G14" i="2"/>
  <c r="G20" i="2" s="1"/>
  <c r="G24" i="2" s="1"/>
  <c r="G27" i="2" s="1"/>
  <c r="F14" i="2"/>
  <c r="F20" i="2"/>
  <c r="F24" i="2"/>
  <c r="F27" i="2"/>
  <c r="H14" i="2"/>
  <c r="H20" i="2" s="1"/>
  <c r="H24" i="2" s="1"/>
  <c r="H27" i="2" s="1"/>
</calcChain>
</file>

<file path=xl/sharedStrings.xml><?xml version="1.0" encoding="utf-8"?>
<sst xmlns="http://schemas.openxmlformats.org/spreadsheetml/2006/main" count="56" uniqueCount="50">
  <si>
    <t>Siemens Energie</t>
  </si>
  <si>
    <t>numbers in mio EUR</t>
  </si>
  <si>
    <t>IR</t>
  </si>
  <si>
    <t>Price</t>
  </si>
  <si>
    <t>Shares</t>
  </si>
  <si>
    <t>MC</t>
  </si>
  <si>
    <t>Cash</t>
  </si>
  <si>
    <t>Debt</t>
  </si>
  <si>
    <t>EV</t>
  </si>
  <si>
    <t>Segments</t>
  </si>
  <si>
    <t>Gas Services</t>
  </si>
  <si>
    <t>Grid Technology</t>
  </si>
  <si>
    <t>Transformation of Industry</t>
  </si>
  <si>
    <t>Siemens Gamesa</t>
  </si>
  <si>
    <t>Renewables</t>
  </si>
  <si>
    <t>Gas &amp; Steam Turbines</t>
  </si>
  <si>
    <t>Main</t>
  </si>
  <si>
    <t>FY24</t>
  </si>
  <si>
    <t>FY22</t>
  </si>
  <si>
    <t>FY23</t>
  </si>
  <si>
    <t>FY25</t>
  </si>
  <si>
    <t>Grid Technologies</t>
  </si>
  <si>
    <t>Revenue</t>
  </si>
  <si>
    <t>EMEA</t>
  </si>
  <si>
    <t>Americas</t>
  </si>
  <si>
    <t>APAC</t>
  </si>
  <si>
    <t>Orders</t>
  </si>
  <si>
    <t>Q425</t>
  </si>
  <si>
    <t>Business Model</t>
  </si>
  <si>
    <t>COGS</t>
  </si>
  <si>
    <t>Gross Profit</t>
  </si>
  <si>
    <t>R&amp;D</t>
  </si>
  <si>
    <t>SG&amp;A</t>
  </si>
  <si>
    <t>Other Operating Income</t>
  </si>
  <si>
    <t>Other Operating Costs</t>
  </si>
  <si>
    <t>Income from Investments</t>
  </si>
  <si>
    <t>Operating Income</t>
  </si>
  <si>
    <t>Interest Income</t>
  </si>
  <si>
    <t>Interest Expense</t>
  </si>
  <si>
    <t>Other Income</t>
  </si>
  <si>
    <t>Pretax Income</t>
  </si>
  <si>
    <t>Tax Expense</t>
  </si>
  <si>
    <t>Minority Interest</t>
  </si>
  <si>
    <t>Net Income</t>
  </si>
  <si>
    <t>EPS</t>
  </si>
  <si>
    <t>Revenue Growth</t>
  </si>
  <si>
    <t>Order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</si>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</sst>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6" formatCode="#,##0;\(#,##0\)"/>
    <numFmt numFmtId="167" formatCode="#,##0.00;\(#,##0.00\)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0" applyNumberFormat="1"/>
    <xf numFmtId="0" fontId="0" fillId="0" borderId="0" xfId="0" applyAlignment="1">
      <alignment horizontal="right"/>
    </xf>
    <xf numFmtId="164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/>
    <xf numFmtId="167" fontId="0" fillId="0" borderId="0" xfId="0" applyNumberFormat="1"/>
    <xf numFmtId="9" fontId="0" fillId="0" borderId="0" xfId="1" applyFont="1"/>
    <xf numFmtId="9" fontId="2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emens-energy.com/global/en/home/investor-rela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BC20-7A1A-4DA1-93DE-427D1D44EEA7}">
  <dimension ref="A1:K13"/>
  <sheetViews>
    <sheetView tabSelected="1" zoomScale="200" zoomScaleNormal="200" workbookViewId="0"/>
  </sheetViews>
  <sheetFormatPr defaultRowHeight="12.75" x14ac:dyDescent="0.2"/>
  <cols>
    <col min="1" max="1" width="4.140625" customWidth="1"/>
  </cols>
  <sheetData>
    <row r="1" spans="1:11" x14ac:dyDescent="0.2">
      <c r="A1" s="1" t="s">
        <v>0</v>
      </c>
    </row>
    <row r="2" spans="1:11" x14ac:dyDescent="0.2">
      <c r="A2" t="s">
        <v>1</v>
      </c>
      <c r="I2" t="s">
        <v>3</v>
      </c>
      <c r="J2">
        <v>121.3</v>
      </c>
    </row>
    <row r="3" spans="1:11" x14ac:dyDescent="0.2">
      <c r="I3" t="s">
        <v>4</v>
      </c>
      <c r="J3" s="6">
        <v>868.21400000000006</v>
      </c>
      <c r="K3" s="4" t="s">
        <v>27</v>
      </c>
    </row>
    <row r="4" spans="1:11" x14ac:dyDescent="0.2">
      <c r="B4" s="2" t="s">
        <v>2</v>
      </c>
      <c r="I4" t="s">
        <v>5</v>
      </c>
      <c r="J4" s="6">
        <f>+J2*J3</f>
        <v>105314.3582</v>
      </c>
    </row>
    <row r="5" spans="1:11" x14ac:dyDescent="0.2">
      <c r="I5" t="s">
        <v>6</v>
      </c>
      <c r="J5" s="6">
        <f>9162+1031</f>
        <v>10193</v>
      </c>
      <c r="K5" s="4" t="s">
        <v>27</v>
      </c>
    </row>
    <row r="6" spans="1:11" x14ac:dyDescent="0.2">
      <c r="I6" t="s">
        <v>7</v>
      </c>
      <c r="J6" s="6">
        <f>1528+782+2438+401</f>
        <v>5149</v>
      </c>
      <c r="K6" s="4" t="s">
        <v>27</v>
      </c>
    </row>
    <row r="7" spans="1:11" x14ac:dyDescent="0.2">
      <c r="B7" s="20" t="s">
        <v>28</v>
      </c>
      <c r="I7" t="s">
        <v>8</v>
      </c>
      <c r="J7" s="6">
        <f>+J4-J5+J6</f>
        <v>100270.3582</v>
      </c>
    </row>
    <row r="8" spans="1:11" x14ac:dyDescent="0.2">
      <c r="B8" s="8" t="s">
        <v>9</v>
      </c>
      <c r="C8" s="9"/>
      <c r="D8" s="9"/>
      <c r="E8" s="9"/>
      <c r="F8" s="9"/>
      <c r="G8" s="10"/>
    </row>
    <row r="9" spans="1:11" x14ac:dyDescent="0.2">
      <c r="B9" s="11" t="s">
        <v>10</v>
      </c>
      <c r="C9" s="12"/>
      <c r="D9" s="12"/>
      <c r="E9" s="12" t="s">
        <v>15</v>
      </c>
      <c r="F9" s="12"/>
      <c r="G9" s="13"/>
    </row>
    <row r="10" spans="1:11" x14ac:dyDescent="0.2">
      <c r="B10" s="14" t="s">
        <v>11</v>
      </c>
      <c r="C10" s="15"/>
      <c r="D10" s="15"/>
      <c r="E10" s="15"/>
      <c r="F10" s="15"/>
      <c r="G10" s="16"/>
    </row>
    <row r="11" spans="1:11" x14ac:dyDescent="0.2">
      <c r="B11" s="14" t="s">
        <v>12</v>
      </c>
      <c r="C11" s="15"/>
      <c r="D11" s="15"/>
      <c r="E11" s="15"/>
      <c r="F11" s="15"/>
      <c r="G11" s="16"/>
    </row>
    <row r="12" spans="1:11" x14ac:dyDescent="0.2">
      <c r="B12" s="14" t="s">
        <v>13</v>
      </c>
      <c r="C12" s="15"/>
      <c r="D12" s="15"/>
      <c r="E12" s="15" t="s">
        <v>14</v>
      </c>
      <c r="F12" s="15"/>
      <c r="G12" s="16"/>
    </row>
    <row r="13" spans="1:11" x14ac:dyDescent="0.2">
      <c r="B13" s="17"/>
      <c r="C13" s="18"/>
      <c r="D13" s="18"/>
      <c r="E13" s="18"/>
      <c r="F13" s="18"/>
      <c r="G13" s="19"/>
    </row>
  </sheetData>
  <hyperlinks>
    <hyperlink ref="B4" r:id="rId1" xr:uid="{23C21546-CE3A-4EA0-A220-9C88A879A6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2596-45B1-4908-B4FD-47F21E3005CF}">
  <dimension ref="A1:BV1152"/>
  <sheetViews>
    <sheetView zoomScale="200" zoomScaleNormal="200" workbookViewId="0">
      <pane xSplit="2" ySplit="2" topLeftCell="E9" activePane="bottomRight" state="frozen"/>
      <selection pane="topRight" activeCell="C1" sqref="C1"/>
      <selection pane="bottomLeft" activeCell="A3" sqref="A3"/>
      <selection pane="bottomRight" activeCell="H34" sqref="E34:H36"/>
    </sheetView>
  </sheetViews>
  <sheetFormatPr defaultRowHeight="12.75" x14ac:dyDescent="0.2"/>
  <cols>
    <col min="1" max="1" width="5" bestFit="1" customWidth="1"/>
    <col min="2" max="2" width="27.28515625" customWidth="1"/>
  </cols>
  <sheetData>
    <row r="1" spans="1:74" x14ac:dyDescent="0.2">
      <c r="A1" s="2" t="s">
        <v>16</v>
      </c>
    </row>
    <row r="2" spans="1:74" x14ac:dyDescent="0.2">
      <c r="E2" s="4" t="s">
        <v>18</v>
      </c>
      <c r="F2" s="4" t="s">
        <v>19</v>
      </c>
      <c r="G2" s="4" t="s">
        <v>17</v>
      </c>
      <c r="H2" s="4" t="s">
        <v>20</v>
      </c>
    </row>
    <row r="3" spans="1:74" x14ac:dyDescent="0.2">
      <c r="B3" t="s">
        <v>26</v>
      </c>
      <c r="C3" s="3"/>
      <c r="D3" s="6"/>
      <c r="E3" s="6"/>
      <c r="F3" s="6"/>
      <c r="G3" s="6">
        <v>50226</v>
      </c>
      <c r="H3" s="6">
        <v>58928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 spans="1:74" x14ac:dyDescent="0.2">
      <c r="C4" s="3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74" x14ac:dyDescent="0.2">
      <c r="B5" t="s">
        <v>23</v>
      </c>
      <c r="C5" s="3"/>
      <c r="D5" s="6"/>
      <c r="E5" s="6"/>
      <c r="F5" s="6"/>
      <c r="G5" s="6">
        <v>18087</v>
      </c>
      <c r="H5" s="6">
        <v>20690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</row>
    <row r="6" spans="1:74" x14ac:dyDescent="0.2">
      <c r="B6" t="s">
        <v>24</v>
      </c>
      <c r="C6" s="3"/>
      <c r="D6" s="6"/>
      <c r="E6" s="6"/>
      <c r="F6" s="6"/>
      <c r="G6" s="6">
        <v>10258</v>
      </c>
      <c r="H6" s="6">
        <v>11935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 spans="1:74" x14ac:dyDescent="0.2">
      <c r="B7" t="s">
        <v>25</v>
      </c>
      <c r="C7" s="3"/>
      <c r="D7" s="6"/>
      <c r="E7" s="6"/>
      <c r="F7" s="6"/>
      <c r="G7" s="6">
        <v>6120</v>
      </c>
      <c r="H7" s="6">
        <v>6453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 spans="1:74" x14ac:dyDescent="0.2">
      <c r="B8" t="s">
        <v>10</v>
      </c>
      <c r="C8" s="3"/>
      <c r="D8" s="6"/>
      <c r="E8" s="6"/>
      <c r="F8" s="6"/>
      <c r="G8" s="6">
        <v>10796</v>
      </c>
      <c r="H8" s="6">
        <v>12198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 spans="1:74" x14ac:dyDescent="0.2">
      <c r="B9" t="s">
        <v>21</v>
      </c>
      <c r="C9" s="3"/>
      <c r="D9" s="6"/>
      <c r="E9" s="6"/>
      <c r="F9" s="6"/>
      <c r="G9" s="6">
        <v>9280</v>
      </c>
      <c r="H9" s="6">
        <v>11305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 spans="1:74" x14ac:dyDescent="0.2">
      <c r="B10" t="s">
        <v>12</v>
      </c>
      <c r="C10" s="3"/>
      <c r="D10" s="6"/>
      <c r="E10" s="6"/>
      <c r="F10" s="6"/>
      <c r="G10" s="6">
        <v>5109</v>
      </c>
      <c r="H10" s="6">
        <v>5723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spans="1:74" x14ac:dyDescent="0.2">
      <c r="B11" t="s">
        <v>13</v>
      </c>
      <c r="C11" s="3"/>
      <c r="D11" s="6"/>
      <c r="E11" s="6"/>
      <c r="F11" s="6"/>
      <c r="G11" s="6">
        <v>10008</v>
      </c>
      <c r="H11" s="6">
        <v>10375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</row>
    <row r="12" spans="1:74" x14ac:dyDescent="0.2">
      <c r="B12" s="1" t="s">
        <v>22</v>
      </c>
      <c r="C12" s="5"/>
      <c r="D12" s="7"/>
      <c r="E12" s="7"/>
      <c r="F12" s="7"/>
      <c r="G12" s="7">
        <v>34465</v>
      </c>
      <c r="H12" s="7">
        <v>39077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</row>
    <row r="13" spans="1:74" x14ac:dyDescent="0.2">
      <c r="B13" t="s">
        <v>29</v>
      </c>
      <c r="C13" s="3"/>
      <c r="D13" s="6"/>
      <c r="E13" s="6"/>
      <c r="F13" s="6"/>
      <c r="G13" s="6">
        <v>29962</v>
      </c>
      <c r="H13" s="6">
        <v>32498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</row>
    <row r="14" spans="1:74" x14ac:dyDescent="0.2">
      <c r="B14" t="s">
        <v>30</v>
      </c>
      <c r="C14" s="3"/>
      <c r="D14" s="6"/>
      <c r="E14" s="6"/>
      <c r="F14" s="6">
        <f t="shared" ref="F14:G14" si="0">+F12-F13</f>
        <v>0</v>
      </c>
      <c r="G14" s="6">
        <f t="shared" si="0"/>
        <v>4503</v>
      </c>
      <c r="H14" s="6">
        <f>+H12-H13</f>
        <v>6579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 spans="1:74" x14ac:dyDescent="0.2">
      <c r="B15" t="s">
        <v>31</v>
      </c>
      <c r="C15" s="3"/>
      <c r="D15" s="6"/>
      <c r="E15" s="6"/>
      <c r="F15" s="6"/>
      <c r="G15" s="6">
        <v>1209</v>
      </c>
      <c r="H15" s="6">
        <v>1210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 spans="1:74" x14ac:dyDescent="0.2">
      <c r="B16" t="s">
        <v>32</v>
      </c>
      <c r="C16" s="3"/>
      <c r="D16" s="6"/>
      <c r="E16" s="6"/>
      <c r="F16" s="6"/>
      <c r="G16" s="6">
        <v>3388</v>
      </c>
      <c r="H16" s="6">
        <v>3492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 spans="2:74" x14ac:dyDescent="0.2">
      <c r="B17" t="s">
        <v>33</v>
      </c>
      <c r="C17" s="3"/>
      <c r="D17" s="6"/>
      <c r="E17" s="6"/>
      <c r="F17" s="6"/>
      <c r="G17" s="6">
        <v>92</v>
      </c>
      <c r="H17" s="6">
        <v>86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 spans="2:74" x14ac:dyDescent="0.2">
      <c r="B18" t="s">
        <v>34</v>
      </c>
      <c r="C18" s="3"/>
      <c r="D18" s="6"/>
      <c r="E18" s="6"/>
      <c r="F18" s="6"/>
      <c r="G18" s="6">
        <v>84</v>
      </c>
      <c r="H18" s="6">
        <v>394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 spans="2:74" x14ac:dyDescent="0.2">
      <c r="B19" t="s">
        <v>35</v>
      </c>
      <c r="C19" s="3"/>
      <c r="D19" s="6"/>
      <c r="E19" s="6"/>
      <c r="F19" s="6"/>
      <c r="G19" s="6">
        <v>2210</v>
      </c>
      <c r="H19" s="6">
        <v>580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 spans="2:74" x14ac:dyDescent="0.2">
      <c r="B20" t="s">
        <v>36</v>
      </c>
      <c r="C20" s="3"/>
      <c r="D20" s="6"/>
      <c r="E20" s="6"/>
      <c r="F20" s="6">
        <f t="shared" ref="F20:G20" si="1">+F14-F15-F16+F17-F18+F19</f>
        <v>0</v>
      </c>
      <c r="G20" s="6">
        <f t="shared" si="1"/>
        <v>2124</v>
      </c>
      <c r="H20" s="6">
        <f>+H14-H15-H16+H17-H18+H19</f>
        <v>2149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 spans="2:74" x14ac:dyDescent="0.2">
      <c r="B21" t="s">
        <v>37</v>
      </c>
      <c r="C21" s="3"/>
      <c r="D21" s="6"/>
      <c r="E21" s="6"/>
      <c r="F21" s="6"/>
      <c r="G21" s="6">
        <v>204</v>
      </c>
      <c r="H21" s="6">
        <v>265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 spans="2:74" x14ac:dyDescent="0.2">
      <c r="B22" t="s">
        <v>38</v>
      </c>
      <c r="C22" s="3"/>
      <c r="D22" s="6"/>
      <c r="E22" s="6"/>
      <c r="F22" s="6"/>
      <c r="G22" s="6">
        <v>332</v>
      </c>
      <c r="H22" s="6">
        <v>293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</row>
    <row r="23" spans="2:74" x14ac:dyDescent="0.2">
      <c r="B23" t="s">
        <v>39</v>
      </c>
      <c r="C23" s="3"/>
      <c r="D23" s="6"/>
      <c r="E23" s="6"/>
      <c r="F23" s="6"/>
      <c r="G23" s="6">
        <v>-175</v>
      </c>
      <c r="H23" s="6">
        <v>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</row>
    <row r="24" spans="2:74" x14ac:dyDescent="0.2">
      <c r="B24" t="s">
        <v>40</v>
      </c>
      <c r="C24" s="3"/>
      <c r="D24" s="6"/>
      <c r="E24" s="6"/>
      <c r="F24" s="6">
        <f t="shared" ref="F24:G24" si="2">+F20+F21-F22+F23</f>
        <v>0</v>
      </c>
      <c r="G24" s="6">
        <f t="shared" si="2"/>
        <v>1821</v>
      </c>
      <c r="H24" s="6">
        <f>+H20+H21-H22+H23</f>
        <v>2213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</row>
    <row r="25" spans="2:74" x14ac:dyDescent="0.2">
      <c r="B25" t="s">
        <v>41</v>
      </c>
      <c r="C25" s="3"/>
      <c r="D25" s="6"/>
      <c r="E25" s="6"/>
      <c r="F25" s="6"/>
      <c r="G25" s="6">
        <v>487</v>
      </c>
      <c r="H25" s="6">
        <v>527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</row>
    <row r="26" spans="2:74" x14ac:dyDescent="0.2">
      <c r="B26" t="s">
        <v>42</v>
      </c>
      <c r="C26" s="3"/>
      <c r="D26" s="6"/>
      <c r="E26" s="6"/>
      <c r="F26" s="6"/>
      <c r="G26" s="6">
        <v>150</v>
      </c>
      <c r="H26" s="6">
        <v>271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 spans="2:74" x14ac:dyDescent="0.2">
      <c r="B27" t="s">
        <v>43</v>
      </c>
      <c r="C27" s="3"/>
      <c r="D27" s="6"/>
      <c r="E27" s="6"/>
      <c r="F27" s="6">
        <f t="shared" ref="F27:G27" si="3">+F24-F25-F26</f>
        <v>0</v>
      </c>
      <c r="G27" s="6">
        <f t="shared" si="3"/>
        <v>1184</v>
      </c>
      <c r="H27" s="6">
        <f>+H24-H25-H26</f>
        <v>1415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</row>
    <row r="28" spans="2:74" x14ac:dyDescent="0.2">
      <c r="C28" s="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 spans="2:74" x14ac:dyDescent="0.2">
      <c r="B29" t="s">
        <v>44</v>
      </c>
      <c r="C29" s="3"/>
      <c r="D29" s="6"/>
      <c r="E29" s="6"/>
      <c r="F29" s="6"/>
      <c r="G29" s="21">
        <f t="shared" ref="G29" si="4">+G27/G30</f>
        <v>1.372269947751749</v>
      </c>
      <c r="H29" s="21">
        <f>+H27/H30</f>
        <v>1.6297825190563615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 spans="2:74" x14ac:dyDescent="0.2">
      <c r="B30" t="s">
        <v>4</v>
      </c>
      <c r="C30" s="3"/>
      <c r="D30" s="6"/>
      <c r="E30" s="6"/>
      <c r="F30" s="6"/>
      <c r="G30" s="6">
        <v>862.80399999999997</v>
      </c>
      <c r="H30" s="6">
        <v>868.21400000000006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 spans="2:74" x14ac:dyDescent="0.2"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 spans="2:74" x14ac:dyDescent="0.2">
      <c r="B32" t="s">
        <v>46</v>
      </c>
      <c r="C32" s="3"/>
      <c r="D32" s="6"/>
      <c r="E32" s="6"/>
      <c r="F32" s="6"/>
      <c r="G32" s="6"/>
      <c r="H32" s="22">
        <f>+H3/G3-1</f>
        <v>0.17325687890733876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 spans="2:74" x14ac:dyDescent="0.2">
      <c r="B33" s="1" t="s">
        <v>45</v>
      </c>
      <c r="C33" s="5"/>
      <c r="D33" s="7"/>
      <c r="E33" s="7"/>
      <c r="F33" s="7"/>
      <c r="G33" s="7"/>
      <c r="H33" s="23">
        <f>+H12/G12-1</f>
        <v>0.13381691571159138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 spans="2:74" x14ac:dyDescent="0.2">
      <c r="B34" t="s">
        <v>47</v>
      </c>
      <c r="C34" s="3"/>
      <c r="D34" s="6"/>
      <c r="E34" s="22" t="e">
        <f t="shared" ref="E34:H34" si="5">+E14/E12</f>
        <v>#DIV/0!</v>
      </c>
      <c r="F34" s="22" t="e">
        <f t="shared" si="5"/>
        <v>#DIV/0!</v>
      </c>
      <c r="G34" s="22">
        <f t="shared" si="5"/>
        <v>0.13065428695778325</v>
      </c>
      <c r="H34" s="22">
        <f>+H14/H12</f>
        <v>0.16835990480333701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 spans="2:74" x14ac:dyDescent="0.2">
      <c r="B35" t="s">
        <v>48</v>
      </c>
      <c r="C35" s="3"/>
      <c r="D35" s="6"/>
      <c r="E35" s="22" t="e">
        <f t="shared" ref="E35:H35" si="6">+E20/E12</f>
        <v>#DIV/0!</v>
      </c>
      <c r="F35" s="22" t="e">
        <f t="shared" si="6"/>
        <v>#DIV/0!</v>
      </c>
      <c r="G35" s="22">
        <f t="shared" si="6"/>
        <v>6.1627738285216886E-2</v>
      </c>
      <c r="H35" s="22">
        <f>+H20/H12</f>
        <v>5.4993986232310568E-2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 spans="2:74" x14ac:dyDescent="0.2">
      <c r="B36" t="s">
        <v>49</v>
      </c>
      <c r="C36" s="3"/>
      <c r="D36" s="6"/>
      <c r="E36" s="22" t="e">
        <f t="shared" ref="E36:H36" si="7">+E25/E24</f>
        <v>#DIV/0!</v>
      </c>
      <c r="F36" s="22" t="e">
        <f t="shared" si="7"/>
        <v>#DIV/0!</v>
      </c>
      <c r="G36" s="22">
        <f t="shared" si="7"/>
        <v>0.26743547501372872</v>
      </c>
      <c r="H36" s="22">
        <f>+H25/H24</f>
        <v>0.23813827383642114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 spans="2:74" x14ac:dyDescent="0.2"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 spans="2:74" x14ac:dyDescent="0.2">
      <c r="C38" s="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 spans="2:74" x14ac:dyDescent="0.2"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</row>
    <row r="40" spans="2:74" x14ac:dyDescent="0.2">
      <c r="C40" s="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</row>
    <row r="41" spans="2:74" x14ac:dyDescent="0.2">
      <c r="C41" s="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</row>
    <row r="42" spans="2:74" x14ac:dyDescent="0.2">
      <c r="C42" s="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</row>
    <row r="43" spans="2:74" x14ac:dyDescent="0.2">
      <c r="C43" s="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 spans="2:74" x14ac:dyDescent="0.2">
      <c r="C44" s="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 spans="2:74" x14ac:dyDescent="0.2">
      <c r="C45" s="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 spans="2:74" x14ac:dyDescent="0.2">
      <c r="C46" s="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</row>
    <row r="47" spans="2:74" x14ac:dyDescent="0.2">
      <c r="C47" s="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</row>
    <row r="48" spans="2:74" x14ac:dyDescent="0.2">
      <c r="C48" s="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 spans="3:74" x14ac:dyDescent="0.2">
      <c r="C49" s="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 spans="3:74" x14ac:dyDescent="0.2">
      <c r="C50" s="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 spans="3:74" x14ac:dyDescent="0.2"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</row>
    <row r="52" spans="3:74" x14ac:dyDescent="0.2">
      <c r="C52" s="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 spans="3:74" x14ac:dyDescent="0.2">
      <c r="C53" s="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 spans="3:74" x14ac:dyDescent="0.2"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 spans="3:74" x14ac:dyDescent="0.2">
      <c r="C55" s="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 spans="3:74" x14ac:dyDescent="0.2"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 spans="3:74" x14ac:dyDescent="0.2">
      <c r="C57" s="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 spans="3:74" x14ac:dyDescent="0.2">
      <c r="C58" s="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 spans="3:74" x14ac:dyDescent="0.2">
      <c r="C59" s="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 spans="3:74" x14ac:dyDescent="0.2">
      <c r="C60" s="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 spans="3:74" x14ac:dyDescent="0.2">
      <c r="C61" s="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 spans="3:74" x14ac:dyDescent="0.2">
      <c r="C62" s="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</row>
    <row r="63" spans="3:74" x14ac:dyDescent="0.2">
      <c r="C63" s="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 spans="3:74" x14ac:dyDescent="0.2"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 spans="3:74" x14ac:dyDescent="0.2"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 spans="3:74" x14ac:dyDescent="0.2">
      <c r="C66" s="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 spans="3:74" x14ac:dyDescent="0.2">
      <c r="C67" s="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 spans="3:74" x14ac:dyDescent="0.2">
      <c r="C68" s="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 spans="3:74" x14ac:dyDescent="0.2">
      <c r="C69" s="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 spans="3:74" x14ac:dyDescent="0.2">
      <c r="C70" s="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 spans="3:74" x14ac:dyDescent="0.2"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 spans="3:74" x14ac:dyDescent="0.2">
      <c r="C72" s="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 spans="3:74" x14ac:dyDescent="0.2">
      <c r="C73" s="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 spans="3:74" x14ac:dyDescent="0.2">
      <c r="C74" s="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 spans="3:74" x14ac:dyDescent="0.2"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 spans="3:74" x14ac:dyDescent="0.2">
      <c r="C76" s="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 spans="3:74" x14ac:dyDescent="0.2">
      <c r="C77" s="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 spans="3:74" x14ac:dyDescent="0.2"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</row>
    <row r="79" spans="3:74" x14ac:dyDescent="0.2">
      <c r="C79" s="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</row>
    <row r="80" spans="3:74" x14ac:dyDescent="0.2">
      <c r="C80" s="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 spans="3:74" x14ac:dyDescent="0.2">
      <c r="C81" s="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</row>
    <row r="82" spans="3:74" x14ac:dyDescent="0.2">
      <c r="C82" s="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 spans="3:74" x14ac:dyDescent="0.2">
      <c r="C83" s="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</row>
    <row r="84" spans="3:74" x14ac:dyDescent="0.2">
      <c r="C84" s="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</row>
    <row r="85" spans="3:74" x14ac:dyDescent="0.2">
      <c r="C85" s="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</row>
    <row r="86" spans="3:74" x14ac:dyDescent="0.2">
      <c r="C86" s="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 spans="3:74" x14ac:dyDescent="0.2">
      <c r="C87" s="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 spans="3:74" x14ac:dyDescent="0.2"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 spans="3:74" x14ac:dyDescent="0.2">
      <c r="C89" s="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 spans="3:74" x14ac:dyDescent="0.2">
      <c r="C90" s="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 spans="3:74" x14ac:dyDescent="0.2">
      <c r="C91" s="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 spans="3:74" x14ac:dyDescent="0.2">
      <c r="C92" s="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 spans="3:74" x14ac:dyDescent="0.2">
      <c r="C93" s="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 spans="3:74" x14ac:dyDescent="0.2">
      <c r="C94" s="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 spans="3:74" x14ac:dyDescent="0.2">
      <c r="C95" s="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 spans="3:74" x14ac:dyDescent="0.2">
      <c r="C96" s="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 spans="3:74" x14ac:dyDescent="0.2">
      <c r="C97" s="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</row>
    <row r="98" spans="3:74" x14ac:dyDescent="0.2">
      <c r="C98" s="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</row>
    <row r="99" spans="3:74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3:74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3:74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3:74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3:74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3:74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3:7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3:74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3:74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3:74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3:74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3:74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3:74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3:74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3:34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3:34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3:34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3:34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3:34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3:34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3:34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3:34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3:34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3:34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3:34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3:34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3:34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3:34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3:34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3:34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3:34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3:34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3:34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3:34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3:34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3:34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3:34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3:34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3:34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3:34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3:34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3:34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3:34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3:34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3:34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3:34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3:34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3:34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3:34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3:34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3:34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3:34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3:34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3:34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3:34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3:34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3:34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3:34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3:34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3:34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3:34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3:34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3:34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3:34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3:34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3:34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3:34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3:34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3:34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3:34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3:34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3:34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3:34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3:34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3:34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3:34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3:34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3:34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3:34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3:34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3:34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3:34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3:34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3:34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3:34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3:34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3:34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3:34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3:34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3:34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3:34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3:34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3:34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3:34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3:34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3:34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3:34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3:34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3:34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3:34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3:34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3:34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3:34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3:34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3:34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3:34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3:34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3:34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3:34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3:34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3:34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3:34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3:34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3:34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3:34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3:34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3:34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3:34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3:34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3:34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3:34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3:34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3:34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3:34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3:34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3:34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3:34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3:34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3:34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3:34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3:34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3:34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3:34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3:34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3:34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3:34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3:34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3:34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3:34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3:34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3:34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3:34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3:34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3:34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3:34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3:34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3:34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3:34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3:34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3:34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3:34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3:34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3:34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3:34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3:34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3:34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3:34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3:34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3:34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3:34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3:34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3:34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3:34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3:34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3:34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3:34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3:34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3:34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3:34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3:34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3:34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3:34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3:34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3:34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3:34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3:34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3:34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3:34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3:34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3:34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3:34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3:34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3:34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3:34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3:34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3:34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3:34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3:34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3:34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3:34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3:34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3:34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3:34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3:34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3:34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3:34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3:34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3:34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3:34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3:34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3:34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3:34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3:34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3:34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3:34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3:34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3:34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3:34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3:34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3:34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3:34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3:34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3:34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3:34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3:34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3:34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3:34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3:34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3:34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3:34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3:34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3:34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3:34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3:34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3:34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3:34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3:34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3:34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3:34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3:34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3:34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3:34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3:34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3:34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3:34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3:34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3:34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3:34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3:34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3:34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3:34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3:34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3:34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3:34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3:34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3:34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3:34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3:34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3:34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3:34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3:34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3:34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3:34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3:34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3:34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3:34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3:34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3:34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3:34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3:34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3:34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3:34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3:34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3:34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3:34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3:34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3:34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3:34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3:34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3:34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3:34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3:34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3:34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3:34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3:34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3:34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3:34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3:34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3:34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3:34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3:34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3:34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3:34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3:34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3:34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3:34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3:34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3:34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3:34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3:34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3:34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3:34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3:34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3:34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3:34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3:34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3:34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3:34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3:34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3:34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3:34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3:34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3:34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3:34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3:34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3:34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3:34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3:34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3:34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3:34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3:34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3:34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3:34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3:34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3:34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3:34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3:34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3:34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3:34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3:34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3:34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3:34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3:34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3:34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3:34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3:34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3:34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3:34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3:34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3:34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3:34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3:34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3:34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3:34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3:34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3:34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3:34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3:34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3:34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3:34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3:34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3:34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3:34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3:34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3:34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3:34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3:34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3:34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3:34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3:34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3:34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3:34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3:34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3:34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3:34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3:34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3:34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3:34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3:34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3:34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3:34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3:34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3:34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3:34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3:34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3:34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3:34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3:34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3:34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3:34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3:34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3:34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3:34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3:34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3:34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3:34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3:34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3:34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3:34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3:34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3:34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3:34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3:34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3:34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3:34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3:34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3:34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3:34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3:34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3:34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3:34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3:34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3:34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3:34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3:34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3:34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3:34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3:34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3:34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3:34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3:34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3:34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3:34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3:34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3:34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3:34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3:34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3:34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3:34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3:34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3:34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3:34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3:34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3:34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3:34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3:34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3:34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3:34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3:34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3:34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3:34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3:34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3:34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3:34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3:34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3:34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3:34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3:34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3:34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3:34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3:34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3:34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3:34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3:34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3:34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3:34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3:34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3:34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3:34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3:34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3:34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3:34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3:34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3:34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3:34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3:34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3:34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3:34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3:34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3:34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3:34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3:34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3:34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3:34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3:34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3:34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3:34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3:34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3:34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3:34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3:34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3:34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3:34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3:34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3:34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3:34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3:34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3:34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3:34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3:34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3:34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3:34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3:34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3:34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3:34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3:34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3:34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3:34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3:34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3:34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3:34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3:34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3:34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3:34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3:34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3:34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3:34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3:34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3:34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3:34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3:34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3:34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3:34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3:34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3:34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3:34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3:34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3:34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3:34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3:34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3:34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3:34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3:34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3:34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3:34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3:34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3:34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3:34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3:34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3:34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3:34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3:34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3:34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3:34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3:34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3:34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3:34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3:34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3:34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3:34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3:34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3:34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3:34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3:34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3:34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3:34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3:34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3:34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3:34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3:34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3:34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3:34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3:34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3:34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3:34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3:34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3:34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3:34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3:34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3:34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3:34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3:34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3:34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3:34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3:34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3:34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3:34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3:34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3:34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3:34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3:34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3:34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3:34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3:34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3:34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3:34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3:34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3:34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3:34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3:34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3:34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3:34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3:34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3:34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3:34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3:34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3:34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3:34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3:34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3:34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3:34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3:34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3:34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3:34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3:34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3:34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3:34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3:34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3:34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3:34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3:34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3:34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3:34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3:34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3:34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3:34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3:34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3:34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3:34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3:34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3:34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3:34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3:34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3:34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3:34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3:34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3:34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3:34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3:34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3:34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3:34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3:34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3:34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3:34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3:34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3:34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3:34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3:34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3:34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3:34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3:34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3:34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3:34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3:34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3:34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3:34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3:34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3:34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3:34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3:34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3:34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3:34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3:34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3:34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3:34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3:34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3:34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3:34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3:34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3:34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3:34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3:34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3:34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3:34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3:34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3:34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3:34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3:34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3:34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3:34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3:34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3:34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3:34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3:34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3:34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3:34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3:34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3:34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3:34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3:34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3:34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3:34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3:34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3:34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3:34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3:34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3:34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3:34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3:34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3:34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3:34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3:34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3:34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3:34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3:34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3:34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3:34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3:34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3:34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3:34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3:34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3:34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3:34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3:34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3:34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3:34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3:34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3:34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3:34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3:34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3:34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3:34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3:34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3:34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3:34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3:34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3:34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3:34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3:34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3:34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3:34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3:34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3:34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3:34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3:34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3:34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3:34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3:34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3:34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3:34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3:34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3:34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3:34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3:34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3:34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3:34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3:34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3:34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3:34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3:34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3:34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3:34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3:34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3:34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3:34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3:34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3:34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3:34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3:34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3:34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3:34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3:34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3:34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3:34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3:34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3:34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3:34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3:34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3:34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3:34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3:34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3:34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3:34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3:34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3:34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3:34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3:34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3:34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3:34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3:34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3:34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3:34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3:34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3:34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3:34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3:34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3:34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3:34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3:34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3:34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3:34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3:34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3:34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3:34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3:34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3:34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3:34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3:34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3:34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3:34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3:34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3:34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3:34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3:34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3:34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3:34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3:34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3:34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3:34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3:34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3:34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3:34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3:34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3:34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3:34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3:34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3:34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3:34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3:34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3:34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3:34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3:34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3:34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3:34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3:34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3:34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3:34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3:34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3:34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3:34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3:34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3:34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3:34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3:34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3:34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3:34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3:34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3:34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3:34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3:34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3:34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3:34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3:34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3:34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3:34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3:34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3:34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3:34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3:34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3:34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3:34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3:34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3:34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3:34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3:34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3:34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3:34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3:34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3:34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3:34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3:34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3:34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3:34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3:34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3:34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3:34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3:34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3:34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3:34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3:34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3:34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3:34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3:34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3:34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3:34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3:34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3:34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3:34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3:34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3:34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3:34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3:34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3:34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3:34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3:34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3:34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3:34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3:34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3:34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3:34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3:34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3:34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3:34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3:34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3:34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3:34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3:34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3:34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3:34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3:34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3:34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3:34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3:34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3:34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3:34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3:34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3:34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3:34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3:34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3:34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3:34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3:34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3:34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3:34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3:34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3:34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3:34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3:34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3:34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3:34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3:34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3:34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3:34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3:34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3:34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3:34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3:34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3:34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3:34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3:34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3:34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3:34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3:34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3:34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3:34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3:34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3:34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3:34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3:34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3:34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3:34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3:34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3:34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spans="3:34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spans="3:34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spans="3:34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spans="3:34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spans="3:34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spans="3:34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spans="3:34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3:34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spans="3:34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  <row r="1011" spans="3:34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</row>
    <row r="1012" spans="3:34" x14ac:dyDescent="0.2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</row>
    <row r="1013" spans="3:34" x14ac:dyDescent="0.2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</row>
    <row r="1014" spans="3:34" x14ac:dyDescent="0.2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</row>
    <row r="1015" spans="3:34" x14ac:dyDescent="0.2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</row>
    <row r="1016" spans="3:34" x14ac:dyDescent="0.2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</row>
    <row r="1017" spans="3:34" x14ac:dyDescent="0.2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</row>
    <row r="1018" spans="3:34" x14ac:dyDescent="0.2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</row>
    <row r="1019" spans="3:34" x14ac:dyDescent="0.2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</row>
    <row r="1020" spans="3:34" x14ac:dyDescent="0.2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</row>
    <row r="1021" spans="3:34" x14ac:dyDescent="0.2"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</row>
    <row r="1022" spans="3:34" x14ac:dyDescent="0.2"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</row>
    <row r="1023" spans="3:34" x14ac:dyDescent="0.2"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</row>
    <row r="1024" spans="3:34" x14ac:dyDescent="0.2"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</row>
    <row r="1025" spans="3:34" x14ac:dyDescent="0.2"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</row>
    <row r="1026" spans="3:34" x14ac:dyDescent="0.2"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</row>
    <row r="1027" spans="3:34" x14ac:dyDescent="0.2"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</row>
    <row r="1028" spans="3:34" x14ac:dyDescent="0.2"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</row>
    <row r="1029" spans="3:34" x14ac:dyDescent="0.2"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</row>
    <row r="1030" spans="3:34" x14ac:dyDescent="0.2"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</row>
    <row r="1031" spans="3:34" x14ac:dyDescent="0.2"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</row>
    <row r="1032" spans="3:34" x14ac:dyDescent="0.2"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</row>
    <row r="1033" spans="3:34" x14ac:dyDescent="0.2"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</row>
    <row r="1034" spans="3:34" x14ac:dyDescent="0.2"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</row>
    <row r="1035" spans="3:34" x14ac:dyDescent="0.2"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</row>
    <row r="1036" spans="3:34" x14ac:dyDescent="0.2"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</row>
    <row r="1037" spans="3:34" x14ac:dyDescent="0.2"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</row>
    <row r="1038" spans="3:34" x14ac:dyDescent="0.2"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</row>
    <row r="1039" spans="3:34" x14ac:dyDescent="0.2"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</row>
    <row r="1040" spans="3:34" x14ac:dyDescent="0.2"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</row>
    <row r="1041" spans="3:34" x14ac:dyDescent="0.2"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</row>
    <row r="1042" spans="3:34" x14ac:dyDescent="0.2"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</row>
    <row r="1043" spans="3:34" x14ac:dyDescent="0.2"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</row>
    <row r="1044" spans="3:34" x14ac:dyDescent="0.2"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</row>
    <row r="1045" spans="3:34" x14ac:dyDescent="0.2"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</row>
    <row r="1046" spans="3:34" x14ac:dyDescent="0.2"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</row>
    <row r="1047" spans="3:34" x14ac:dyDescent="0.2"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</row>
    <row r="1048" spans="3:34" x14ac:dyDescent="0.2"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</row>
    <row r="1049" spans="3:34" x14ac:dyDescent="0.2"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</row>
    <row r="1050" spans="3:34" x14ac:dyDescent="0.2"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</row>
    <row r="1051" spans="3:34" x14ac:dyDescent="0.2"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</row>
    <row r="1052" spans="3:34" x14ac:dyDescent="0.2"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</row>
    <row r="1053" spans="3:34" x14ac:dyDescent="0.2"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4" spans="3:34" x14ac:dyDescent="0.2"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</row>
    <row r="1055" spans="3:34" x14ac:dyDescent="0.2"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</row>
    <row r="1056" spans="3:34" x14ac:dyDescent="0.2"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</row>
    <row r="1057" spans="3:34" x14ac:dyDescent="0.2"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</row>
    <row r="1058" spans="3:34" x14ac:dyDescent="0.2"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</row>
    <row r="1059" spans="3:34" x14ac:dyDescent="0.2"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</row>
    <row r="1060" spans="3:34" x14ac:dyDescent="0.2"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</row>
    <row r="1061" spans="3:34" x14ac:dyDescent="0.2"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</row>
    <row r="1062" spans="3:34" x14ac:dyDescent="0.2"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</row>
    <row r="1063" spans="3:34" x14ac:dyDescent="0.2"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</row>
    <row r="1064" spans="3:34" x14ac:dyDescent="0.2"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</row>
    <row r="1065" spans="3:34" x14ac:dyDescent="0.2"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</row>
    <row r="1066" spans="3:34" x14ac:dyDescent="0.2"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</row>
    <row r="1067" spans="3:34" x14ac:dyDescent="0.2"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</row>
    <row r="1068" spans="3:34" x14ac:dyDescent="0.2"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</row>
    <row r="1069" spans="3:34" x14ac:dyDescent="0.2"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</row>
    <row r="1070" spans="3:34" x14ac:dyDescent="0.2"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</row>
    <row r="1071" spans="3:34" x14ac:dyDescent="0.2"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</row>
    <row r="1072" spans="3:34" x14ac:dyDescent="0.2"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</row>
    <row r="1073" spans="3:34" x14ac:dyDescent="0.2"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</row>
    <row r="1074" spans="3:34" x14ac:dyDescent="0.2"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</row>
    <row r="1075" spans="3:34" x14ac:dyDescent="0.2"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</row>
    <row r="1076" spans="3:34" x14ac:dyDescent="0.2"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</row>
    <row r="1077" spans="3:34" x14ac:dyDescent="0.2"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</row>
    <row r="1078" spans="3:34" x14ac:dyDescent="0.2"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</row>
    <row r="1079" spans="3:34" x14ac:dyDescent="0.2"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</row>
    <row r="1080" spans="3:34" x14ac:dyDescent="0.2"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</row>
    <row r="1081" spans="3:34" x14ac:dyDescent="0.2"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</row>
    <row r="1082" spans="3:34" x14ac:dyDescent="0.2"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</row>
    <row r="1083" spans="3:34" x14ac:dyDescent="0.2"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</row>
    <row r="1084" spans="3:34" x14ac:dyDescent="0.2"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</row>
    <row r="1085" spans="3:34" x14ac:dyDescent="0.2"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</row>
    <row r="1086" spans="3:34" x14ac:dyDescent="0.2"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</row>
    <row r="1087" spans="3:34" x14ac:dyDescent="0.2"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</row>
    <row r="1088" spans="3:34" x14ac:dyDescent="0.2"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</row>
    <row r="1089" spans="3:34" x14ac:dyDescent="0.2"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</row>
    <row r="1090" spans="3:34" x14ac:dyDescent="0.2"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</row>
    <row r="1091" spans="3:34" x14ac:dyDescent="0.2"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</row>
    <row r="1092" spans="3:34" x14ac:dyDescent="0.2"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</row>
    <row r="1093" spans="3:34" x14ac:dyDescent="0.2"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</row>
    <row r="1094" spans="3:34" x14ac:dyDescent="0.2"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</row>
    <row r="1095" spans="3:34" x14ac:dyDescent="0.2"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</row>
    <row r="1096" spans="3:34" x14ac:dyDescent="0.2"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</row>
    <row r="1097" spans="3:34" x14ac:dyDescent="0.2"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</row>
    <row r="1098" spans="3:34" x14ac:dyDescent="0.2"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</row>
    <row r="1099" spans="3:34" x14ac:dyDescent="0.2"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</row>
    <row r="1100" spans="3:34" x14ac:dyDescent="0.2"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</row>
    <row r="1101" spans="3:34" x14ac:dyDescent="0.2"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</row>
    <row r="1102" spans="3:34" x14ac:dyDescent="0.2"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</row>
    <row r="1103" spans="3:34" x14ac:dyDescent="0.2"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</row>
    <row r="1104" spans="3:34" x14ac:dyDescent="0.2"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</row>
    <row r="1105" spans="3:34" x14ac:dyDescent="0.2"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6" spans="3:34" x14ac:dyDescent="0.2"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</row>
    <row r="1107" spans="3:34" x14ac:dyDescent="0.2"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</row>
    <row r="1108" spans="3:34" x14ac:dyDescent="0.2"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</row>
    <row r="1109" spans="3:34" x14ac:dyDescent="0.2"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</row>
    <row r="1110" spans="3:34" x14ac:dyDescent="0.2"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</row>
    <row r="1111" spans="3:34" x14ac:dyDescent="0.2"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</row>
    <row r="1112" spans="3:34" x14ac:dyDescent="0.2"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</row>
    <row r="1113" spans="3:34" x14ac:dyDescent="0.2"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</row>
    <row r="1114" spans="3:34" x14ac:dyDescent="0.2"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</row>
    <row r="1115" spans="3:34" x14ac:dyDescent="0.2"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</row>
    <row r="1116" spans="3:34" x14ac:dyDescent="0.2"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</row>
    <row r="1117" spans="3:34" x14ac:dyDescent="0.2"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</row>
    <row r="1118" spans="3:34" x14ac:dyDescent="0.2"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</row>
    <row r="1119" spans="3:34" x14ac:dyDescent="0.2"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</row>
    <row r="1120" spans="3:34" x14ac:dyDescent="0.2"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</row>
    <row r="1121" spans="3:34" x14ac:dyDescent="0.2"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</row>
    <row r="1122" spans="3:34" x14ac:dyDescent="0.2"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</row>
    <row r="1123" spans="3:34" x14ac:dyDescent="0.2"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</row>
    <row r="1124" spans="3:34" x14ac:dyDescent="0.2"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</row>
    <row r="1125" spans="3:34" x14ac:dyDescent="0.2"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</row>
    <row r="1126" spans="3:34" x14ac:dyDescent="0.2"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</row>
    <row r="1127" spans="3:34" x14ac:dyDescent="0.2"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</row>
    <row r="1128" spans="3:34" x14ac:dyDescent="0.2"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</row>
    <row r="1129" spans="3:34" x14ac:dyDescent="0.2"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</row>
    <row r="1130" spans="3:34" x14ac:dyDescent="0.2"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</row>
    <row r="1131" spans="3:34" x14ac:dyDescent="0.2"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</row>
    <row r="1132" spans="3:34" x14ac:dyDescent="0.2"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</row>
    <row r="1133" spans="3:34" x14ac:dyDescent="0.2"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</row>
    <row r="1134" spans="3:34" x14ac:dyDescent="0.2"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</row>
    <row r="1135" spans="3:34" x14ac:dyDescent="0.2"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</row>
    <row r="1136" spans="3:34" x14ac:dyDescent="0.2"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</row>
    <row r="1137" spans="3:34" x14ac:dyDescent="0.2"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</row>
    <row r="1138" spans="3:34" x14ac:dyDescent="0.2"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</row>
    <row r="1139" spans="3:34" x14ac:dyDescent="0.2"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</row>
    <row r="1140" spans="3:34" x14ac:dyDescent="0.2"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</row>
    <row r="1141" spans="3:34" x14ac:dyDescent="0.2"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</row>
    <row r="1142" spans="3:34" x14ac:dyDescent="0.2"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</row>
    <row r="1143" spans="3:34" x14ac:dyDescent="0.2"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</row>
    <row r="1144" spans="3:34" x14ac:dyDescent="0.2"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</row>
    <row r="1145" spans="3:34" x14ac:dyDescent="0.2"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</row>
    <row r="1146" spans="3:34" x14ac:dyDescent="0.2"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</row>
    <row r="1147" spans="3:34" x14ac:dyDescent="0.2"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</row>
    <row r="1148" spans="3:34" x14ac:dyDescent="0.2"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</row>
    <row r="1149" spans="3:34" x14ac:dyDescent="0.2"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</row>
    <row r="1150" spans="3:34" x14ac:dyDescent="0.2"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</row>
    <row r="1151" spans="3:34" x14ac:dyDescent="0.2"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</row>
    <row r="1152" spans="3:34" x14ac:dyDescent="0.2"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</row>
  </sheetData>
  <hyperlinks>
    <hyperlink ref="A1" location="Main!A1" display="Main" xr:uid="{4F982F72-9EE7-4CE0-900F-D91C47CC16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2026-01-02T10:44:03Z</dcterms:created>
  <dcterms:modified xsi:type="dcterms:W3CDTF">2026-01-02T11:08:32Z</dcterms:modified>
</cp:coreProperties>
</file>