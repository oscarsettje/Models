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755D9B4-2020-434F-A283-B6B93A0708CF}" xr6:coauthVersionLast="47" xr6:coauthVersionMax="47" xr10:uidLastSave="{00000000-0000-0000-0000-000000000000}"/>
  <bookViews>
    <workbookView xWindow="19095" yWindow="0" windowWidth="19410" windowHeight="20925" activeTab="1" xr2:uid="{B503D4ED-6C28-4F3F-8B49-F2AD3EFBCEC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Q35" i="2"/>
  <c r="R35" i="2"/>
  <c r="R38" i="2"/>
  <c r="Q38" i="2"/>
  <c r="P38" i="2"/>
  <c r="O38" i="2"/>
  <c r="N38" i="2"/>
  <c r="M38" i="2"/>
  <c r="L38" i="2"/>
  <c r="R37" i="2"/>
  <c r="Q37" i="2"/>
  <c r="P37" i="2"/>
  <c r="O37" i="2"/>
  <c r="N37" i="2"/>
  <c r="M37" i="2"/>
  <c r="L37" i="2"/>
  <c r="R36" i="2"/>
  <c r="Q36" i="2"/>
  <c r="P36" i="2"/>
  <c r="O36" i="2"/>
  <c r="N36" i="2"/>
  <c r="M36" i="2"/>
  <c r="L36" i="2"/>
  <c r="I38" i="2"/>
  <c r="H38" i="2"/>
  <c r="G38" i="2"/>
  <c r="I37" i="2"/>
  <c r="H37" i="2"/>
  <c r="G37" i="2"/>
  <c r="I36" i="2"/>
  <c r="H36" i="2"/>
  <c r="G36" i="2"/>
  <c r="J38" i="2"/>
  <c r="J37" i="2"/>
  <c r="J36" i="2"/>
  <c r="I35" i="2"/>
  <c r="H35" i="2"/>
  <c r="G35" i="2"/>
  <c r="J35" i="2"/>
  <c r="H29" i="2"/>
  <c r="H27" i="2"/>
  <c r="H25" i="2"/>
  <c r="H24" i="2"/>
  <c r="H23" i="2"/>
  <c r="H22" i="2"/>
  <c r="H20" i="2"/>
  <c r="H19" i="2"/>
  <c r="H18" i="2"/>
  <c r="H16" i="2"/>
  <c r="H15" i="2"/>
  <c r="H14" i="2"/>
  <c r="H17" i="2" s="1"/>
  <c r="H13" i="2"/>
  <c r="H11" i="2"/>
  <c r="H10" i="2"/>
  <c r="H9" i="2"/>
  <c r="H8" i="2"/>
  <c r="J29" i="2"/>
  <c r="J27" i="2"/>
  <c r="J25" i="2"/>
  <c r="J24" i="2"/>
  <c r="J23" i="2"/>
  <c r="J22" i="2"/>
  <c r="J20" i="2"/>
  <c r="J19" i="2"/>
  <c r="J18" i="2"/>
  <c r="J16" i="2"/>
  <c r="J15" i="2"/>
  <c r="J14" i="2"/>
  <c r="J13" i="2"/>
  <c r="J12" i="2"/>
  <c r="J11" i="2"/>
  <c r="J10" i="2"/>
  <c r="J9" i="2"/>
  <c r="J8" i="2"/>
  <c r="R32" i="2"/>
  <c r="Q32" i="2"/>
  <c r="I7" i="1"/>
  <c r="I6" i="1"/>
  <c r="R30" i="2"/>
  <c r="R28" i="2"/>
  <c r="R26" i="2"/>
  <c r="R21" i="2"/>
  <c r="R17" i="2"/>
  <c r="I30" i="2"/>
  <c r="F30" i="2"/>
  <c r="E30" i="2"/>
  <c r="D30" i="2"/>
  <c r="I28" i="2"/>
  <c r="F28" i="2"/>
  <c r="E28" i="2"/>
  <c r="D28" i="2"/>
  <c r="C28" i="2"/>
  <c r="Q26" i="2"/>
  <c r="I26" i="2"/>
  <c r="F26" i="2"/>
  <c r="E26" i="2"/>
  <c r="D26" i="2"/>
  <c r="C26" i="2"/>
  <c r="I21" i="2"/>
  <c r="F21" i="2"/>
  <c r="E21" i="2"/>
  <c r="I17" i="2"/>
  <c r="G17" i="2"/>
  <c r="G21" i="2" s="1"/>
  <c r="G26" i="2" s="1"/>
  <c r="G28" i="2" s="1"/>
  <c r="G30" i="2" s="1"/>
  <c r="F17" i="2"/>
  <c r="E17" i="2"/>
  <c r="D17" i="2"/>
  <c r="C17" i="2"/>
  <c r="P17" i="2"/>
  <c r="P21" i="2" s="1"/>
  <c r="P26" i="2" s="1"/>
  <c r="P28" i="2" s="1"/>
  <c r="P30" i="2" s="1"/>
  <c r="O17" i="2"/>
  <c r="O21" i="2" s="1"/>
  <c r="O26" i="2" s="1"/>
  <c r="O28" i="2" s="1"/>
  <c r="O30" i="2" s="1"/>
  <c r="N17" i="2"/>
  <c r="N21" i="2" s="1"/>
  <c r="N26" i="2" s="1"/>
  <c r="N28" i="2" s="1"/>
  <c r="N30" i="2" s="1"/>
  <c r="M17" i="2"/>
  <c r="M21" i="2" s="1"/>
  <c r="M26" i="2" s="1"/>
  <c r="M28" i="2" s="1"/>
  <c r="M30" i="2" s="1"/>
  <c r="L17" i="2"/>
  <c r="L21" i="2" s="1"/>
  <c r="L26" i="2" s="1"/>
  <c r="L28" i="2" s="1"/>
  <c r="L30" i="2" s="1"/>
  <c r="Q17" i="2"/>
  <c r="Q21" i="2" s="1"/>
  <c r="Q28" i="2" s="1"/>
  <c r="Q30" i="2" s="1"/>
  <c r="I5" i="1"/>
  <c r="H21" i="2" l="1"/>
  <c r="H26" i="2" s="1"/>
  <c r="H28" i="2" s="1"/>
  <c r="H30" i="2" s="1"/>
  <c r="J17" i="2"/>
  <c r="J21" i="2" s="1"/>
  <c r="J26" i="2" s="1"/>
  <c r="J28" i="2" s="1"/>
  <c r="J30" i="2" s="1"/>
  <c r="I8" i="1"/>
</calcChain>
</file>

<file path=xl/sharedStrings.xml><?xml version="1.0" encoding="utf-8"?>
<sst xmlns="http://schemas.openxmlformats.org/spreadsheetml/2006/main" count="81" uniqueCount="78">
  <si>
    <t>Swatch Group</t>
  </si>
  <si>
    <t>numbers in mio CFH</t>
  </si>
  <si>
    <t>Price</t>
  </si>
  <si>
    <t>Shares</t>
  </si>
  <si>
    <t>MC</t>
  </si>
  <si>
    <t>Cash</t>
  </si>
  <si>
    <t>Debt</t>
  </si>
  <si>
    <t>EV</t>
  </si>
  <si>
    <t>Watches:</t>
  </si>
  <si>
    <t>Prestige and luxury range</t>
  </si>
  <si>
    <t>Berguet, Harry Winston, Blancpain, Glashütte, Jaquet Droz, Omega</t>
  </si>
  <si>
    <t>High Range</t>
  </si>
  <si>
    <t>Logines, Rado, Union Glasshütte</t>
  </si>
  <si>
    <t>Middle Range</t>
  </si>
  <si>
    <t>Tissot, Balmain, Certina, Mido, Hamilton</t>
  </si>
  <si>
    <t>Basic Range</t>
  </si>
  <si>
    <t>Swatch, Flik Flak</t>
  </si>
  <si>
    <t>Electronic Systems</t>
  </si>
  <si>
    <t>Production:</t>
  </si>
  <si>
    <t>Retailing:</t>
  </si>
  <si>
    <t>Tourbillon, Hour Passions</t>
  </si>
  <si>
    <t>ETA, Meco, DYB, Comadur etc.</t>
  </si>
  <si>
    <t>Electornic Systems</t>
  </si>
  <si>
    <t>EM Microelectronic, Renata, Micro Crystal, Swiss Timing ans ST Sportservice</t>
  </si>
  <si>
    <t>Coporate:</t>
  </si>
  <si>
    <t>Swatch Group Recherche and Development</t>
  </si>
  <si>
    <t>Notes</t>
  </si>
  <si>
    <t>New Moonswatches</t>
  </si>
  <si>
    <t>Main</t>
  </si>
  <si>
    <t>FY19</t>
  </si>
  <si>
    <t>FY20</t>
  </si>
  <si>
    <t>FY21</t>
  </si>
  <si>
    <t>FY22</t>
  </si>
  <si>
    <t>FY23</t>
  </si>
  <si>
    <t>FY24</t>
  </si>
  <si>
    <t>Revenue</t>
  </si>
  <si>
    <t>Watches &amp; Jewelery</t>
  </si>
  <si>
    <t xml:space="preserve">Elimination </t>
  </si>
  <si>
    <t>Europe Revenue</t>
  </si>
  <si>
    <t>Asia Revenue</t>
  </si>
  <si>
    <t>Americe Revenue</t>
  </si>
  <si>
    <t>Oceania Revenue</t>
  </si>
  <si>
    <t>Afirca Revenue</t>
  </si>
  <si>
    <t>Other operating Income</t>
  </si>
  <si>
    <t>Changes in Inventory</t>
  </si>
  <si>
    <t>Material Purchases</t>
  </si>
  <si>
    <t>Personal Expense</t>
  </si>
  <si>
    <t>Gross Profit</t>
  </si>
  <si>
    <t>Depreciation</t>
  </si>
  <si>
    <t>Amortization</t>
  </si>
  <si>
    <t>Other operating expenses</t>
  </si>
  <si>
    <t>Operating Income</t>
  </si>
  <si>
    <t>Financial income</t>
  </si>
  <si>
    <t>Interest Expense</t>
  </si>
  <si>
    <t>Pretax Income</t>
  </si>
  <si>
    <t>Tax Expense</t>
  </si>
  <si>
    <t>Net Income</t>
  </si>
  <si>
    <t>Minority Interest</t>
  </si>
  <si>
    <t>Net Income to Group</t>
  </si>
  <si>
    <t>IR</t>
  </si>
  <si>
    <t>UHR.SW</t>
  </si>
  <si>
    <t>CEO: Nicloas Hayek</t>
  </si>
  <si>
    <t>Founded: 1983</t>
  </si>
  <si>
    <t>H122</t>
  </si>
  <si>
    <t>H222</t>
  </si>
  <si>
    <t>H123</t>
  </si>
  <si>
    <t>H223</t>
  </si>
  <si>
    <t>H124</t>
  </si>
  <si>
    <t>H224</t>
  </si>
  <si>
    <t>H125</t>
  </si>
  <si>
    <t>H225</t>
  </si>
  <si>
    <t>Loss from subsidaries</t>
  </si>
  <si>
    <t>Corporate</t>
  </si>
  <si>
    <t>FY25</t>
  </si>
  <si>
    <t>Non-operating result</t>
  </si>
  <si>
    <t>EPS</t>
  </si>
  <si>
    <t>Q425</t>
  </si>
  <si>
    <t>Revenue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</si>
</sst>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;\(#,##0\)"/>
    <numFmt numFmtId="166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15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0" fontId="5" fillId="0" borderId="0" xfId="1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  <xf numFmtId="165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right"/>
    </xf>
    <xf numFmtId="166" fontId="2" fillId="0" borderId="0" xfId="0" applyNumberFormat="1" applyFont="1"/>
    <xf numFmtId="9" fontId="2" fillId="0" borderId="0" xfId="2" applyFont="1"/>
    <xf numFmtId="9" fontId="4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watchgroup.com/en/investors-spa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5E08-6EEC-4C67-B315-8755F2D5AADB}">
  <dimension ref="A1:J35"/>
  <sheetViews>
    <sheetView topLeftCell="B1" zoomScale="200" zoomScaleNormal="200" workbookViewId="0">
      <selection activeCell="E11" sqref="E11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</row>
    <row r="3" spans="1:10" x14ac:dyDescent="0.2">
      <c r="H3" s="2" t="s">
        <v>2</v>
      </c>
      <c r="I3" s="3">
        <v>177.95</v>
      </c>
    </row>
    <row r="4" spans="1:10" x14ac:dyDescent="0.2">
      <c r="B4" s="4" t="s">
        <v>59</v>
      </c>
      <c r="H4" s="2" t="s">
        <v>3</v>
      </c>
      <c r="I4" s="5">
        <f>28.861731+(115.212126*0.2)</f>
        <v>51.904156200000003</v>
      </c>
      <c r="J4" s="11" t="s">
        <v>76</v>
      </c>
    </row>
    <row r="5" spans="1:10" x14ac:dyDescent="0.2">
      <c r="B5" s="2" t="s">
        <v>60</v>
      </c>
      <c r="H5" s="2" t="s">
        <v>4</v>
      </c>
      <c r="I5" s="5">
        <f>+I3*I4</f>
        <v>9236.3445957900003</v>
      </c>
    </row>
    <row r="6" spans="1:10" x14ac:dyDescent="0.2">
      <c r="H6" s="2" t="s">
        <v>5</v>
      </c>
      <c r="I6" s="5">
        <f>1010+221</f>
        <v>1231</v>
      </c>
      <c r="J6" s="11" t="s">
        <v>76</v>
      </c>
    </row>
    <row r="7" spans="1:10" x14ac:dyDescent="0.2">
      <c r="H7" s="2" t="s">
        <v>6</v>
      </c>
      <c r="I7" s="5">
        <f>36+2</f>
        <v>38</v>
      </c>
      <c r="J7" s="11" t="s">
        <v>76</v>
      </c>
    </row>
    <row r="8" spans="1:10" x14ac:dyDescent="0.2">
      <c r="H8" s="2" t="s">
        <v>7</v>
      </c>
      <c r="I8" s="5">
        <f>+I5-I6+I7</f>
        <v>8043.3445957900003</v>
      </c>
    </row>
    <row r="10" spans="1:10" x14ac:dyDescent="0.2">
      <c r="H10" s="2" t="s">
        <v>61</v>
      </c>
    </row>
    <row r="11" spans="1:10" x14ac:dyDescent="0.2">
      <c r="H11" s="2" t="s">
        <v>62</v>
      </c>
    </row>
    <row r="12" spans="1:10" x14ac:dyDescent="0.2">
      <c r="B12" s="7" t="s">
        <v>8</v>
      </c>
    </row>
    <row r="13" spans="1:10" x14ac:dyDescent="0.2">
      <c r="B13" s="7" t="s">
        <v>9</v>
      </c>
    </row>
    <row r="14" spans="1:10" x14ac:dyDescent="0.2">
      <c r="B14" s="2" t="s">
        <v>10</v>
      </c>
    </row>
    <row r="15" spans="1:10" x14ac:dyDescent="0.2">
      <c r="B15" s="7" t="s">
        <v>11</v>
      </c>
    </row>
    <row r="16" spans="1:10" x14ac:dyDescent="0.2">
      <c r="B16" s="2" t="s">
        <v>12</v>
      </c>
    </row>
    <row r="17" spans="2:2" x14ac:dyDescent="0.2">
      <c r="B17" s="7" t="s">
        <v>13</v>
      </c>
    </row>
    <row r="18" spans="2:2" x14ac:dyDescent="0.2">
      <c r="B18" s="2" t="s">
        <v>14</v>
      </c>
    </row>
    <row r="19" spans="2:2" x14ac:dyDescent="0.2">
      <c r="B19" s="7" t="s">
        <v>15</v>
      </c>
    </row>
    <row r="20" spans="2:2" x14ac:dyDescent="0.2">
      <c r="B20" s="2" t="s">
        <v>16</v>
      </c>
    </row>
    <row r="22" spans="2:2" x14ac:dyDescent="0.2">
      <c r="B22" s="7" t="s">
        <v>19</v>
      </c>
    </row>
    <row r="23" spans="2:2" x14ac:dyDescent="0.2">
      <c r="B23" s="2" t="s">
        <v>20</v>
      </c>
    </row>
    <row r="25" spans="2:2" x14ac:dyDescent="0.2">
      <c r="B25" s="7" t="s">
        <v>18</v>
      </c>
    </row>
    <row r="26" spans="2:2" x14ac:dyDescent="0.2">
      <c r="B26" s="2" t="s">
        <v>21</v>
      </c>
    </row>
    <row r="28" spans="2:2" x14ac:dyDescent="0.2">
      <c r="B28" s="7" t="s">
        <v>22</v>
      </c>
    </row>
    <row r="29" spans="2:2" x14ac:dyDescent="0.2">
      <c r="B29" s="2" t="s">
        <v>23</v>
      </c>
    </row>
    <row r="31" spans="2:2" x14ac:dyDescent="0.2">
      <c r="B31" s="7" t="s">
        <v>24</v>
      </c>
    </row>
    <row r="32" spans="2:2" x14ac:dyDescent="0.2">
      <c r="B32" s="2" t="s">
        <v>25</v>
      </c>
    </row>
    <row r="34" spans="2:2" x14ac:dyDescent="0.2">
      <c r="B34" s="8" t="s">
        <v>26</v>
      </c>
    </row>
    <row r="35" spans="2:2" x14ac:dyDescent="0.2">
      <c r="B35" s="2" t="s">
        <v>27</v>
      </c>
    </row>
  </sheetData>
  <hyperlinks>
    <hyperlink ref="B4" r:id="rId1" xr:uid="{4944C472-B2B5-48DD-A915-D9488EDB59A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8F101-BB6B-4BAC-A4E6-9D359CE57C8B}">
  <dimension ref="A1:BS481"/>
  <sheetViews>
    <sheetView tabSelected="1" zoomScale="200" zoomScaleNormal="200" workbookViewId="0">
      <pane xSplit="2" ySplit="2" topLeftCell="I8" activePane="bottomRight" state="frozen"/>
      <selection pane="topRight" activeCell="C1" sqref="C1"/>
      <selection pane="bottomLeft" activeCell="A3" sqref="A3"/>
      <selection pane="bottomRight" activeCell="J12" sqref="J12"/>
    </sheetView>
  </sheetViews>
  <sheetFormatPr defaultRowHeight="12.75" x14ac:dyDescent="0.2"/>
  <cols>
    <col min="1" max="1" width="5.42578125" style="2" bestFit="1" customWidth="1"/>
    <col min="2" max="2" width="27.5703125" style="2" customWidth="1"/>
    <col min="3" max="16384" width="9.140625" style="2"/>
  </cols>
  <sheetData>
    <row r="1" spans="1:71" x14ac:dyDescent="0.2">
      <c r="A1" s="4" t="s">
        <v>28</v>
      </c>
    </row>
    <row r="2" spans="1:71" x14ac:dyDescent="0.2">
      <c r="C2" s="6" t="s">
        <v>63</v>
      </c>
      <c r="D2" s="6" t="s">
        <v>64</v>
      </c>
      <c r="E2" s="6" t="s">
        <v>65</v>
      </c>
      <c r="F2" s="6" t="s">
        <v>66</v>
      </c>
      <c r="G2" s="6" t="s">
        <v>67</v>
      </c>
      <c r="H2" s="6" t="s">
        <v>68</v>
      </c>
      <c r="I2" s="6" t="s">
        <v>69</v>
      </c>
      <c r="J2" s="6" t="s">
        <v>70</v>
      </c>
      <c r="L2" s="6" t="s">
        <v>29</v>
      </c>
      <c r="M2" s="6" t="s">
        <v>30</v>
      </c>
      <c r="N2" s="6" t="s">
        <v>31</v>
      </c>
      <c r="O2" s="6" t="s">
        <v>32</v>
      </c>
      <c r="P2" s="6" t="s">
        <v>33</v>
      </c>
      <c r="Q2" s="6" t="s">
        <v>34</v>
      </c>
      <c r="R2" s="11" t="s">
        <v>73</v>
      </c>
    </row>
    <row r="3" spans="1:71" x14ac:dyDescent="0.2">
      <c r="B3" s="2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>
        <v>2122</v>
      </c>
      <c r="Q3" s="5">
        <v>1868</v>
      </c>
      <c r="R3" s="5">
        <v>1847</v>
      </c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</row>
    <row r="4" spans="1:71" x14ac:dyDescent="0.2">
      <c r="B4" s="2" t="s">
        <v>39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>
        <v>4226</v>
      </c>
      <c r="Q4" s="5">
        <v>3555</v>
      </c>
      <c r="R4" s="5">
        <v>3002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</row>
    <row r="5" spans="1:71" x14ac:dyDescent="0.2">
      <c r="B5" s="2" t="s">
        <v>40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>
        <v>1198</v>
      </c>
      <c r="Q5" s="5">
        <v>1118</v>
      </c>
      <c r="R5" s="5">
        <v>1307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</row>
    <row r="6" spans="1:71" x14ac:dyDescent="0.2">
      <c r="B6" s="2" t="s">
        <v>41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>
        <v>106</v>
      </c>
      <c r="Q6" s="5">
        <v>93</v>
      </c>
      <c r="R6" s="5">
        <v>94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</row>
    <row r="7" spans="1:71" x14ac:dyDescent="0.2">
      <c r="B7" s="2" t="s">
        <v>42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>
        <v>36</v>
      </c>
      <c r="Q7" s="5">
        <v>31</v>
      </c>
      <c r="R7" s="5">
        <v>30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</row>
    <row r="8" spans="1:71" x14ac:dyDescent="0.2">
      <c r="B8" s="2" t="s">
        <v>36</v>
      </c>
      <c r="C8" s="5"/>
      <c r="D8" s="5"/>
      <c r="E8" s="5"/>
      <c r="F8" s="5"/>
      <c r="G8" s="5">
        <v>3300</v>
      </c>
      <c r="H8" s="5">
        <f>+Q8-G8</f>
        <v>3118</v>
      </c>
      <c r="I8" s="5">
        <v>2887</v>
      </c>
      <c r="J8" s="5">
        <f>+R8-I8</f>
        <v>3047</v>
      </c>
      <c r="K8" s="5"/>
      <c r="L8" s="5"/>
      <c r="M8" s="5"/>
      <c r="N8" s="5"/>
      <c r="O8" s="5"/>
      <c r="P8" s="5">
        <v>7546</v>
      </c>
      <c r="Q8" s="5">
        <v>6418</v>
      </c>
      <c r="R8" s="5">
        <v>5934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</row>
    <row r="9" spans="1:71" x14ac:dyDescent="0.2">
      <c r="B9" s="2" t="s">
        <v>17</v>
      </c>
      <c r="C9" s="5"/>
      <c r="D9" s="5"/>
      <c r="E9" s="5"/>
      <c r="F9" s="5"/>
      <c r="G9" s="5">
        <v>153</v>
      </c>
      <c r="H9" s="5">
        <f>+Q9-G9</f>
        <v>177</v>
      </c>
      <c r="I9" s="5">
        <v>178</v>
      </c>
      <c r="J9" s="5">
        <f>+R9-I9</f>
        <v>181</v>
      </c>
      <c r="K9" s="5"/>
      <c r="L9" s="5"/>
      <c r="M9" s="5"/>
      <c r="N9" s="5"/>
      <c r="O9" s="5"/>
      <c r="P9" s="5">
        <v>359</v>
      </c>
      <c r="Q9" s="5">
        <v>330</v>
      </c>
      <c r="R9" s="5">
        <v>359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</row>
    <row r="10" spans="1:71" x14ac:dyDescent="0.2">
      <c r="B10" s="2" t="s">
        <v>72</v>
      </c>
      <c r="C10" s="5"/>
      <c r="D10" s="5"/>
      <c r="E10" s="5"/>
      <c r="F10" s="5"/>
      <c r="G10" s="5">
        <v>4</v>
      </c>
      <c r="H10" s="5">
        <f>+Q10-G10</f>
        <v>4</v>
      </c>
      <c r="I10" s="5">
        <v>4</v>
      </c>
      <c r="J10" s="5">
        <f>+R10-I10</f>
        <v>4</v>
      </c>
      <c r="K10" s="5"/>
      <c r="L10" s="5"/>
      <c r="M10" s="5"/>
      <c r="N10" s="5"/>
      <c r="O10" s="5"/>
      <c r="P10" s="5">
        <v>9</v>
      </c>
      <c r="Q10" s="5">
        <v>8</v>
      </c>
      <c r="R10" s="5">
        <v>8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</row>
    <row r="11" spans="1:71" x14ac:dyDescent="0.2">
      <c r="B11" s="2" t="s">
        <v>37</v>
      </c>
      <c r="C11" s="5"/>
      <c r="D11" s="5"/>
      <c r="E11" s="5"/>
      <c r="F11" s="5"/>
      <c r="G11" s="5">
        <v>-12</v>
      </c>
      <c r="H11" s="5">
        <f>+Q11-G11</f>
        <v>-9</v>
      </c>
      <c r="I11" s="5">
        <v>-10</v>
      </c>
      <c r="J11" s="5">
        <f>+R11-I11</f>
        <v>-11</v>
      </c>
      <c r="K11" s="5"/>
      <c r="L11" s="5"/>
      <c r="M11" s="5"/>
      <c r="N11" s="5"/>
      <c r="O11" s="5"/>
      <c r="P11" s="5">
        <v>-26</v>
      </c>
      <c r="Q11" s="5">
        <v>-21</v>
      </c>
      <c r="R11" s="5">
        <v>-21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</row>
    <row r="12" spans="1:71" x14ac:dyDescent="0.2">
      <c r="B12" s="1" t="s">
        <v>35</v>
      </c>
      <c r="C12" s="9"/>
      <c r="D12" s="9"/>
      <c r="E12" s="9"/>
      <c r="F12" s="9"/>
      <c r="G12" s="9">
        <v>3445</v>
      </c>
      <c r="H12" s="9">
        <v>3445</v>
      </c>
      <c r="I12" s="9">
        <v>3059</v>
      </c>
      <c r="J12" s="9">
        <f>+R12-I12</f>
        <v>3221</v>
      </c>
      <c r="K12" s="9"/>
      <c r="L12" s="9"/>
      <c r="M12" s="9"/>
      <c r="N12" s="9"/>
      <c r="O12" s="9"/>
      <c r="P12" s="9">
        <v>7888</v>
      </c>
      <c r="Q12" s="9">
        <v>6735</v>
      </c>
      <c r="R12" s="9">
        <v>6280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</row>
    <row r="13" spans="1:71" x14ac:dyDescent="0.2">
      <c r="B13" s="2" t="s">
        <v>43</v>
      </c>
      <c r="C13" s="5"/>
      <c r="D13" s="5"/>
      <c r="E13" s="5"/>
      <c r="F13" s="5"/>
      <c r="G13" s="5">
        <v>61</v>
      </c>
      <c r="H13" s="5">
        <f>+Q13-G13</f>
        <v>202</v>
      </c>
      <c r="I13" s="5">
        <v>68</v>
      </c>
      <c r="J13" s="5">
        <f>+R13-I13</f>
        <v>47</v>
      </c>
      <c r="K13" s="5"/>
      <c r="L13" s="5"/>
      <c r="M13" s="5"/>
      <c r="N13" s="5"/>
      <c r="O13" s="5"/>
      <c r="P13" s="5">
        <v>136</v>
      </c>
      <c r="Q13" s="5">
        <v>263</v>
      </c>
      <c r="R13" s="5">
        <v>115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</row>
    <row r="14" spans="1:71" x14ac:dyDescent="0.2">
      <c r="B14" s="2" t="s">
        <v>44</v>
      </c>
      <c r="C14" s="5"/>
      <c r="D14" s="5"/>
      <c r="E14" s="5"/>
      <c r="F14" s="5"/>
      <c r="G14" s="5">
        <v>268</v>
      </c>
      <c r="H14" s="5">
        <f>+Q14-G14</f>
        <v>-55</v>
      </c>
      <c r="I14" s="5">
        <v>43</v>
      </c>
      <c r="J14" s="5">
        <f>+R14-I14</f>
        <v>-88</v>
      </c>
      <c r="K14" s="5"/>
      <c r="L14" s="5"/>
      <c r="M14" s="5"/>
      <c r="N14" s="5"/>
      <c r="O14" s="5"/>
      <c r="P14" s="5">
        <v>687</v>
      </c>
      <c r="Q14" s="5">
        <v>213</v>
      </c>
      <c r="R14" s="5">
        <v>-45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</row>
    <row r="15" spans="1:71" x14ac:dyDescent="0.2">
      <c r="B15" s="2" t="s">
        <v>45</v>
      </c>
      <c r="C15" s="5"/>
      <c r="D15" s="5"/>
      <c r="E15" s="5"/>
      <c r="F15" s="5"/>
      <c r="G15" s="5">
        <v>798</v>
      </c>
      <c r="H15" s="5">
        <f>+Q15-G15</f>
        <v>547</v>
      </c>
      <c r="I15" s="5">
        <v>549</v>
      </c>
      <c r="J15" s="5">
        <f>+R15-I15</f>
        <v>524</v>
      </c>
      <c r="K15" s="5"/>
      <c r="L15" s="5"/>
      <c r="M15" s="5"/>
      <c r="N15" s="5"/>
      <c r="O15" s="5"/>
      <c r="P15" s="5">
        <v>1864</v>
      </c>
      <c r="Q15" s="5">
        <v>1345</v>
      </c>
      <c r="R15" s="5">
        <v>1073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</row>
    <row r="16" spans="1:71" x14ac:dyDescent="0.2">
      <c r="B16" s="2" t="s">
        <v>46</v>
      </c>
      <c r="C16" s="5"/>
      <c r="D16" s="5"/>
      <c r="E16" s="5"/>
      <c r="F16" s="5"/>
      <c r="G16" s="5">
        <v>1316</v>
      </c>
      <c r="H16" s="5">
        <f>+Q16-G16</f>
        <v>1190</v>
      </c>
      <c r="I16" s="5">
        <v>1227</v>
      </c>
      <c r="J16" s="5">
        <f>+R16-I16</f>
        <v>1155</v>
      </c>
      <c r="K16" s="5"/>
      <c r="L16" s="5"/>
      <c r="M16" s="5"/>
      <c r="N16" s="5"/>
      <c r="O16" s="5"/>
      <c r="P16" s="5">
        <v>2550</v>
      </c>
      <c r="Q16" s="5">
        <v>2506</v>
      </c>
      <c r="R16" s="5">
        <v>2382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</row>
    <row r="17" spans="2:71" x14ac:dyDescent="0.2">
      <c r="B17" s="2" t="s">
        <v>47</v>
      </c>
      <c r="C17" s="5">
        <f t="shared" ref="C17:J17" si="0">+C12+SUM(C13:C14)-SUM(C15:C16)</f>
        <v>0</v>
      </c>
      <c r="D17" s="5">
        <f t="shared" si="0"/>
        <v>0</v>
      </c>
      <c r="E17" s="5">
        <f t="shared" si="0"/>
        <v>0</v>
      </c>
      <c r="F17" s="5">
        <f t="shared" si="0"/>
        <v>0</v>
      </c>
      <c r="G17" s="5">
        <f t="shared" si="0"/>
        <v>1660</v>
      </c>
      <c r="H17" s="5">
        <f t="shared" si="0"/>
        <v>1855</v>
      </c>
      <c r="I17" s="5">
        <f t="shared" si="0"/>
        <v>1394</v>
      </c>
      <c r="J17" s="5">
        <f t="shared" si="0"/>
        <v>1501</v>
      </c>
      <c r="K17" s="5"/>
      <c r="L17" s="5">
        <f t="shared" ref="L17:P17" si="1">+L12+SUM(L13:L14)-SUM(L15:L16)</f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4297</v>
      </c>
      <c r="Q17" s="5">
        <f>+Q12+SUM(Q13:Q14)-SUM(Q15:Q16)</f>
        <v>3360</v>
      </c>
      <c r="R17" s="5">
        <f>+R12+SUM(R13:R14)-SUM(R15:R16)</f>
        <v>2895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</row>
    <row r="18" spans="2:71" x14ac:dyDescent="0.2">
      <c r="B18" s="2" t="s">
        <v>48</v>
      </c>
      <c r="C18" s="5"/>
      <c r="D18" s="5"/>
      <c r="E18" s="5"/>
      <c r="F18" s="5"/>
      <c r="G18" s="5">
        <v>177</v>
      </c>
      <c r="H18" s="5">
        <f>+Q18-G18</f>
        <v>191</v>
      </c>
      <c r="I18" s="5">
        <v>186</v>
      </c>
      <c r="J18" s="5">
        <f>+R18-I18</f>
        <v>191</v>
      </c>
      <c r="K18" s="5"/>
      <c r="L18" s="5"/>
      <c r="M18" s="5"/>
      <c r="N18" s="5"/>
      <c r="O18" s="5"/>
      <c r="P18" s="5">
        <v>346</v>
      </c>
      <c r="Q18" s="5">
        <v>368</v>
      </c>
      <c r="R18" s="5">
        <v>377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</row>
    <row r="19" spans="2:71" x14ac:dyDescent="0.2">
      <c r="B19" s="2" t="s">
        <v>49</v>
      </c>
      <c r="C19" s="5"/>
      <c r="D19" s="5"/>
      <c r="E19" s="5"/>
      <c r="F19" s="5"/>
      <c r="G19" s="5">
        <v>25</v>
      </c>
      <c r="H19" s="5">
        <f>+Q19-G19</f>
        <v>23</v>
      </c>
      <c r="I19" s="5">
        <v>22</v>
      </c>
      <c r="J19" s="5">
        <f>+R19-I19</f>
        <v>24</v>
      </c>
      <c r="K19" s="5"/>
      <c r="L19" s="5"/>
      <c r="M19" s="5"/>
      <c r="N19" s="5"/>
      <c r="O19" s="5"/>
      <c r="P19" s="5">
        <v>44</v>
      </c>
      <c r="Q19" s="5">
        <v>48</v>
      </c>
      <c r="R19" s="5">
        <v>46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</row>
    <row r="20" spans="2:71" x14ac:dyDescent="0.2">
      <c r="B20" s="2" t="s">
        <v>50</v>
      </c>
      <c r="C20" s="5"/>
      <c r="D20" s="5"/>
      <c r="E20" s="5"/>
      <c r="F20" s="5"/>
      <c r="G20" s="5">
        <v>1254</v>
      </c>
      <c r="H20" s="5">
        <f>+Q20-G20</f>
        <v>1386</v>
      </c>
      <c r="I20" s="5">
        <v>1118</v>
      </c>
      <c r="J20" s="5">
        <f>+R20-I20</f>
        <v>1219</v>
      </c>
      <c r="K20" s="5"/>
      <c r="L20" s="5"/>
      <c r="M20" s="5"/>
      <c r="N20" s="5"/>
      <c r="O20" s="5"/>
      <c r="P20" s="5">
        <v>2716</v>
      </c>
      <c r="Q20" s="5">
        <v>2640</v>
      </c>
      <c r="R20" s="5">
        <v>2337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</row>
    <row r="21" spans="2:71" x14ac:dyDescent="0.2">
      <c r="B21" s="2" t="s">
        <v>51</v>
      </c>
      <c r="C21" s="5"/>
      <c r="D21" s="5"/>
      <c r="E21" s="5">
        <f t="shared" ref="E21:J21" si="2">+E17-SUM(E18:E20)</f>
        <v>0</v>
      </c>
      <c r="F21" s="5">
        <f t="shared" si="2"/>
        <v>0</v>
      </c>
      <c r="G21" s="5">
        <f t="shared" si="2"/>
        <v>204</v>
      </c>
      <c r="H21" s="5">
        <f t="shared" si="2"/>
        <v>255</v>
      </c>
      <c r="I21" s="5">
        <f t="shared" si="2"/>
        <v>68</v>
      </c>
      <c r="J21" s="5">
        <f t="shared" si="2"/>
        <v>67</v>
      </c>
      <c r="K21" s="5"/>
      <c r="L21" s="5">
        <f t="shared" ref="L21:P21" si="3">+L17-SUM(L18:L20)</f>
        <v>0</v>
      </c>
      <c r="M21" s="5">
        <f t="shared" si="3"/>
        <v>0</v>
      </c>
      <c r="N21" s="5">
        <f t="shared" si="3"/>
        <v>0</v>
      </c>
      <c r="O21" s="5">
        <f t="shared" si="3"/>
        <v>0</v>
      </c>
      <c r="P21" s="5">
        <f t="shared" si="3"/>
        <v>1191</v>
      </c>
      <c r="Q21" s="5">
        <f>+Q17-SUM(Q18:Q20)</f>
        <v>304</v>
      </c>
      <c r="R21" s="5">
        <f>+R17-SUM(R18:R20)</f>
        <v>135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</row>
    <row r="22" spans="2:71" x14ac:dyDescent="0.2">
      <c r="B22" s="2" t="s">
        <v>52</v>
      </c>
      <c r="C22" s="5"/>
      <c r="D22" s="5"/>
      <c r="E22" s="5"/>
      <c r="F22" s="5"/>
      <c r="G22" s="5">
        <v>22</v>
      </c>
      <c r="H22" s="5">
        <f>+Q22-G22</f>
        <v>22</v>
      </c>
      <c r="I22" s="5">
        <v>-8</v>
      </c>
      <c r="J22" s="5">
        <f>+R22-I22</f>
        <v>17</v>
      </c>
      <c r="K22" s="5"/>
      <c r="L22" s="5"/>
      <c r="M22" s="5"/>
      <c r="N22" s="5"/>
      <c r="O22" s="5"/>
      <c r="P22" s="5">
        <v>-36</v>
      </c>
      <c r="Q22" s="5">
        <v>44</v>
      </c>
      <c r="R22" s="5">
        <v>9</v>
      </c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</row>
    <row r="23" spans="2:71" x14ac:dyDescent="0.2">
      <c r="B23" s="2" t="s">
        <v>53</v>
      </c>
      <c r="C23" s="5"/>
      <c r="D23" s="5"/>
      <c r="E23" s="5"/>
      <c r="F23" s="5"/>
      <c r="G23" s="5">
        <v>1</v>
      </c>
      <c r="H23" s="5">
        <f>+Q23-G23</f>
        <v>2</v>
      </c>
      <c r="I23" s="5">
        <v>1</v>
      </c>
      <c r="J23" s="5">
        <f>+R23-I23</f>
        <v>3</v>
      </c>
      <c r="K23" s="5"/>
      <c r="L23" s="5"/>
      <c r="M23" s="5"/>
      <c r="N23" s="5"/>
      <c r="O23" s="5"/>
      <c r="P23" s="5">
        <v>4</v>
      </c>
      <c r="Q23" s="5">
        <v>3</v>
      </c>
      <c r="R23" s="5">
        <v>4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</row>
    <row r="24" spans="2:71" x14ac:dyDescent="0.2">
      <c r="B24" s="2" t="s">
        <v>71</v>
      </c>
      <c r="C24" s="5"/>
      <c r="D24" s="5"/>
      <c r="E24" s="5"/>
      <c r="F24" s="5"/>
      <c r="G24" s="5">
        <v>1</v>
      </c>
      <c r="H24" s="5">
        <f>+Q24-G24</f>
        <v>1</v>
      </c>
      <c r="I24" s="5">
        <v>-4</v>
      </c>
      <c r="J24" s="5">
        <f>+R24-I24</f>
        <v>-4</v>
      </c>
      <c r="K24" s="5"/>
      <c r="L24" s="5"/>
      <c r="M24" s="5"/>
      <c r="N24" s="5"/>
      <c r="O24" s="5"/>
      <c r="P24" s="5">
        <v>1</v>
      </c>
      <c r="Q24" s="5">
        <v>2</v>
      </c>
      <c r="R24" s="5">
        <v>-8</v>
      </c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</row>
    <row r="25" spans="2:71" x14ac:dyDescent="0.2">
      <c r="B25" s="10" t="s">
        <v>74</v>
      </c>
      <c r="C25" s="5"/>
      <c r="D25" s="5"/>
      <c r="E25" s="5"/>
      <c r="F25" s="5"/>
      <c r="G25" s="5">
        <v>1</v>
      </c>
      <c r="H25" s="5">
        <f>+Q25-G25</f>
        <v>1</v>
      </c>
      <c r="I25" s="5">
        <v>9</v>
      </c>
      <c r="J25" s="5">
        <f>+R25-I25</f>
        <v>1</v>
      </c>
      <c r="K25" s="5"/>
      <c r="L25" s="5"/>
      <c r="M25" s="5"/>
      <c r="N25" s="5"/>
      <c r="O25" s="5"/>
      <c r="P25" s="5">
        <v>2</v>
      </c>
      <c r="Q25" s="5">
        <v>2</v>
      </c>
      <c r="R25" s="5">
        <v>10</v>
      </c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</row>
    <row r="26" spans="2:71" x14ac:dyDescent="0.2">
      <c r="B26" s="2" t="s">
        <v>54</v>
      </c>
      <c r="C26" s="5">
        <f t="shared" ref="C26:J26" si="4">+C21+C22-C23-C24+C25</f>
        <v>0</v>
      </c>
      <c r="D26" s="5">
        <f t="shared" si="4"/>
        <v>0</v>
      </c>
      <c r="E26" s="5">
        <f t="shared" si="4"/>
        <v>0</v>
      </c>
      <c r="F26" s="5">
        <f t="shared" si="4"/>
        <v>0</v>
      </c>
      <c r="G26" s="5">
        <f t="shared" si="4"/>
        <v>225</v>
      </c>
      <c r="H26" s="5">
        <f t="shared" si="4"/>
        <v>275</v>
      </c>
      <c r="I26" s="5">
        <f>+I21+I22-I23-I24+I25</f>
        <v>72</v>
      </c>
      <c r="J26" s="5">
        <f t="shared" si="4"/>
        <v>86</v>
      </c>
      <c r="K26" s="5"/>
      <c r="L26" s="5">
        <f t="shared" ref="L26:P26" si="5">+L21+L22-L23-L24+L25</f>
        <v>0</v>
      </c>
      <c r="M26" s="5">
        <f t="shared" si="5"/>
        <v>0</v>
      </c>
      <c r="N26" s="5">
        <f t="shared" si="5"/>
        <v>0</v>
      </c>
      <c r="O26" s="5">
        <f t="shared" si="5"/>
        <v>0</v>
      </c>
      <c r="P26" s="5">
        <f t="shared" si="5"/>
        <v>1152</v>
      </c>
      <c r="Q26" s="5">
        <f>+Q21+Q22-Q23-Q24+Q25</f>
        <v>345</v>
      </c>
      <c r="R26" s="5">
        <f>+R21+R22-R23-R24+R25</f>
        <v>158</v>
      </c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</row>
    <row r="27" spans="2:71" x14ac:dyDescent="0.2">
      <c r="B27" s="2" t="s">
        <v>55</v>
      </c>
      <c r="C27" s="5"/>
      <c r="D27" s="5"/>
      <c r="E27" s="5"/>
      <c r="F27" s="5"/>
      <c r="G27" s="5">
        <v>78</v>
      </c>
      <c r="H27" s="5">
        <f>+Q27-G27</f>
        <v>48</v>
      </c>
      <c r="I27" s="5">
        <v>55</v>
      </c>
      <c r="J27" s="5">
        <f>+R27-I27</f>
        <v>78</v>
      </c>
      <c r="K27" s="5"/>
      <c r="L27" s="5"/>
      <c r="M27" s="5"/>
      <c r="N27" s="5"/>
      <c r="O27" s="5"/>
      <c r="P27" s="5">
        <v>262</v>
      </c>
      <c r="Q27" s="5">
        <v>126</v>
      </c>
      <c r="R27" s="5">
        <v>133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</row>
    <row r="28" spans="2:71" x14ac:dyDescent="0.2">
      <c r="B28" s="2" t="s">
        <v>56</v>
      </c>
      <c r="C28" s="5">
        <f t="shared" ref="C28:J28" si="6">+C26-C27</f>
        <v>0</v>
      </c>
      <c r="D28" s="5">
        <f t="shared" si="6"/>
        <v>0</v>
      </c>
      <c r="E28" s="5">
        <f t="shared" si="6"/>
        <v>0</v>
      </c>
      <c r="F28" s="5">
        <f t="shared" si="6"/>
        <v>0</v>
      </c>
      <c r="G28" s="5">
        <f t="shared" si="6"/>
        <v>147</v>
      </c>
      <c r="H28" s="5">
        <f t="shared" si="6"/>
        <v>227</v>
      </c>
      <c r="I28" s="5">
        <f t="shared" si="6"/>
        <v>17</v>
      </c>
      <c r="J28" s="5">
        <f t="shared" si="6"/>
        <v>8</v>
      </c>
      <c r="K28" s="5"/>
      <c r="L28" s="5">
        <f t="shared" ref="L28:P28" si="7">+L26-L27</f>
        <v>0</v>
      </c>
      <c r="M28" s="5">
        <f t="shared" si="7"/>
        <v>0</v>
      </c>
      <c r="N28" s="5">
        <f t="shared" si="7"/>
        <v>0</v>
      </c>
      <c r="O28" s="5">
        <f t="shared" si="7"/>
        <v>0</v>
      </c>
      <c r="P28" s="5">
        <f t="shared" si="7"/>
        <v>890</v>
      </c>
      <c r="Q28" s="5">
        <f>+Q26-Q27</f>
        <v>219</v>
      </c>
      <c r="R28" s="5">
        <f>+R26-R27</f>
        <v>25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</row>
    <row r="29" spans="2:71" x14ac:dyDescent="0.2">
      <c r="B29" s="2" t="s">
        <v>57</v>
      </c>
      <c r="C29" s="5"/>
      <c r="D29" s="5"/>
      <c r="E29" s="5"/>
      <c r="F29" s="5"/>
      <c r="G29" s="5">
        <v>11</v>
      </c>
      <c r="H29" s="5">
        <f>+Q29-G29</f>
        <v>15</v>
      </c>
      <c r="I29" s="5">
        <v>3</v>
      </c>
      <c r="J29" s="5">
        <f>+R29-I29</f>
        <v>0</v>
      </c>
      <c r="K29" s="5"/>
      <c r="L29" s="5"/>
      <c r="M29" s="5"/>
      <c r="N29" s="5"/>
      <c r="O29" s="5"/>
      <c r="P29" s="5">
        <v>21</v>
      </c>
      <c r="Q29" s="5">
        <v>26</v>
      </c>
      <c r="R29" s="5">
        <v>3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</row>
    <row r="30" spans="2:71" x14ac:dyDescent="0.2">
      <c r="B30" s="2" t="s">
        <v>58</v>
      </c>
      <c r="C30" s="5"/>
      <c r="D30" s="5">
        <f t="shared" ref="D30:J30" si="8">+D28-D29</f>
        <v>0</v>
      </c>
      <c r="E30" s="5">
        <f t="shared" si="8"/>
        <v>0</v>
      </c>
      <c r="F30" s="5">
        <f t="shared" si="8"/>
        <v>0</v>
      </c>
      <c r="G30" s="5">
        <f t="shared" si="8"/>
        <v>136</v>
      </c>
      <c r="H30" s="5">
        <f t="shared" si="8"/>
        <v>212</v>
      </c>
      <c r="I30" s="5">
        <f t="shared" si="8"/>
        <v>14</v>
      </c>
      <c r="J30" s="5">
        <f t="shared" si="8"/>
        <v>8</v>
      </c>
      <c r="K30" s="5"/>
      <c r="L30" s="5">
        <f t="shared" ref="L30:P30" si="9">+L28-L29</f>
        <v>0</v>
      </c>
      <c r="M30" s="5">
        <f t="shared" si="9"/>
        <v>0</v>
      </c>
      <c r="N30" s="5">
        <f t="shared" si="9"/>
        <v>0</v>
      </c>
      <c r="O30" s="5">
        <f t="shared" si="9"/>
        <v>0</v>
      </c>
      <c r="P30" s="5">
        <f t="shared" si="9"/>
        <v>869</v>
      </c>
      <c r="Q30" s="5">
        <f>+Q28-Q29</f>
        <v>193</v>
      </c>
      <c r="R30" s="5">
        <f>+R28-R29</f>
        <v>22</v>
      </c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</row>
    <row r="31" spans="2:71" x14ac:dyDescent="0.2"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</row>
    <row r="32" spans="2:71" x14ac:dyDescent="0.2">
      <c r="B32" s="10" t="s">
        <v>75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12">
        <f>+Q30/Q33</f>
        <v>1.6778622824374443</v>
      </c>
      <c r="R32" s="12">
        <f>+R30/R33</f>
        <v>0.19095212252224214</v>
      </c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</row>
    <row r="33" spans="2:71" x14ac:dyDescent="0.2">
      <c r="B33" s="10" t="s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>
        <v>115.02731900000001</v>
      </c>
      <c r="R33" s="5">
        <v>115.212126</v>
      </c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</row>
    <row r="34" spans="2:71" x14ac:dyDescent="0.2"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</row>
    <row r="35" spans="2:71" x14ac:dyDescent="0.2">
      <c r="B35" s="1" t="s">
        <v>77</v>
      </c>
      <c r="C35" s="5"/>
      <c r="D35" s="5"/>
      <c r="E35" s="5"/>
      <c r="F35" s="5"/>
      <c r="G35" s="14" t="e">
        <f t="shared" ref="G35:I35" si="10">+G12/E12-1</f>
        <v>#DIV/0!</v>
      </c>
      <c r="H35" s="14" t="e">
        <f t="shared" si="10"/>
        <v>#DIV/0!</v>
      </c>
      <c r="I35" s="14">
        <f t="shared" si="10"/>
        <v>-0.11204644412191578</v>
      </c>
      <c r="J35" s="14">
        <f>+J12/H12-1</f>
        <v>-6.5021770682148095E-2</v>
      </c>
      <c r="K35" s="5"/>
      <c r="L35" s="5"/>
      <c r="M35" s="5"/>
      <c r="N35" s="5"/>
      <c r="O35" s="5"/>
      <c r="P35" s="5"/>
      <c r="Q35" s="14">
        <f>+Q12/P12-1</f>
        <v>-0.14617139959432046</v>
      </c>
      <c r="R35" s="14">
        <f>+R12/Q12-1</f>
        <v>-6.7557535263548574E-2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</row>
    <row r="36" spans="2:71" x14ac:dyDescent="0.2">
      <c r="C36" s="5"/>
      <c r="D36" s="5"/>
      <c r="E36" s="5"/>
      <c r="F36" s="5"/>
      <c r="G36" s="13">
        <f t="shared" ref="G36:J36" si="11">+G17/G12</f>
        <v>0.48185776487663279</v>
      </c>
      <c r="H36" s="13">
        <f t="shared" si="11"/>
        <v>0.53846153846153844</v>
      </c>
      <c r="I36" s="13">
        <f t="shared" si="11"/>
        <v>0.4557044785877738</v>
      </c>
      <c r="J36" s="13">
        <f>+J17/J12</f>
        <v>0.46600434647624961</v>
      </c>
      <c r="K36" s="5"/>
      <c r="L36" s="13" t="e">
        <f t="shared" ref="L36:R36" si="12">+L17/L12</f>
        <v>#DIV/0!</v>
      </c>
      <c r="M36" s="13" t="e">
        <f t="shared" si="12"/>
        <v>#DIV/0!</v>
      </c>
      <c r="N36" s="13" t="e">
        <f t="shared" si="12"/>
        <v>#DIV/0!</v>
      </c>
      <c r="O36" s="13" t="e">
        <f t="shared" si="12"/>
        <v>#DIV/0!</v>
      </c>
      <c r="P36" s="13">
        <f t="shared" si="12"/>
        <v>0.54475152129817439</v>
      </c>
      <c r="Q36" s="13">
        <f t="shared" si="12"/>
        <v>0.49888641425389757</v>
      </c>
      <c r="R36" s="13">
        <f t="shared" si="12"/>
        <v>0.4609872611464968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</row>
    <row r="37" spans="2:71" x14ac:dyDescent="0.2">
      <c r="C37" s="5"/>
      <c r="D37" s="5"/>
      <c r="E37" s="5"/>
      <c r="F37" s="5"/>
      <c r="G37" s="13">
        <f t="shared" ref="G37:J37" si="13">+G21/G12</f>
        <v>5.9216255442670535E-2</v>
      </c>
      <c r="H37" s="13">
        <f t="shared" si="13"/>
        <v>7.4020319303338175E-2</v>
      </c>
      <c r="I37" s="13">
        <f t="shared" si="13"/>
        <v>2.2229486760379207E-2</v>
      </c>
      <c r="J37" s="13">
        <f>+J21/J12</f>
        <v>2.0800993480285624E-2</v>
      </c>
      <c r="K37" s="5"/>
      <c r="L37" s="13" t="e">
        <f t="shared" ref="L37:R37" si="14">+L21/L12</f>
        <v>#DIV/0!</v>
      </c>
      <c r="M37" s="13" t="e">
        <f t="shared" si="14"/>
        <v>#DIV/0!</v>
      </c>
      <c r="N37" s="13" t="e">
        <f t="shared" si="14"/>
        <v>#DIV/0!</v>
      </c>
      <c r="O37" s="13" t="e">
        <f t="shared" si="14"/>
        <v>#DIV/0!</v>
      </c>
      <c r="P37" s="13">
        <f t="shared" si="14"/>
        <v>0.15098884381338742</v>
      </c>
      <c r="Q37" s="13">
        <f t="shared" si="14"/>
        <v>4.5137342242019304E-2</v>
      </c>
      <c r="R37" s="13">
        <f t="shared" si="14"/>
        <v>2.1496815286624203E-2</v>
      </c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</row>
    <row r="38" spans="2:71" x14ac:dyDescent="0.2">
      <c r="C38" s="5"/>
      <c r="D38" s="5"/>
      <c r="E38" s="5"/>
      <c r="F38" s="5"/>
      <c r="G38" s="13">
        <f t="shared" ref="G38:J38" si="15">+G27/G26</f>
        <v>0.34666666666666668</v>
      </c>
      <c r="H38" s="13">
        <f t="shared" si="15"/>
        <v>0.17454545454545456</v>
      </c>
      <c r="I38" s="13">
        <f t="shared" si="15"/>
        <v>0.76388888888888884</v>
      </c>
      <c r="J38" s="13">
        <f>+J27/J26</f>
        <v>0.90697674418604646</v>
      </c>
      <c r="K38" s="5"/>
      <c r="L38" s="13" t="e">
        <f t="shared" ref="L38:R38" si="16">+L27/L26</f>
        <v>#DIV/0!</v>
      </c>
      <c r="M38" s="13" t="e">
        <f t="shared" si="16"/>
        <v>#DIV/0!</v>
      </c>
      <c r="N38" s="13" t="e">
        <f t="shared" si="16"/>
        <v>#DIV/0!</v>
      </c>
      <c r="O38" s="13" t="e">
        <f t="shared" si="16"/>
        <v>#DIV/0!</v>
      </c>
      <c r="P38" s="13">
        <f t="shared" si="16"/>
        <v>0.22743055555555555</v>
      </c>
      <c r="Q38" s="13">
        <f t="shared" si="16"/>
        <v>0.36521739130434783</v>
      </c>
      <c r="R38" s="13">
        <f t="shared" si="16"/>
        <v>0.84177215189873422</v>
      </c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</row>
    <row r="39" spans="2:71" x14ac:dyDescent="0.2"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</row>
    <row r="40" spans="2:71" x14ac:dyDescent="0.2"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</row>
    <row r="41" spans="2:71" x14ac:dyDescent="0.2"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</row>
    <row r="42" spans="2:71" x14ac:dyDescent="0.2"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</row>
    <row r="43" spans="2:71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</row>
    <row r="44" spans="2:71" x14ac:dyDescent="0.2"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</row>
    <row r="45" spans="2:71" x14ac:dyDescent="0.2"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</row>
    <row r="46" spans="2:71" x14ac:dyDescent="0.2"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</row>
    <row r="47" spans="2:71" x14ac:dyDescent="0.2"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</row>
    <row r="48" spans="2:71" x14ac:dyDescent="0.2"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</row>
    <row r="49" spans="3:71" x14ac:dyDescent="0.2"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</row>
    <row r="50" spans="3:71" x14ac:dyDescent="0.2"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</row>
    <row r="51" spans="3:71" x14ac:dyDescent="0.2"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</row>
    <row r="52" spans="3:71" x14ac:dyDescent="0.2"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</row>
    <row r="53" spans="3:71" x14ac:dyDescent="0.2"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</row>
    <row r="54" spans="3:71" x14ac:dyDescent="0.2"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</row>
    <row r="55" spans="3:71" x14ac:dyDescent="0.2"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</row>
    <row r="56" spans="3:71" x14ac:dyDescent="0.2"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</row>
    <row r="57" spans="3:71" x14ac:dyDescent="0.2"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</row>
    <row r="58" spans="3:71" x14ac:dyDescent="0.2"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</row>
    <row r="59" spans="3:71" x14ac:dyDescent="0.2"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</row>
    <row r="60" spans="3:71" x14ac:dyDescent="0.2"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</row>
    <row r="61" spans="3:71" x14ac:dyDescent="0.2"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</row>
    <row r="62" spans="3:71" x14ac:dyDescent="0.2"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</row>
    <row r="63" spans="3:71" x14ac:dyDescent="0.2"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</row>
    <row r="64" spans="3:71" x14ac:dyDescent="0.2"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</row>
    <row r="65" spans="3:71" x14ac:dyDescent="0.2"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</row>
    <row r="66" spans="3:71" x14ac:dyDescent="0.2"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</row>
    <row r="67" spans="3:71" x14ac:dyDescent="0.2"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</row>
    <row r="68" spans="3:71" x14ac:dyDescent="0.2"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</row>
    <row r="69" spans="3:71" x14ac:dyDescent="0.2"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</row>
    <row r="70" spans="3:71" x14ac:dyDescent="0.2"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</row>
    <row r="71" spans="3:71" x14ac:dyDescent="0.2"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</row>
    <row r="72" spans="3:71" x14ac:dyDescent="0.2"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</row>
    <row r="73" spans="3:71" x14ac:dyDescent="0.2"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</row>
    <row r="74" spans="3:71" x14ac:dyDescent="0.2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</row>
    <row r="75" spans="3:71" x14ac:dyDescent="0.2"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</row>
    <row r="76" spans="3:71" x14ac:dyDescent="0.2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</row>
    <row r="77" spans="3:71" x14ac:dyDescent="0.2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</row>
    <row r="78" spans="3:71" x14ac:dyDescent="0.2"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</row>
    <row r="79" spans="3:71" x14ac:dyDescent="0.2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</row>
    <row r="80" spans="3:71" x14ac:dyDescent="0.2"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</row>
    <row r="81" spans="3:71" x14ac:dyDescent="0.2"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</row>
    <row r="82" spans="3:71" x14ac:dyDescent="0.2"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</row>
    <row r="83" spans="3:71" x14ac:dyDescent="0.2"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</row>
    <row r="84" spans="3:71" x14ac:dyDescent="0.2"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</row>
    <row r="85" spans="3:71" x14ac:dyDescent="0.2"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</row>
    <row r="86" spans="3:71" x14ac:dyDescent="0.2"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</row>
    <row r="87" spans="3:71" x14ac:dyDescent="0.2"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</row>
    <row r="88" spans="3:71" x14ac:dyDescent="0.2"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</row>
    <row r="89" spans="3:71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</row>
    <row r="90" spans="3:71" x14ac:dyDescent="0.2"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</row>
    <row r="91" spans="3:71" x14ac:dyDescent="0.2"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</row>
    <row r="92" spans="3:71" x14ac:dyDescent="0.2"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</row>
    <row r="93" spans="3:71" x14ac:dyDescent="0.2"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</row>
    <row r="94" spans="3:71" x14ac:dyDescent="0.2"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</row>
    <row r="95" spans="3:71" x14ac:dyDescent="0.2"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</row>
    <row r="96" spans="3:71" x14ac:dyDescent="0.2"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</row>
    <row r="97" spans="3:71" x14ac:dyDescent="0.2"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</row>
    <row r="98" spans="3:71" x14ac:dyDescent="0.2"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</row>
    <row r="99" spans="3:71" x14ac:dyDescent="0.2"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</row>
    <row r="100" spans="3:71" x14ac:dyDescent="0.2"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</row>
    <row r="101" spans="3:71" x14ac:dyDescent="0.2"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</row>
    <row r="102" spans="3:71" x14ac:dyDescent="0.2"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</row>
    <row r="103" spans="3:71" x14ac:dyDescent="0.2"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</row>
    <row r="104" spans="3:71" x14ac:dyDescent="0.2"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</row>
    <row r="105" spans="3:71" x14ac:dyDescent="0.2"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</row>
    <row r="106" spans="3:71" x14ac:dyDescent="0.2"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</row>
    <row r="107" spans="3:71" x14ac:dyDescent="0.2"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</row>
    <row r="108" spans="3:71" x14ac:dyDescent="0.2"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</row>
    <row r="109" spans="3:71" x14ac:dyDescent="0.2"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</row>
    <row r="110" spans="3:71" x14ac:dyDescent="0.2"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</row>
    <row r="111" spans="3:71" x14ac:dyDescent="0.2"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</row>
    <row r="112" spans="3:71" x14ac:dyDescent="0.2"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</row>
    <row r="113" spans="3:71" x14ac:dyDescent="0.2"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</row>
    <row r="114" spans="3:71" x14ac:dyDescent="0.2"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</row>
    <row r="115" spans="3:71" x14ac:dyDescent="0.2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</row>
    <row r="116" spans="3:71" x14ac:dyDescent="0.2"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</row>
    <row r="117" spans="3:71" x14ac:dyDescent="0.2"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</row>
    <row r="118" spans="3:71" x14ac:dyDescent="0.2"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</row>
    <row r="119" spans="3:71" x14ac:dyDescent="0.2"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</row>
    <row r="120" spans="3:71" x14ac:dyDescent="0.2"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</row>
    <row r="121" spans="3:71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</row>
    <row r="122" spans="3:71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</row>
    <row r="123" spans="3:71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</row>
    <row r="124" spans="3:71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</row>
    <row r="125" spans="3:71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</row>
    <row r="126" spans="3:71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</row>
    <row r="127" spans="3:71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</row>
    <row r="128" spans="3:71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</row>
    <row r="129" spans="3:71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</row>
    <row r="130" spans="3:71" x14ac:dyDescent="0.2"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</row>
    <row r="131" spans="3:71" x14ac:dyDescent="0.2"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</row>
    <row r="132" spans="3:71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</row>
    <row r="133" spans="3:71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</row>
    <row r="134" spans="3:71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</row>
    <row r="135" spans="3:71" x14ac:dyDescent="0.2"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</row>
    <row r="136" spans="3:71" x14ac:dyDescent="0.2"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</row>
    <row r="137" spans="3:71" x14ac:dyDescent="0.2"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</row>
    <row r="138" spans="3:71" x14ac:dyDescent="0.2"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</row>
    <row r="139" spans="3:71" x14ac:dyDescent="0.2"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</row>
    <row r="140" spans="3:71" x14ac:dyDescent="0.2"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</row>
    <row r="141" spans="3:71" x14ac:dyDescent="0.2"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</row>
    <row r="142" spans="3:71" x14ac:dyDescent="0.2"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</row>
    <row r="143" spans="3:71" x14ac:dyDescent="0.2"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</row>
    <row r="144" spans="3:71" x14ac:dyDescent="0.2"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</row>
    <row r="145" spans="3:71" x14ac:dyDescent="0.2"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</row>
    <row r="146" spans="3:71" x14ac:dyDescent="0.2"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</row>
    <row r="147" spans="3:71" x14ac:dyDescent="0.2"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</row>
    <row r="148" spans="3:71" x14ac:dyDescent="0.2"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</row>
    <row r="149" spans="3:71" x14ac:dyDescent="0.2"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</row>
    <row r="150" spans="3:71" x14ac:dyDescent="0.2"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</row>
    <row r="151" spans="3:71" x14ac:dyDescent="0.2"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</row>
    <row r="152" spans="3:71" x14ac:dyDescent="0.2"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</row>
    <row r="153" spans="3:71" x14ac:dyDescent="0.2"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</row>
    <row r="154" spans="3:71" x14ac:dyDescent="0.2"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</row>
    <row r="155" spans="3:71" x14ac:dyDescent="0.2"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</row>
    <row r="156" spans="3:71" x14ac:dyDescent="0.2"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</row>
    <row r="157" spans="3:71" x14ac:dyDescent="0.2"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</row>
    <row r="158" spans="3:71" x14ac:dyDescent="0.2"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</row>
    <row r="159" spans="3:71" x14ac:dyDescent="0.2"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</row>
    <row r="160" spans="3:71" x14ac:dyDescent="0.2"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</row>
    <row r="161" spans="3:71" x14ac:dyDescent="0.2"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</row>
    <row r="162" spans="3:71" x14ac:dyDescent="0.2"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</row>
    <row r="163" spans="3:71" x14ac:dyDescent="0.2"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</row>
    <row r="164" spans="3:71" x14ac:dyDescent="0.2"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</row>
    <row r="165" spans="3:71" x14ac:dyDescent="0.2"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</row>
    <row r="166" spans="3:71" x14ac:dyDescent="0.2"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</row>
    <row r="167" spans="3:71" x14ac:dyDescent="0.2"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</row>
    <row r="168" spans="3:71" x14ac:dyDescent="0.2"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</row>
    <row r="169" spans="3:71" x14ac:dyDescent="0.2"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</row>
    <row r="170" spans="3:71" x14ac:dyDescent="0.2"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</row>
    <row r="171" spans="3:71" x14ac:dyDescent="0.2"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</row>
    <row r="172" spans="3:71" x14ac:dyDescent="0.2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</row>
    <row r="173" spans="3:71" x14ac:dyDescent="0.2"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</row>
    <row r="174" spans="3:71" x14ac:dyDescent="0.2"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</row>
    <row r="175" spans="3:71" x14ac:dyDescent="0.2"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</row>
    <row r="176" spans="3:71" x14ac:dyDescent="0.2"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</row>
    <row r="177" spans="3:71" x14ac:dyDescent="0.2"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</row>
    <row r="178" spans="3:71" x14ac:dyDescent="0.2"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</row>
    <row r="179" spans="3:71" x14ac:dyDescent="0.2"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</row>
    <row r="180" spans="3:71" x14ac:dyDescent="0.2"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</row>
    <row r="181" spans="3:71" x14ac:dyDescent="0.2"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</row>
    <row r="182" spans="3:71" x14ac:dyDescent="0.2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</row>
    <row r="183" spans="3:71" x14ac:dyDescent="0.2"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</row>
    <row r="184" spans="3:71" x14ac:dyDescent="0.2"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</row>
    <row r="185" spans="3:71" x14ac:dyDescent="0.2"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</row>
    <row r="186" spans="3:71" x14ac:dyDescent="0.2"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</row>
    <row r="187" spans="3:71" x14ac:dyDescent="0.2"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</row>
    <row r="188" spans="3:71" x14ac:dyDescent="0.2"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</row>
    <row r="189" spans="3:71" x14ac:dyDescent="0.2"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</row>
    <row r="190" spans="3:71" x14ac:dyDescent="0.2"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</row>
    <row r="191" spans="3:71" x14ac:dyDescent="0.2"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</row>
    <row r="192" spans="3:71" x14ac:dyDescent="0.2"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</row>
    <row r="193" spans="3:71" x14ac:dyDescent="0.2"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</row>
    <row r="194" spans="3:71" x14ac:dyDescent="0.2"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</row>
    <row r="195" spans="3:71" x14ac:dyDescent="0.2"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</row>
    <row r="196" spans="3:71" x14ac:dyDescent="0.2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</row>
    <row r="197" spans="3:71" x14ac:dyDescent="0.2"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</row>
    <row r="198" spans="3:71" x14ac:dyDescent="0.2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</row>
    <row r="199" spans="3:71" x14ac:dyDescent="0.2"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</row>
    <row r="200" spans="3:71" x14ac:dyDescent="0.2"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</row>
    <row r="201" spans="3:71" x14ac:dyDescent="0.2"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</row>
    <row r="202" spans="3:71" x14ac:dyDescent="0.2"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</row>
    <row r="203" spans="3:71" x14ac:dyDescent="0.2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</row>
    <row r="204" spans="3:71" x14ac:dyDescent="0.2"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</row>
    <row r="205" spans="3:71" x14ac:dyDescent="0.2"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</row>
    <row r="206" spans="3:71" x14ac:dyDescent="0.2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</row>
    <row r="207" spans="3:71" x14ac:dyDescent="0.2"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</row>
    <row r="208" spans="3:71" x14ac:dyDescent="0.2"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</row>
    <row r="209" spans="3:71" x14ac:dyDescent="0.2"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</row>
    <row r="210" spans="3:71" x14ac:dyDescent="0.2"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</row>
    <row r="211" spans="3:71" x14ac:dyDescent="0.2"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</row>
    <row r="212" spans="3:71" x14ac:dyDescent="0.2"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</row>
    <row r="213" spans="3:71" x14ac:dyDescent="0.2"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</row>
    <row r="214" spans="3:71" x14ac:dyDescent="0.2"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</row>
    <row r="215" spans="3:71" x14ac:dyDescent="0.2"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</row>
    <row r="216" spans="3:71" x14ac:dyDescent="0.2"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</row>
    <row r="217" spans="3:71" x14ac:dyDescent="0.2"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</row>
    <row r="218" spans="3:71" x14ac:dyDescent="0.2"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</row>
    <row r="219" spans="3:71" x14ac:dyDescent="0.2"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</row>
    <row r="220" spans="3:71" x14ac:dyDescent="0.2"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</row>
    <row r="221" spans="3:71" x14ac:dyDescent="0.2"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</row>
    <row r="222" spans="3:71" x14ac:dyDescent="0.2"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</row>
    <row r="223" spans="3:71" x14ac:dyDescent="0.2"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</row>
    <row r="224" spans="3:71" x14ac:dyDescent="0.2"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</row>
    <row r="225" spans="3:71" x14ac:dyDescent="0.2"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</row>
    <row r="226" spans="3:71" x14ac:dyDescent="0.2"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</row>
    <row r="227" spans="3:71" x14ac:dyDescent="0.2"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</row>
    <row r="228" spans="3:71" x14ac:dyDescent="0.2"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</row>
    <row r="229" spans="3:71" x14ac:dyDescent="0.2"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</row>
    <row r="230" spans="3:71" x14ac:dyDescent="0.2"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</row>
    <row r="231" spans="3:71" x14ac:dyDescent="0.2"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</row>
    <row r="232" spans="3:71" x14ac:dyDescent="0.2"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</row>
    <row r="233" spans="3:71" x14ac:dyDescent="0.2"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</row>
    <row r="234" spans="3:71" x14ac:dyDescent="0.2"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</row>
    <row r="235" spans="3:71" x14ac:dyDescent="0.2"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</row>
    <row r="236" spans="3:71" x14ac:dyDescent="0.2"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</row>
    <row r="237" spans="3:71" x14ac:dyDescent="0.2"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</row>
    <row r="238" spans="3:71" x14ac:dyDescent="0.2"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</row>
    <row r="239" spans="3:71" x14ac:dyDescent="0.2"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</row>
    <row r="240" spans="3:71" x14ac:dyDescent="0.2"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</row>
    <row r="241" spans="3:71" x14ac:dyDescent="0.2"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</row>
    <row r="242" spans="3:71" x14ac:dyDescent="0.2"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</row>
    <row r="243" spans="3:71" x14ac:dyDescent="0.2"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</row>
    <row r="244" spans="3:71" x14ac:dyDescent="0.2"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</row>
    <row r="245" spans="3:71" x14ac:dyDescent="0.2"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</row>
    <row r="246" spans="3:71" x14ac:dyDescent="0.2"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</row>
    <row r="247" spans="3:71" x14ac:dyDescent="0.2"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</row>
    <row r="248" spans="3:71" x14ac:dyDescent="0.2"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</row>
    <row r="249" spans="3:71" x14ac:dyDescent="0.2"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</row>
    <row r="250" spans="3:71" x14ac:dyDescent="0.2"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</row>
    <row r="251" spans="3:71" x14ac:dyDescent="0.2"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</row>
    <row r="252" spans="3:71" x14ac:dyDescent="0.2"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</row>
    <row r="253" spans="3:71" x14ac:dyDescent="0.2"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</row>
    <row r="254" spans="3:71" x14ac:dyDescent="0.2"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</row>
    <row r="255" spans="3:71" x14ac:dyDescent="0.2"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</row>
    <row r="256" spans="3:71" x14ac:dyDescent="0.2"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</row>
    <row r="257" spans="3:71" x14ac:dyDescent="0.2"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</row>
    <row r="258" spans="3:71" x14ac:dyDescent="0.2"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</row>
    <row r="259" spans="3:71" x14ac:dyDescent="0.2"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</row>
    <row r="260" spans="3:71" x14ac:dyDescent="0.2"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</row>
    <row r="261" spans="3:71" x14ac:dyDescent="0.2"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</row>
    <row r="262" spans="3:71" x14ac:dyDescent="0.2"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</row>
    <row r="263" spans="3:71" x14ac:dyDescent="0.2"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</row>
    <row r="264" spans="3:71" x14ac:dyDescent="0.2"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</row>
    <row r="265" spans="3:71" x14ac:dyDescent="0.2"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</row>
    <row r="266" spans="3:71" x14ac:dyDescent="0.2"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</row>
    <row r="267" spans="3:71" x14ac:dyDescent="0.2"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</row>
    <row r="268" spans="3:71" x14ac:dyDescent="0.2"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</row>
    <row r="269" spans="3:71" x14ac:dyDescent="0.2"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</row>
    <row r="270" spans="3:71" x14ac:dyDescent="0.2"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</row>
    <row r="271" spans="3:71" x14ac:dyDescent="0.2"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</row>
    <row r="272" spans="3:71" x14ac:dyDescent="0.2"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</row>
    <row r="273" spans="3:71" x14ac:dyDescent="0.2"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</row>
    <row r="274" spans="3:71" x14ac:dyDescent="0.2"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</row>
    <row r="275" spans="3:71" x14ac:dyDescent="0.2"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</row>
    <row r="276" spans="3:71" x14ac:dyDescent="0.2"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</row>
    <row r="277" spans="3:71" x14ac:dyDescent="0.2"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</row>
    <row r="278" spans="3:71" x14ac:dyDescent="0.2"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</row>
    <row r="279" spans="3:71" x14ac:dyDescent="0.2"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</row>
    <row r="280" spans="3:71" x14ac:dyDescent="0.2"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</row>
    <row r="281" spans="3:71" x14ac:dyDescent="0.2"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</row>
    <row r="282" spans="3:71" x14ac:dyDescent="0.2"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</row>
    <row r="283" spans="3:71" x14ac:dyDescent="0.2"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</row>
    <row r="284" spans="3:71" x14ac:dyDescent="0.2"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</row>
    <row r="285" spans="3:71" x14ac:dyDescent="0.2"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</row>
    <row r="286" spans="3:71" x14ac:dyDescent="0.2"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</row>
    <row r="287" spans="3:71" x14ac:dyDescent="0.2"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</row>
    <row r="288" spans="3:71" x14ac:dyDescent="0.2"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</row>
    <row r="289" spans="3:71" x14ac:dyDescent="0.2"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</row>
    <row r="290" spans="3:71" x14ac:dyDescent="0.2"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</row>
    <row r="291" spans="3:71" x14ac:dyDescent="0.2"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</row>
    <row r="292" spans="3:71" x14ac:dyDescent="0.2"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</row>
    <row r="293" spans="3:71" x14ac:dyDescent="0.2"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</row>
    <row r="294" spans="3:71" x14ac:dyDescent="0.2"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</row>
    <row r="295" spans="3:71" x14ac:dyDescent="0.2"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</row>
    <row r="296" spans="3:71" x14ac:dyDescent="0.2"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</row>
    <row r="297" spans="3:71" x14ac:dyDescent="0.2"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</row>
    <row r="298" spans="3:71" x14ac:dyDescent="0.2"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</row>
    <row r="299" spans="3:71" x14ac:dyDescent="0.2"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</row>
    <row r="300" spans="3:71" x14ac:dyDescent="0.2"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</row>
    <row r="301" spans="3:71" x14ac:dyDescent="0.2"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</row>
    <row r="302" spans="3:71" x14ac:dyDescent="0.2"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</row>
    <row r="303" spans="3:71" x14ac:dyDescent="0.2"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</row>
    <row r="304" spans="3:71" x14ac:dyDescent="0.2"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</row>
    <row r="305" spans="3:71" x14ac:dyDescent="0.2"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</row>
    <row r="306" spans="3:71" x14ac:dyDescent="0.2"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</row>
    <row r="307" spans="3:71" x14ac:dyDescent="0.2"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</row>
    <row r="308" spans="3:71" x14ac:dyDescent="0.2"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</row>
    <row r="309" spans="3:71" x14ac:dyDescent="0.2"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</row>
    <row r="310" spans="3:71" x14ac:dyDescent="0.2"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</row>
    <row r="311" spans="3:71" x14ac:dyDescent="0.2"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</row>
    <row r="312" spans="3:71" x14ac:dyDescent="0.2"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</row>
    <row r="313" spans="3:71" x14ac:dyDescent="0.2"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</row>
    <row r="314" spans="3:71" x14ac:dyDescent="0.2"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</row>
    <row r="315" spans="3:71" x14ac:dyDescent="0.2"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</row>
    <row r="316" spans="3:71" x14ac:dyDescent="0.2"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</row>
    <row r="317" spans="3:71" x14ac:dyDescent="0.2"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</row>
    <row r="318" spans="3:71" x14ac:dyDescent="0.2"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</row>
    <row r="319" spans="3:71" x14ac:dyDescent="0.2"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</row>
    <row r="320" spans="3:71" x14ac:dyDescent="0.2"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</row>
    <row r="321" spans="3:71" x14ac:dyDescent="0.2"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</row>
    <row r="322" spans="3:71" x14ac:dyDescent="0.2"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</row>
    <row r="323" spans="3:71" x14ac:dyDescent="0.2"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</row>
    <row r="324" spans="3:71" x14ac:dyDescent="0.2"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</row>
    <row r="325" spans="3:71" x14ac:dyDescent="0.2"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</row>
    <row r="326" spans="3:71" x14ac:dyDescent="0.2"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</row>
    <row r="327" spans="3:71" x14ac:dyDescent="0.2"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</row>
    <row r="328" spans="3:71" x14ac:dyDescent="0.2"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</row>
    <row r="329" spans="3:71" x14ac:dyDescent="0.2"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</row>
    <row r="330" spans="3:71" x14ac:dyDescent="0.2"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</row>
    <row r="331" spans="3:71" x14ac:dyDescent="0.2"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</row>
    <row r="332" spans="3:71" x14ac:dyDescent="0.2"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</row>
    <row r="333" spans="3:71" x14ac:dyDescent="0.2"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</row>
    <row r="334" spans="3:71" x14ac:dyDescent="0.2"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</row>
    <row r="335" spans="3:71" x14ac:dyDescent="0.2"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</row>
    <row r="336" spans="3:71" x14ac:dyDescent="0.2"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</row>
    <row r="337" spans="3:71" x14ac:dyDescent="0.2"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</row>
    <row r="338" spans="3:71" x14ac:dyDescent="0.2"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</row>
    <row r="339" spans="3:71" x14ac:dyDescent="0.2"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</row>
    <row r="340" spans="3:71" x14ac:dyDescent="0.2"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</row>
    <row r="341" spans="3:71" x14ac:dyDescent="0.2"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</row>
    <row r="342" spans="3:71" x14ac:dyDescent="0.2"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</row>
    <row r="343" spans="3:71" x14ac:dyDescent="0.2"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</row>
    <row r="344" spans="3:71" x14ac:dyDescent="0.2"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</row>
    <row r="345" spans="3:71" x14ac:dyDescent="0.2"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</row>
    <row r="346" spans="3:71" x14ac:dyDescent="0.2"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</row>
    <row r="347" spans="3:71" x14ac:dyDescent="0.2"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</row>
    <row r="348" spans="3:71" x14ac:dyDescent="0.2"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</row>
    <row r="349" spans="3:71" x14ac:dyDescent="0.2"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</row>
    <row r="350" spans="3:71" x14ac:dyDescent="0.2"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</row>
    <row r="351" spans="3:71" x14ac:dyDescent="0.2"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</row>
    <row r="352" spans="3:71" x14ac:dyDescent="0.2"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</row>
    <row r="353" spans="3:71" x14ac:dyDescent="0.2"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</row>
    <row r="354" spans="3:71" x14ac:dyDescent="0.2"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</row>
    <row r="355" spans="3:71" x14ac:dyDescent="0.2"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</row>
    <row r="356" spans="3:71" x14ac:dyDescent="0.2"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</row>
    <row r="357" spans="3:71" x14ac:dyDescent="0.2"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</row>
    <row r="358" spans="3:71" x14ac:dyDescent="0.2"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</row>
    <row r="359" spans="3:71" x14ac:dyDescent="0.2"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</row>
    <row r="360" spans="3:71" x14ac:dyDescent="0.2"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</row>
    <row r="361" spans="3:71" x14ac:dyDescent="0.2"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</row>
    <row r="362" spans="3:71" x14ac:dyDescent="0.2"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</row>
    <row r="363" spans="3:71" x14ac:dyDescent="0.2"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</row>
    <row r="364" spans="3:71" x14ac:dyDescent="0.2"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</row>
    <row r="365" spans="3:71" x14ac:dyDescent="0.2"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</row>
    <row r="366" spans="3:71" x14ac:dyDescent="0.2"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</row>
    <row r="367" spans="3:71" x14ac:dyDescent="0.2"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</row>
    <row r="368" spans="3:71" x14ac:dyDescent="0.2"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</row>
    <row r="369" spans="3:71" x14ac:dyDescent="0.2"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</row>
    <row r="370" spans="3:71" x14ac:dyDescent="0.2"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</row>
    <row r="371" spans="3:71" x14ac:dyDescent="0.2"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</row>
    <row r="372" spans="3:71" x14ac:dyDescent="0.2"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</row>
    <row r="373" spans="3:71" x14ac:dyDescent="0.2"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</row>
    <row r="374" spans="3:71" x14ac:dyDescent="0.2"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</row>
    <row r="375" spans="3:71" x14ac:dyDescent="0.2"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</row>
    <row r="376" spans="3:71" x14ac:dyDescent="0.2"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</row>
    <row r="377" spans="3:71" x14ac:dyDescent="0.2"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</row>
    <row r="378" spans="3:71" x14ac:dyDescent="0.2"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</row>
    <row r="379" spans="3:71" x14ac:dyDescent="0.2"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</row>
    <row r="380" spans="3:71" x14ac:dyDescent="0.2"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</row>
    <row r="381" spans="3:71" x14ac:dyDescent="0.2"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</row>
    <row r="382" spans="3:71" x14ac:dyDescent="0.2"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</row>
    <row r="383" spans="3:71" x14ac:dyDescent="0.2"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</row>
    <row r="384" spans="3:71" x14ac:dyDescent="0.2"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</row>
    <row r="385" spans="3:71" x14ac:dyDescent="0.2"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</row>
    <row r="386" spans="3:71" x14ac:dyDescent="0.2"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</row>
    <row r="387" spans="3:71" x14ac:dyDescent="0.2"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</row>
    <row r="388" spans="3:71" x14ac:dyDescent="0.2"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</row>
    <row r="389" spans="3:71" x14ac:dyDescent="0.2"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</row>
    <row r="390" spans="3:71" x14ac:dyDescent="0.2"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</row>
    <row r="391" spans="3:71" x14ac:dyDescent="0.2"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</row>
    <row r="392" spans="3:71" x14ac:dyDescent="0.2"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</row>
    <row r="393" spans="3:71" x14ac:dyDescent="0.2"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</row>
    <row r="394" spans="3:71" x14ac:dyDescent="0.2"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</row>
    <row r="395" spans="3:71" x14ac:dyDescent="0.2"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</row>
    <row r="396" spans="3:71" x14ac:dyDescent="0.2"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</row>
    <row r="397" spans="3:71" x14ac:dyDescent="0.2"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</row>
    <row r="398" spans="3:71" x14ac:dyDescent="0.2"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</row>
    <row r="399" spans="3:71" x14ac:dyDescent="0.2"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</row>
    <row r="400" spans="3:71" x14ac:dyDescent="0.2"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</row>
    <row r="401" spans="3:71" x14ac:dyDescent="0.2"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</row>
    <row r="402" spans="3:71" x14ac:dyDescent="0.2"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</row>
    <row r="403" spans="3:71" x14ac:dyDescent="0.2"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</row>
    <row r="404" spans="3:71" x14ac:dyDescent="0.2"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</row>
    <row r="405" spans="3:71" x14ac:dyDescent="0.2"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</row>
    <row r="406" spans="3:71" x14ac:dyDescent="0.2"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</row>
    <row r="407" spans="3:71" x14ac:dyDescent="0.2"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</row>
    <row r="408" spans="3:71" x14ac:dyDescent="0.2"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</row>
    <row r="409" spans="3:71" x14ac:dyDescent="0.2"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</row>
    <row r="410" spans="3:71" x14ac:dyDescent="0.2"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</row>
    <row r="411" spans="3:71" x14ac:dyDescent="0.2"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</row>
    <row r="412" spans="3:71" x14ac:dyDescent="0.2"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</row>
    <row r="413" spans="3:71" x14ac:dyDescent="0.2"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</row>
    <row r="414" spans="3:71" x14ac:dyDescent="0.2"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</row>
    <row r="415" spans="3:71" x14ac:dyDescent="0.2"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</row>
    <row r="416" spans="3:71" x14ac:dyDescent="0.2"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</row>
    <row r="417" spans="3:71" x14ac:dyDescent="0.2"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</row>
    <row r="418" spans="3:71" x14ac:dyDescent="0.2"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</row>
    <row r="419" spans="3:71" x14ac:dyDescent="0.2"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</row>
    <row r="420" spans="3:71" x14ac:dyDescent="0.2"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</row>
    <row r="421" spans="3:71" x14ac:dyDescent="0.2"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</row>
    <row r="422" spans="3:71" x14ac:dyDescent="0.2"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</row>
    <row r="423" spans="3:71" x14ac:dyDescent="0.2"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</row>
    <row r="424" spans="3:71" x14ac:dyDescent="0.2"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</row>
    <row r="425" spans="3:71" x14ac:dyDescent="0.2"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</row>
    <row r="426" spans="3:71" x14ac:dyDescent="0.2"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</row>
    <row r="427" spans="3:71" x14ac:dyDescent="0.2"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</row>
    <row r="428" spans="3:71" x14ac:dyDescent="0.2"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</row>
    <row r="429" spans="3:71" x14ac:dyDescent="0.2"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</row>
    <row r="430" spans="3:71" x14ac:dyDescent="0.2"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</row>
    <row r="431" spans="3:71" x14ac:dyDescent="0.2"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</row>
    <row r="432" spans="3:71" x14ac:dyDescent="0.2"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</row>
    <row r="433" spans="3:71" x14ac:dyDescent="0.2"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</row>
    <row r="434" spans="3:71" x14ac:dyDescent="0.2"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</row>
    <row r="435" spans="3:71" x14ac:dyDescent="0.2"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</row>
    <row r="436" spans="3:71" x14ac:dyDescent="0.2"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</row>
    <row r="437" spans="3:71" x14ac:dyDescent="0.2"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</row>
    <row r="438" spans="3:71" x14ac:dyDescent="0.2"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</row>
    <row r="439" spans="3:71" x14ac:dyDescent="0.2"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</row>
    <row r="440" spans="3:71" x14ac:dyDescent="0.2"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</row>
    <row r="441" spans="3:71" x14ac:dyDescent="0.2"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</row>
    <row r="442" spans="3:71" x14ac:dyDescent="0.2"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</row>
    <row r="443" spans="3:71" x14ac:dyDescent="0.2"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</row>
    <row r="444" spans="3:71" x14ac:dyDescent="0.2"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</row>
    <row r="445" spans="3:71" x14ac:dyDescent="0.2"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</row>
    <row r="446" spans="3:71" x14ac:dyDescent="0.2"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</row>
    <row r="447" spans="3:71" x14ac:dyDescent="0.2"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</row>
    <row r="448" spans="3:71" x14ac:dyDescent="0.2"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</row>
    <row r="449" spans="3:71" x14ac:dyDescent="0.2"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</row>
    <row r="450" spans="3:71" x14ac:dyDescent="0.2"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</row>
    <row r="451" spans="3:71" x14ac:dyDescent="0.2"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</row>
    <row r="452" spans="3:71" x14ac:dyDescent="0.2"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</row>
    <row r="453" spans="3:71" x14ac:dyDescent="0.2"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</row>
    <row r="454" spans="3:71" x14ac:dyDescent="0.2"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</row>
    <row r="455" spans="3:71" x14ac:dyDescent="0.2"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</row>
    <row r="456" spans="3:71" x14ac:dyDescent="0.2"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</row>
    <row r="457" spans="3:71" x14ac:dyDescent="0.2"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</row>
    <row r="458" spans="3:71" x14ac:dyDescent="0.2"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</row>
    <row r="459" spans="3:71" x14ac:dyDescent="0.2"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</row>
    <row r="460" spans="3:71" x14ac:dyDescent="0.2"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</row>
    <row r="461" spans="3:71" x14ac:dyDescent="0.2"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</row>
    <row r="462" spans="3:71" x14ac:dyDescent="0.2"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</row>
    <row r="463" spans="3:71" x14ac:dyDescent="0.2"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</row>
    <row r="464" spans="3:71" x14ac:dyDescent="0.2"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</row>
    <row r="465" spans="3:71" x14ac:dyDescent="0.2"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</row>
    <row r="466" spans="3:71" x14ac:dyDescent="0.2"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</row>
    <row r="467" spans="3:71" x14ac:dyDescent="0.2"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</row>
    <row r="468" spans="3:71" x14ac:dyDescent="0.2"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</row>
    <row r="469" spans="3:71" x14ac:dyDescent="0.2"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</row>
    <row r="470" spans="3:71" x14ac:dyDescent="0.2"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</row>
    <row r="471" spans="3:71" x14ac:dyDescent="0.2"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</row>
    <row r="472" spans="3:71" x14ac:dyDescent="0.2"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</row>
    <row r="473" spans="3:71" x14ac:dyDescent="0.2"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</row>
    <row r="474" spans="3:71" x14ac:dyDescent="0.2"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</row>
    <row r="475" spans="3:71" x14ac:dyDescent="0.2"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</row>
    <row r="476" spans="3:71" x14ac:dyDescent="0.2"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</row>
    <row r="477" spans="3:71" x14ac:dyDescent="0.2"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</row>
    <row r="478" spans="3:71" x14ac:dyDescent="0.2"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</row>
    <row r="479" spans="3:71" x14ac:dyDescent="0.2"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</row>
    <row r="480" spans="3:71" x14ac:dyDescent="0.2"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</row>
    <row r="481" spans="3:71" x14ac:dyDescent="0.2"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</row>
  </sheetData>
  <hyperlinks>
    <hyperlink ref="A1" location="Main!A1" display="Main" xr:uid="{75135DA7-2A2C-4230-9671-BAB144A2B28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2025-03-19T12:08:10Z</dcterms:created>
  <dcterms:modified xsi:type="dcterms:W3CDTF">2026-03-18T10:41:20Z</dcterms:modified>
</cp:coreProperties>
</file>