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E16DAC0E-72A7-4AD8-B775-24F07B211FC3}" xr6:coauthVersionLast="47" xr6:coauthVersionMax="47" xr10:uidLastSave="{00000000-0000-0000-0000-000000000000}"/>
  <bookViews>
    <workbookView xWindow="225" yWindow="5070" windowWidth="38175" windowHeight="15240" activeTab="1" xr2:uid="{77B1A4EE-996D-4D60-93D5-8CB939E2D3D2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6" i="1"/>
  <c r="K4" i="1"/>
</calcChain>
</file>

<file path=xl/sharedStrings.xml><?xml version="1.0" encoding="utf-8"?>
<sst xmlns="http://schemas.openxmlformats.org/spreadsheetml/2006/main" count="21" uniqueCount="19">
  <si>
    <t>Springer Nature Group</t>
  </si>
  <si>
    <t>numbers in mio EUR</t>
  </si>
  <si>
    <t>Price</t>
  </si>
  <si>
    <t>Shares</t>
  </si>
  <si>
    <t>MC</t>
  </si>
  <si>
    <t>Cash</t>
  </si>
  <si>
    <t>Debt</t>
  </si>
  <si>
    <t>EV</t>
  </si>
  <si>
    <t>Q425</t>
  </si>
  <si>
    <t>IR</t>
  </si>
  <si>
    <t>SPG.F</t>
  </si>
  <si>
    <t>Main</t>
  </si>
  <si>
    <t>FY24</t>
  </si>
  <si>
    <t>FY25</t>
  </si>
  <si>
    <t>Research</t>
  </si>
  <si>
    <t>Health</t>
  </si>
  <si>
    <t>Education</t>
  </si>
  <si>
    <t xml:space="preserve">Group 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</si>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</sst>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;\(#,##0.0\)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2" fillId="0" borderId="0" xfId="1"/>
    <xf numFmtId="165" fontId="0" fillId="0" borderId="0" xfId="0" applyNumberFormat="1"/>
    <xf numFmtId="165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60AA-2D9C-4D88-817D-E3B7D5D4DFB5}">
  <dimension ref="A1:L7"/>
  <sheetViews>
    <sheetView zoomScale="200" zoomScaleNormal="200" workbookViewId="0">
      <selection activeCell="K6" sqref="K6"/>
    </sheetView>
  </sheetViews>
  <sheetFormatPr defaultRowHeight="12.75" x14ac:dyDescent="0.2"/>
  <cols>
    <col min="1" max="1" width="4.7109375" customWidth="1"/>
  </cols>
  <sheetData>
    <row r="1" spans="1:12" x14ac:dyDescent="0.2">
      <c r="A1" s="1" t="s">
        <v>0</v>
      </c>
    </row>
    <row r="2" spans="1:12" x14ac:dyDescent="0.2">
      <c r="A2" t="s">
        <v>1</v>
      </c>
      <c r="J2" t="s">
        <v>2</v>
      </c>
      <c r="K2">
        <v>17.72</v>
      </c>
    </row>
    <row r="3" spans="1:12" x14ac:dyDescent="0.2">
      <c r="J3" t="s">
        <v>3</v>
      </c>
      <c r="K3" s="3">
        <v>198.9</v>
      </c>
      <c r="L3" s="2" t="s">
        <v>8</v>
      </c>
    </row>
    <row r="4" spans="1:12" x14ac:dyDescent="0.2">
      <c r="B4" t="s">
        <v>9</v>
      </c>
      <c r="J4" t="s">
        <v>4</v>
      </c>
      <c r="K4" s="3">
        <f>+K2*K3</f>
        <v>3524.5079999999998</v>
      </c>
    </row>
    <row r="5" spans="1:12" x14ac:dyDescent="0.2">
      <c r="B5" t="s">
        <v>10</v>
      </c>
      <c r="J5" t="s">
        <v>5</v>
      </c>
      <c r="K5" s="3">
        <v>269.7</v>
      </c>
      <c r="L5" s="2" t="s">
        <v>8</v>
      </c>
    </row>
    <row r="6" spans="1:12" x14ac:dyDescent="0.2">
      <c r="J6" t="s">
        <v>6</v>
      </c>
      <c r="K6" s="3">
        <f>1424.8+1.8</f>
        <v>1426.6</v>
      </c>
      <c r="L6" s="2" t="s">
        <v>8</v>
      </c>
    </row>
    <row r="7" spans="1:12" x14ac:dyDescent="0.2">
      <c r="J7" t="s">
        <v>7</v>
      </c>
      <c r="K7" s="3">
        <f>+K4-K5+K6</f>
        <v>4681.4079999999994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169A-6F12-4CE8-87F1-95EA87064D5A}">
  <dimension ref="A1:BF185"/>
  <sheetViews>
    <sheetView tabSelected="1" zoomScale="200" zoomScaleNormal="2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9" sqref="E9"/>
    </sheetView>
  </sheetViews>
  <sheetFormatPr defaultRowHeight="12.75" x14ac:dyDescent="0.2"/>
  <cols>
    <col min="1" max="1" width="5" bestFit="1" customWidth="1"/>
    <col min="2" max="2" width="24.140625" customWidth="1"/>
  </cols>
  <sheetData>
    <row r="1" spans="1:58" x14ac:dyDescent="0.2">
      <c r="A1" s="4" t="s">
        <v>11</v>
      </c>
    </row>
    <row r="2" spans="1:58" x14ac:dyDescent="0.2">
      <c r="D2" s="2" t="s">
        <v>12</v>
      </c>
      <c r="E2" s="2" t="s">
        <v>13</v>
      </c>
    </row>
    <row r="3" spans="1:58" x14ac:dyDescent="0.2"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</row>
    <row r="4" spans="1:58" x14ac:dyDescent="0.2">
      <c r="B4" t="s">
        <v>14</v>
      </c>
      <c r="C4" s="5"/>
      <c r="D4" s="5">
        <v>1426</v>
      </c>
      <c r="E4" s="5">
        <v>1517.2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</row>
    <row r="5" spans="1:58" x14ac:dyDescent="0.2">
      <c r="B5" t="s">
        <v>15</v>
      </c>
      <c r="C5" s="5"/>
      <c r="D5" s="5">
        <v>188.2</v>
      </c>
      <c r="E5" s="5">
        <v>191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</row>
    <row r="6" spans="1:58" x14ac:dyDescent="0.2">
      <c r="B6" t="s">
        <v>16</v>
      </c>
      <c r="C6" s="5"/>
      <c r="D6" s="5">
        <v>234.8</v>
      </c>
      <c r="E6" s="5">
        <v>219.8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</row>
    <row r="7" spans="1:58" x14ac:dyDescent="0.2">
      <c r="B7" t="s">
        <v>17</v>
      </c>
      <c r="C7" s="5"/>
      <c r="D7" s="5">
        <v>-1.9</v>
      </c>
      <c r="E7" s="5">
        <v>-1.6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x14ac:dyDescent="0.2">
      <c r="B8" s="1" t="s">
        <v>18</v>
      </c>
      <c r="C8" s="5"/>
      <c r="D8" s="6">
        <v>1847.1</v>
      </c>
      <c r="E8" s="6">
        <v>1926.4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</row>
    <row r="9" spans="1:58" x14ac:dyDescent="0.2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</row>
    <row r="10" spans="1:58" x14ac:dyDescent="0.2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</row>
    <row r="11" spans="1:58" x14ac:dyDescent="0.2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</row>
    <row r="12" spans="1:58" x14ac:dyDescent="0.2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</row>
    <row r="13" spans="1:58" x14ac:dyDescent="0.2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</row>
    <row r="14" spans="1:58" x14ac:dyDescent="0.2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</row>
    <row r="15" spans="1:58" x14ac:dyDescent="0.2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</row>
    <row r="16" spans="1:58" x14ac:dyDescent="0.2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</row>
    <row r="17" spans="3:58" x14ac:dyDescent="0.2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</row>
    <row r="18" spans="3:58" x14ac:dyDescent="0.2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</row>
    <row r="19" spans="3:58" x14ac:dyDescent="0.2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</row>
    <row r="20" spans="3:58" x14ac:dyDescent="0.2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</row>
    <row r="21" spans="3:58" x14ac:dyDescent="0.2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</row>
    <row r="22" spans="3:58" x14ac:dyDescent="0.2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</row>
    <row r="23" spans="3:58" x14ac:dyDescent="0.2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</row>
    <row r="24" spans="3:58" x14ac:dyDescent="0.2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</row>
    <row r="25" spans="3:58" x14ac:dyDescent="0.2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</row>
    <row r="26" spans="3:58" x14ac:dyDescent="0.2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</row>
    <row r="27" spans="3:58" x14ac:dyDescent="0.2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</row>
    <row r="28" spans="3:58" x14ac:dyDescent="0.2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</row>
    <row r="29" spans="3:58" x14ac:dyDescent="0.2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</row>
    <row r="30" spans="3:58" x14ac:dyDescent="0.2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</row>
    <row r="31" spans="3:58" x14ac:dyDescent="0.2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</row>
    <row r="32" spans="3:58" x14ac:dyDescent="0.2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</row>
    <row r="33" spans="3:58" x14ac:dyDescent="0.2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</row>
    <row r="34" spans="3:58" x14ac:dyDescent="0.2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</row>
    <row r="35" spans="3:58" x14ac:dyDescent="0.2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</row>
    <row r="36" spans="3:58" x14ac:dyDescent="0.2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</row>
    <row r="37" spans="3:58" x14ac:dyDescent="0.2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</row>
    <row r="38" spans="3:58" x14ac:dyDescent="0.2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</row>
    <row r="39" spans="3:58" x14ac:dyDescent="0.2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</row>
    <row r="40" spans="3:58" x14ac:dyDescent="0.2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3:58" x14ac:dyDescent="0.2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</row>
    <row r="42" spans="3:58" x14ac:dyDescent="0.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</row>
    <row r="43" spans="3:58" x14ac:dyDescent="0.2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</row>
    <row r="44" spans="3:58" x14ac:dyDescent="0.2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</row>
    <row r="45" spans="3:58" x14ac:dyDescent="0.2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</row>
    <row r="46" spans="3:58" x14ac:dyDescent="0.2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</row>
    <row r="47" spans="3:58" x14ac:dyDescent="0.2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</row>
    <row r="48" spans="3:58" x14ac:dyDescent="0.2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</row>
    <row r="49" spans="3:58" x14ac:dyDescent="0.2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</row>
    <row r="50" spans="3:58" x14ac:dyDescent="0.2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</row>
    <row r="51" spans="3:58" x14ac:dyDescent="0.2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</row>
    <row r="52" spans="3:58" x14ac:dyDescent="0.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</row>
    <row r="53" spans="3:58" x14ac:dyDescent="0.2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</row>
    <row r="54" spans="3:58" x14ac:dyDescent="0.2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</row>
    <row r="55" spans="3:58" x14ac:dyDescent="0.2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</row>
    <row r="56" spans="3:58" x14ac:dyDescent="0.2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</row>
    <row r="57" spans="3:58" x14ac:dyDescent="0.2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</row>
    <row r="58" spans="3:58" x14ac:dyDescent="0.2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</row>
    <row r="59" spans="3:58" x14ac:dyDescent="0.2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</row>
    <row r="60" spans="3:58" x14ac:dyDescent="0.2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</row>
    <row r="61" spans="3:58" x14ac:dyDescent="0.2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</row>
    <row r="62" spans="3:58" x14ac:dyDescent="0.2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</row>
    <row r="63" spans="3:58" x14ac:dyDescent="0.2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</row>
    <row r="64" spans="3:58" x14ac:dyDescent="0.2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</row>
    <row r="65" spans="3:58" x14ac:dyDescent="0.2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</row>
    <row r="66" spans="3:58" x14ac:dyDescent="0.2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</row>
    <row r="67" spans="3:58" x14ac:dyDescent="0.2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</row>
    <row r="68" spans="3:58" x14ac:dyDescent="0.2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</row>
    <row r="69" spans="3:58" x14ac:dyDescent="0.2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</row>
    <row r="70" spans="3:58" x14ac:dyDescent="0.2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</row>
    <row r="71" spans="3:58" x14ac:dyDescent="0.2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</row>
    <row r="72" spans="3:58" x14ac:dyDescent="0.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</row>
    <row r="73" spans="3:58" x14ac:dyDescent="0.2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</row>
    <row r="74" spans="3:58" x14ac:dyDescent="0.2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</row>
    <row r="75" spans="3:58" x14ac:dyDescent="0.2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</row>
    <row r="76" spans="3:58" x14ac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</row>
    <row r="77" spans="3:58" x14ac:dyDescent="0.2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</row>
    <row r="78" spans="3:58" x14ac:dyDescent="0.2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</row>
    <row r="79" spans="3:58" x14ac:dyDescent="0.2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</row>
    <row r="80" spans="3:58" x14ac:dyDescent="0.2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</row>
    <row r="81" spans="3:58" x14ac:dyDescent="0.2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</row>
    <row r="82" spans="3:58" x14ac:dyDescent="0.2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</row>
    <row r="83" spans="3:58" x14ac:dyDescent="0.2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</row>
    <row r="84" spans="3:58" x14ac:dyDescent="0.2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</row>
    <row r="85" spans="3:58" x14ac:dyDescent="0.2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</row>
    <row r="86" spans="3:58" x14ac:dyDescent="0.2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</row>
    <row r="87" spans="3:58" x14ac:dyDescent="0.2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</row>
    <row r="88" spans="3:58" x14ac:dyDescent="0.2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</row>
    <row r="89" spans="3:58" x14ac:dyDescent="0.2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</row>
    <row r="90" spans="3:58" x14ac:dyDescent="0.2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</row>
    <row r="91" spans="3:58" x14ac:dyDescent="0.2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</row>
    <row r="92" spans="3:58" x14ac:dyDescent="0.2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</row>
    <row r="93" spans="3:58" x14ac:dyDescent="0.2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</row>
    <row r="94" spans="3:58" x14ac:dyDescent="0.2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</row>
    <row r="95" spans="3:58" x14ac:dyDescent="0.2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</row>
    <row r="96" spans="3:58" x14ac:dyDescent="0.2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</row>
    <row r="97" spans="3:58" x14ac:dyDescent="0.2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</row>
    <row r="98" spans="3:58" x14ac:dyDescent="0.2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</row>
    <row r="99" spans="3:58" x14ac:dyDescent="0.2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</row>
    <row r="100" spans="3:58" x14ac:dyDescent="0.2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</row>
    <row r="101" spans="3:58" x14ac:dyDescent="0.2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</row>
    <row r="102" spans="3:58" x14ac:dyDescent="0.2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</row>
    <row r="103" spans="3:58" x14ac:dyDescent="0.2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</row>
    <row r="104" spans="3:58" x14ac:dyDescent="0.2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</row>
    <row r="105" spans="3:58" x14ac:dyDescent="0.2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</row>
    <row r="106" spans="3:58" x14ac:dyDescent="0.2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</row>
    <row r="107" spans="3:58" x14ac:dyDescent="0.2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</row>
    <row r="108" spans="3:58" x14ac:dyDescent="0.2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</row>
    <row r="109" spans="3:58" x14ac:dyDescent="0.2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</row>
    <row r="110" spans="3:58" x14ac:dyDescent="0.2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</row>
    <row r="111" spans="3:58" x14ac:dyDescent="0.2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</row>
    <row r="112" spans="3:58" x14ac:dyDescent="0.2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</row>
    <row r="113" spans="3:58" x14ac:dyDescent="0.2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</row>
    <row r="114" spans="3:58" x14ac:dyDescent="0.2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</row>
    <row r="115" spans="3:58" x14ac:dyDescent="0.2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spans="3:58" x14ac:dyDescent="0.2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</row>
    <row r="117" spans="3:58" x14ac:dyDescent="0.2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</row>
    <row r="118" spans="3:58" x14ac:dyDescent="0.2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</row>
    <row r="119" spans="3:58" x14ac:dyDescent="0.2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</row>
    <row r="120" spans="3:58" x14ac:dyDescent="0.2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</row>
    <row r="121" spans="3:58" x14ac:dyDescent="0.2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</row>
    <row r="122" spans="3:58" x14ac:dyDescent="0.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</row>
    <row r="123" spans="3:58" x14ac:dyDescent="0.2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</row>
    <row r="124" spans="3:58" x14ac:dyDescent="0.2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</row>
    <row r="125" spans="3:58" x14ac:dyDescent="0.2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</row>
    <row r="126" spans="3:58" x14ac:dyDescent="0.2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</row>
    <row r="127" spans="3:58" x14ac:dyDescent="0.2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</row>
    <row r="128" spans="3:58" x14ac:dyDescent="0.2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</row>
    <row r="129" spans="3:58" x14ac:dyDescent="0.2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</row>
    <row r="130" spans="3:58" x14ac:dyDescent="0.2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</row>
    <row r="131" spans="3:58" x14ac:dyDescent="0.2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</row>
    <row r="132" spans="3:58" x14ac:dyDescent="0.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</row>
    <row r="133" spans="3:58" x14ac:dyDescent="0.2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</row>
    <row r="134" spans="3:58" x14ac:dyDescent="0.2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</row>
    <row r="135" spans="3:58" x14ac:dyDescent="0.2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</row>
    <row r="136" spans="3:58" x14ac:dyDescent="0.2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</row>
    <row r="137" spans="3:58" x14ac:dyDescent="0.2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</row>
    <row r="138" spans="3:58" x14ac:dyDescent="0.2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</row>
    <row r="139" spans="3:58" x14ac:dyDescent="0.2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</row>
    <row r="140" spans="3:58" x14ac:dyDescent="0.2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</row>
    <row r="141" spans="3:58" x14ac:dyDescent="0.2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</row>
    <row r="142" spans="3:58" x14ac:dyDescent="0.2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</row>
    <row r="143" spans="3:58" x14ac:dyDescent="0.2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</row>
    <row r="144" spans="3:58" x14ac:dyDescent="0.2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</row>
    <row r="145" spans="3:58" x14ac:dyDescent="0.2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</row>
    <row r="146" spans="3:58" x14ac:dyDescent="0.2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</row>
    <row r="147" spans="3:58" x14ac:dyDescent="0.2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</row>
    <row r="148" spans="3:58" x14ac:dyDescent="0.2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</row>
    <row r="149" spans="3:58" x14ac:dyDescent="0.2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</row>
    <row r="150" spans="3:58" x14ac:dyDescent="0.2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</row>
    <row r="151" spans="3:58" x14ac:dyDescent="0.2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</row>
    <row r="152" spans="3:58" x14ac:dyDescent="0.2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</row>
    <row r="153" spans="3:58" x14ac:dyDescent="0.2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</row>
    <row r="154" spans="3:58" x14ac:dyDescent="0.2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</row>
    <row r="155" spans="3:58" x14ac:dyDescent="0.2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</row>
    <row r="156" spans="3:58" x14ac:dyDescent="0.2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</row>
    <row r="157" spans="3:58" x14ac:dyDescent="0.2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</row>
    <row r="158" spans="3:58" x14ac:dyDescent="0.2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</row>
    <row r="159" spans="3:58" x14ac:dyDescent="0.2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</row>
    <row r="160" spans="3:58" x14ac:dyDescent="0.2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</row>
    <row r="161" spans="3:58" x14ac:dyDescent="0.2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</row>
    <row r="162" spans="3:58" x14ac:dyDescent="0.2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</row>
    <row r="163" spans="3:58" x14ac:dyDescent="0.2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</row>
    <row r="164" spans="3:58" x14ac:dyDescent="0.2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</row>
    <row r="165" spans="3:58" x14ac:dyDescent="0.2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</row>
    <row r="166" spans="3:58" x14ac:dyDescent="0.2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</row>
    <row r="167" spans="3:58" x14ac:dyDescent="0.2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</row>
    <row r="168" spans="3:58" x14ac:dyDescent="0.2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</row>
    <row r="169" spans="3:58" x14ac:dyDescent="0.2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</row>
    <row r="170" spans="3:58" x14ac:dyDescent="0.2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</row>
    <row r="171" spans="3:58" x14ac:dyDescent="0.2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</row>
    <row r="172" spans="3:58" x14ac:dyDescent="0.2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</row>
    <row r="173" spans="3:58" x14ac:dyDescent="0.2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</row>
    <row r="174" spans="3:58" x14ac:dyDescent="0.2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</row>
    <row r="175" spans="3:58" x14ac:dyDescent="0.2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</row>
    <row r="176" spans="3:58" x14ac:dyDescent="0.2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</row>
    <row r="177" spans="3:58" x14ac:dyDescent="0.2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</row>
    <row r="178" spans="3:58" x14ac:dyDescent="0.2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</row>
    <row r="179" spans="3:58" x14ac:dyDescent="0.2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</row>
    <row r="180" spans="3:58" x14ac:dyDescent="0.2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</row>
    <row r="181" spans="3:58" x14ac:dyDescent="0.2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</row>
    <row r="182" spans="3:58" x14ac:dyDescent="0.2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</row>
    <row r="183" spans="3:58" x14ac:dyDescent="0.2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</row>
    <row r="184" spans="3:58" x14ac:dyDescent="0.2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</row>
    <row r="185" spans="3:58" x14ac:dyDescent="0.2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</row>
  </sheetData>
  <hyperlinks>
    <hyperlink ref="A1" location="Main!A1" display="Main" xr:uid="{AAD8D7B2-D5BD-471C-80C1-25E1E2368F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2026-03-18T09:52:45Z</dcterms:created>
  <dcterms:modified xsi:type="dcterms:W3CDTF">2026-03-18T10:05:53Z</dcterms:modified>
</cp:coreProperties>
</file>