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E954F593-A0FC-4703-AA5B-3C3E16D1FAD3}" xr6:coauthVersionLast="47" xr6:coauthVersionMax="47" xr10:uidLastSave="{00000000-0000-0000-0000-000000000000}"/>
  <bookViews>
    <workbookView xWindow="19095" yWindow="0" windowWidth="19410" windowHeight="20985" activeTab="1" xr2:uid="{6762F9C4-146C-4858-9F14-B8B09877D4A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" i="2" l="1"/>
  <c r="P28" i="2"/>
  <c r="Q27" i="2"/>
  <c r="P27" i="2"/>
  <c r="Q26" i="2"/>
  <c r="P26" i="2"/>
  <c r="Q25" i="2"/>
  <c r="P25" i="2"/>
  <c r="Q24" i="2"/>
  <c r="P24" i="2"/>
  <c r="Q23" i="2"/>
  <c r="P23" i="2"/>
  <c r="P7" i="2"/>
  <c r="I6" i="1"/>
  <c r="I4" i="1"/>
  <c r="O28" i="2"/>
  <c r="O27" i="2"/>
  <c r="O26" i="2"/>
  <c r="O25" i="2"/>
  <c r="O24" i="2"/>
  <c r="O23" i="2"/>
  <c r="O20" i="2"/>
  <c r="O18" i="2"/>
  <c r="N18" i="2"/>
  <c r="O16" i="2"/>
  <c r="N16" i="2"/>
  <c r="O14" i="2"/>
  <c r="N14" i="2"/>
  <c r="N28" i="2" s="1"/>
  <c r="P11" i="2"/>
  <c r="P14" i="2" s="1"/>
  <c r="P16" i="2" s="1"/>
  <c r="O11" i="2"/>
  <c r="N11" i="2"/>
  <c r="O7" i="2"/>
  <c r="N7" i="2"/>
  <c r="I5" i="1"/>
  <c r="Z7" i="2"/>
  <c r="Z11" i="2" s="1"/>
  <c r="Z14" i="2" s="1"/>
  <c r="Z16" i="2" s="1"/>
  <c r="Z18" i="2" s="1"/>
  <c r="Z20" i="2" s="1"/>
  <c r="M7" i="2"/>
  <c r="N27" i="2"/>
  <c r="N26" i="2"/>
  <c r="N25" i="2"/>
  <c r="M25" i="2"/>
  <c r="L25" i="2"/>
  <c r="K25" i="2"/>
  <c r="N24" i="2"/>
  <c r="M24" i="2"/>
  <c r="L24" i="2"/>
  <c r="K24" i="2"/>
  <c r="N23" i="2"/>
  <c r="M23" i="2"/>
  <c r="L23" i="2"/>
  <c r="K23" i="2"/>
  <c r="C14" i="2"/>
  <c r="K7" i="2"/>
  <c r="K26" i="2" s="1"/>
  <c r="J7" i="2"/>
  <c r="J26" i="2" s="1"/>
  <c r="I7" i="2"/>
  <c r="H7" i="2"/>
  <c r="H11" i="2" s="1"/>
  <c r="H14" i="2" s="1"/>
  <c r="H16" i="2" s="1"/>
  <c r="G7" i="2"/>
  <c r="F7" i="2"/>
  <c r="E7" i="2"/>
  <c r="D7" i="2"/>
  <c r="C7" i="2"/>
  <c r="C26" i="2" s="1"/>
  <c r="N20" i="2"/>
  <c r="K11" i="2"/>
  <c r="J11" i="2"/>
  <c r="J27" i="2" s="1"/>
  <c r="L7" i="2"/>
  <c r="X7" i="2"/>
  <c r="X11" i="2" s="1"/>
  <c r="X14" i="2" s="1"/>
  <c r="X16" i="2" s="1"/>
  <c r="X18" i="2" s="1"/>
  <c r="X20" i="2" s="1"/>
  <c r="W7" i="2"/>
  <c r="W11" i="2" s="1"/>
  <c r="W14" i="2" s="1"/>
  <c r="W16" i="2" s="1"/>
  <c r="W18" i="2" s="1"/>
  <c r="W20" i="2" s="1"/>
  <c r="V7" i="2"/>
  <c r="V11" i="2" s="1"/>
  <c r="V14" i="2" s="1"/>
  <c r="V16" i="2" s="1"/>
  <c r="V18" i="2" s="1"/>
  <c r="V20" i="2" s="1"/>
  <c r="U7" i="2"/>
  <c r="U11" i="2" s="1"/>
  <c r="U14" i="2" s="1"/>
  <c r="U16" i="2" s="1"/>
  <c r="U18" i="2" s="1"/>
  <c r="U20" i="2" s="1"/>
  <c r="T7" i="2"/>
  <c r="T11" i="2" s="1"/>
  <c r="T14" i="2" s="1"/>
  <c r="T16" i="2" s="1"/>
  <c r="T18" i="2" s="1"/>
  <c r="T20" i="2" s="1"/>
  <c r="Y7" i="2"/>
  <c r="Y11" i="2" s="1"/>
  <c r="Y14" i="2" s="1"/>
  <c r="Y16" i="2" s="1"/>
  <c r="Y18" i="2" s="1"/>
  <c r="Y20" i="2" s="1"/>
  <c r="J24" i="2"/>
  <c r="I24" i="2"/>
  <c r="J23" i="2"/>
  <c r="I23" i="2"/>
  <c r="G24" i="2"/>
  <c r="G23" i="2"/>
  <c r="H24" i="2"/>
  <c r="H23" i="2"/>
  <c r="H33" i="2"/>
  <c r="D33" i="2"/>
  <c r="J25" i="2"/>
  <c r="I25" i="2"/>
  <c r="G25" i="2"/>
  <c r="C27" i="2"/>
  <c r="H25" i="2"/>
  <c r="P18" i="2" l="1"/>
  <c r="P20" i="2"/>
  <c r="I11" i="2"/>
  <c r="I14" i="2" s="1"/>
  <c r="I16" i="2" s="1"/>
  <c r="I26" i="2"/>
  <c r="G11" i="2"/>
  <c r="G26" i="2"/>
  <c r="M26" i="2"/>
  <c r="M11" i="2"/>
  <c r="C28" i="2"/>
  <c r="C16" i="2"/>
  <c r="H18" i="2"/>
  <c r="H20" i="2"/>
  <c r="G27" i="2"/>
  <c r="G14" i="2"/>
  <c r="F26" i="2"/>
  <c r="F11" i="2"/>
  <c r="E26" i="2"/>
  <c r="E11" i="2"/>
  <c r="D26" i="2"/>
  <c r="D11" i="2"/>
  <c r="D14" i="2" s="1"/>
  <c r="D16" i="2" s="1"/>
  <c r="K14" i="2"/>
  <c r="K27" i="2"/>
  <c r="L11" i="2"/>
  <c r="L26" i="2"/>
  <c r="I28" i="2"/>
  <c r="I27" i="2"/>
  <c r="J14" i="2"/>
  <c r="I8" i="1"/>
  <c r="H27" i="2"/>
  <c r="H28" i="2"/>
  <c r="H26" i="2"/>
  <c r="M14" i="2" l="1"/>
  <c r="M27" i="2"/>
  <c r="C20" i="2"/>
  <c r="C18" i="2"/>
  <c r="G16" i="2"/>
  <c r="G28" i="2"/>
  <c r="F14" i="2"/>
  <c r="F27" i="2"/>
  <c r="E27" i="2"/>
  <c r="E14" i="2"/>
  <c r="K28" i="2"/>
  <c r="K16" i="2"/>
  <c r="L27" i="2"/>
  <c r="L14" i="2"/>
  <c r="J28" i="2"/>
  <c r="J16" i="2"/>
  <c r="I20" i="2"/>
  <c r="I18" i="2"/>
  <c r="D27" i="2"/>
  <c r="K18" i="2" l="1"/>
  <c r="K20" i="2"/>
  <c r="M16" i="2"/>
  <c r="M28" i="2"/>
  <c r="G18" i="2"/>
  <c r="G20" i="2"/>
  <c r="F28" i="2"/>
  <c r="F16" i="2"/>
  <c r="E16" i="2"/>
  <c r="E28" i="2"/>
  <c r="L28" i="2"/>
  <c r="L16" i="2"/>
  <c r="J18" i="2"/>
  <c r="J20" i="2"/>
  <c r="D28" i="2"/>
  <c r="M18" i="2" l="1"/>
  <c r="M20" i="2"/>
  <c r="F20" i="2"/>
  <c r="F18" i="2"/>
  <c r="E20" i="2"/>
  <c r="E18" i="2"/>
  <c r="L20" i="2"/>
  <c r="L18" i="2"/>
  <c r="D20" i="2"/>
  <c r="D18" i="2"/>
</calcChain>
</file>

<file path=xl/sharedStrings.xml><?xml version="1.0" encoding="utf-8"?>
<sst xmlns="http://schemas.openxmlformats.org/spreadsheetml/2006/main" count="66" uniqueCount="62">
  <si>
    <t>PLTR</t>
  </si>
  <si>
    <t>SEC</t>
  </si>
  <si>
    <t xml:space="preserve">Palantir </t>
  </si>
  <si>
    <t>numbers in mio USD</t>
  </si>
  <si>
    <t>Price</t>
  </si>
  <si>
    <t>Shares</t>
  </si>
  <si>
    <t>MC</t>
  </si>
  <si>
    <t>Cash</t>
  </si>
  <si>
    <t>Debt</t>
  </si>
  <si>
    <t>EV</t>
  </si>
  <si>
    <t>Q224</t>
  </si>
  <si>
    <t>Main</t>
  </si>
  <si>
    <t>Q123</t>
  </si>
  <si>
    <t>Q223</t>
  </si>
  <si>
    <t>Q323</t>
  </si>
  <si>
    <t>Q423</t>
  </si>
  <si>
    <t>Q124</t>
  </si>
  <si>
    <t>Q324</t>
  </si>
  <si>
    <t>Q424</t>
  </si>
  <si>
    <t>Revenue</t>
  </si>
  <si>
    <t>COGS</t>
  </si>
  <si>
    <t>Gross Profit</t>
  </si>
  <si>
    <t>S&amp;M</t>
  </si>
  <si>
    <t>R&amp;D</t>
  </si>
  <si>
    <t>G&amp;A</t>
  </si>
  <si>
    <t>Operating Profit</t>
  </si>
  <si>
    <t>Interest Income</t>
  </si>
  <si>
    <t>Other Income</t>
  </si>
  <si>
    <t>Net Income</t>
  </si>
  <si>
    <t>Tax Expenses</t>
  </si>
  <si>
    <t>Pretax Income</t>
  </si>
  <si>
    <t>EPS</t>
  </si>
  <si>
    <t>Revenue Growth</t>
  </si>
  <si>
    <t>Gross Margin</t>
  </si>
  <si>
    <t>Operating Margin</t>
  </si>
  <si>
    <t>Tax Rate</t>
  </si>
  <si>
    <t>CFFO</t>
  </si>
  <si>
    <t>CapEx</t>
  </si>
  <si>
    <t>Free Cashflow</t>
  </si>
  <si>
    <t>Goverment</t>
  </si>
  <si>
    <t>Commercial</t>
  </si>
  <si>
    <t>Goverment Growth</t>
  </si>
  <si>
    <t>Commercial Growth</t>
  </si>
  <si>
    <t>FY19</t>
  </si>
  <si>
    <t>FY20</t>
  </si>
  <si>
    <t>FY21</t>
  </si>
  <si>
    <t>FY22</t>
  </si>
  <si>
    <t>FY23</t>
  </si>
  <si>
    <t>FY24</t>
  </si>
  <si>
    <t xml:space="preserve">Minority Interest </t>
  </si>
  <si>
    <t>Net Income to Group</t>
  </si>
  <si>
    <t>Q125</t>
  </si>
  <si>
    <t>Q225</t>
  </si>
  <si>
    <t>Q325</t>
  </si>
  <si>
    <t>Q425</t>
  </si>
  <si>
    <t>FY25</t>
  </si>
  <si>
    <t>Q126</t>
  </si>
  <si>
    <t>Q226</t>
  </si>
  <si>
    <t>Q326</t>
  </si>
  <si>
    <t>Q426</t>
  </si>
  <si>
    <t>CEO</t>
  </si>
  <si>
    <t>Alex Karp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</si>
</sst>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;\(#,##0.0\)"/>
    <numFmt numFmtId="166" formatCode="#,##0.00;\(#,##0.00\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8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9" fillId="0" borderId="0" xfId="2" applyFont="1"/>
    <xf numFmtId="165" fontId="5" fillId="0" borderId="0" xfId="0" applyNumberFormat="1" applyFont="1"/>
    <xf numFmtId="165" fontId="8" fillId="0" borderId="0" xfId="0" applyNumberFormat="1" applyFont="1"/>
    <xf numFmtId="166" fontId="5" fillId="0" borderId="0" xfId="0" applyNumberFormat="1" applyFont="1"/>
    <xf numFmtId="9" fontId="5" fillId="0" borderId="0" xfId="1" applyFont="1"/>
    <xf numFmtId="0" fontId="4" fillId="0" borderId="0" xfId="0" applyFont="1" applyAlignment="1">
      <alignment horizontal="right"/>
    </xf>
    <xf numFmtId="9" fontId="8" fillId="0" borderId="0" xfId="1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edgar/browse/?CIK=1321655&amp;owner=exclu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3A29-EDF3-480E-A9BA-5973530E4A9A}">
  <dimension ref="A1:J10"/>
  <sheetViews>
    <sheetView zoomScale="200" zoomScaleNormal="200" workbookViewId="0">
      <selection activeCell="I7" sqref="I7"/>
    </sheetView>
  </sheetViews>
  <sheetFormatPr defaultRowHeight="12.75" x14ac:dyDescent="0.2"/>
  <cols>
    <col min="1" max="1" width="3.42578125" style="2" customWidth="1"/>
    <col min="2" max="16384" width="9.140625" style="2"/>
  </cols>
  <sheetData>
    <row r="1" spans="1:10" x14ac:dyDescent="0.2">
      <c r="A1" s="1" t="s">
        <v>2</v>
      </c>
    </row>
    <row r="2" spans="1:10" x14ac:dyDescent="0.2">
      <c r="A2" s="2" t="s">
        <v>3</v>
      </c>
    </row>
    <row r="3" spans="1:10" x14ac:dyDescent="0.2">
      <c r="H3" s="2" t="s">
        <v>4</v>
      </c>
      <c r="I3" s="2">
        <v>160.4</v>
      </c>
    </row>
    <row r="4" spans="1:10" x14ac:dyDescent="0.2">
      <c r="B4" s="2" t="s">
        <v>0</v>
      </c>
      <c r="H4" s="2" t="s">
        <v>5</v>
      </c>
      <c r="I4" s="14">
        <f>2300.717329+101.340151+1.005</f>
        <v>2403.0624800000001</v>
      </c>
      <c r="J4" s="16" t="s">
        <v>57</v>
      </c>
    </row>
    <row r="5" spans="1:10" x14ac:dyDescent="0.2">
      <c r="B5" s="5" t="s">
        <v>1</v>
      </c>
      <c r="H5" s="2" t="s">
        <v>6</v>
      </c>
      <c r="I5" s="14">
        <f>+I3*I4</f>
        <v>385451.221792</v>
      </c>
    </row>
    <row r="6" spans="1:10" x14ac:dyDescent="0.2">
      <c r="H6" s="2" t="s">
        <v>7</v>
      </c>
      <c r="I6" s="3">
        <f>2030.047+7379.052</f>
        <v>9409.0990000000002</v>
      </c>
      <c r="J6" s="16" t="s">
        <v>57</v>
      </c>
    </row>
    <row r="7" spans="1:10" x14ac:dyDescent="0.2">
      <c r="H7" s="2" t="s">
        <v>8</v>
      </c>
      <c r="I7" s="14">
        <v>0</v>
      </c>
      <c r="J7" s="16" t="s">
        <v>57</v>
      </c>
    </row>
    <row r="8" spans="1:10" x14ac:dyDescent="0.2">
      <c r="H8" s="2" t="s">
        <v>9</v>
      </c>
      <c r="I8" s="3">
        <f>I5-I6+I7</f>
        <v>376042.12279200001</v>
      </c>
    </row>
    <row r="10" spans="1:10" x14ac:dyDescent="0.2">
      <c r="H10" s="15" t="s">
        <v>60</v>
      </c>
      <c r="I10" s="15" t="s">
        <v>61</v>
      </c>
    </row>
  </sheetData>
  <hyperlinks>
    <hyperlink ref="B5" r:id="rId1" xr:uid="{D79194AD-CBDD-4C31-A568-714AB265ED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F996-9F57-479C-B688-78900FDF6C80}">
  <dimension ref="A1:AD572"/>
  <sheetViews>
    <sheetView tabSelected="1" zoomScale="200" zoomScaleNormal="2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P5" sqref="P5"/>
    </sheetView>
  </sheetViews>
  <sheetFormatPr defaultRowHeight="12.75" x14ac:dyDescent="0.2"/>
  <cols>
    <col min="1" max="1" width="4.7109375" style="2" bestFit="1" customWidth="1"/>
    <col min="2" max="2" width="19.28515625" style="2" bestFit="1" customWidth="1"/>
    <col min="3" max="16384" width="9.140625" style="2"/>
  </cols>
  <sheetData>
    <row r="1" spans="1:30" x14ac:dyDescent="0.2">
      <c r="A1" s="5" t="s">
        <v>11</v>
      </c>
    </row>
    <row r="2" spans="1:30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10</v>
      </c>
      <c r="I2" s="4" t="s">
        <v>17</v>
      </c>
      <c r="J2" s="4" t="s">
        <v>18</v>
      </c>
      <c r="K2" s="10" t="s">
        <v>51</v>
      </c>
      <c r="L2" s="10" t="s">
        <v>52</v>
      </c>
      <c r="M2" s="10" t="s">
        <v>53</v>
      </c>
      <c r="N2" s="10" t="s">
        <v>54</v>
      </c>
      <c r="O2" s="13" t="s">
        <v>56</v>
      </c>
      <c r="P2" s="13" t="s">
        <v>57</v>
      </c>
      <c r="Q2" s="13" t="s">
        <v>58</v>
      </c>
      <c r="R2" s="13" t="s">
        <v>59</v>
      </c>
      <c r="T2" s="4" t="s">
        <v>43</v>
      </c>
      <c r="U2" s="4" t="s">
        <v>44</v>
      </c>
      <c r="V2" s="4" t="s">
        <v>45</v>
      </c>
      <c r="W2" s="4" t="s">
        <v>46</v>
      </c>
      <c r="X2" s="4" t="s">
        <v>47</v>
      </c>
      <c r="Y2" s="4" t="s">
        <v>48</v>
      </c>
      <c r="Z2" s="12" t="s">
        <v>55</v>
      </c>
    </row>
    <row r="3" spans="1:30" x14ac:dyDescent="0.2">
      <c r="B3" s="2" t="s">
        <v>39</v>
      </c>
      <c r="C3" s="6"/>
      <c r="D3" s="6">
        <v>301.505</v>
      </c>
      <c r="E3" s="6"/>
      <c r="F3" s="6"/>
      <c r="G3" s="6">
        <v>335.37299999999999</v>
      </c>
      <c r="H3" s="6">
        <v>370.767</v>
      </c>
      <c r="I3" s="6">
        <v>408.34100000000001</v>
      </c>
      <c r="J3" s="6"/>
      <c r="K3" s="6">
        <v>486.96300000000002</v>
      </c>
      <c r="L3" s="6">
        <v>552.98299999999995</v>
      </c>
      <c r="M3" s="6">
        <v>632.67600000000004</v>
      </c>
      <c r="N3" s="6"/>
      <c r="O3" s="6">
        <v>858.41</v>
      </c>
      <c r="P3" s="6">
        <v>990.03200000000004</v>
      </c>
      <c r="Q3" s="6"/>
      <c r="R3" s="6"/>
      <c r="S3" s="6"/>
      <c r="T3" s="6"/>
      <c r="U3" s="6"/>
      <c r="V3" s="6"/>
      <c r="W3" s="6"/>
      <c r="X3" s="6">
        <v>1222.2149999999999</v>
      </c>
      <c r="Y3" s="6">
        <v>1569.605</v>
      </c>
      <c r="Z3" s="6">
        <v>2402.2869999999998</v>
      </c>
      <c r="AA3" s="6"/>
    </row>
    <row r="4" spans="1:30" x14ac:dyDescent="0.2">
      <c r="B4" s="2" t="s">
        <v>40</v>
      </c>
      <c r="C4" s="6"/>
      <c r="D4" s="6">
        <v>231.81200000000001</v>
      </c>
      <c r="E4" s="6"/>
      <c r="F4" s="6"/>
      <c r="G4" s="6">
        <v>298.96499999999997</v>
      </c>
      <c r="H4" s="6">
        <v>307.36700000000002</v>
      </c>
      <c r="I4" s="6">
        <v>317.17500000000001</v>
      </c>
      <c r="J4" s="6"/>
      <c r="K4" s="6">
        <v>396.892</v>
      </c>
      <c r="L4" s="6">
        <v>450.714</v>
      </c>
      <c r="M4" s="6">
        <v>548.41600000000005</v>
      </c>
      <c r="N4" s="6"/>
      <c r="O4" s="6">
        <v>774.173</v>
      </c>
      <c r="P4" s="6">
        <v>945.43200000000002</v>
      </c>
      <c r="Q4" s="6"/>
      <c r="R4" s="6"/>
      <c r="S4" s="6"/>
      <c r="T4" s="6"/>
      <c r="U4" s="6"/>
      <c r="V4" s="6"/>
      <c r="W4" s="6"/>
      <c r="X4" s="6">
        <v>1002.797</v>
      </c>
      <c r="Y4" s="6">
        <v>1295.902</v>
      </c>
      <c r="Z4" s="6">
        <v>2073.1950000000002</v>
      </c>
      <c r="AA4" s="6"/>
    </row>
    <row r="5" spans="1:30" x14ac:dyDescent="0.2">
      <c r="B5" s="1" t="s">
        <v>19</v>
      </c>
      <c r="C5" s="7"/>
      <c r="D5" s="7">
        <v>533.31700000000001</v>
      </c>
      <c r="E5" s="7"/>
      <c r="F5" s="7"/>
      <c r="G5" s="7">
        <v>634.38800000000003</v>
      </c>
      <c r="H5" s="7">
        <v>678.13400000000001</v>
      </c>
      <c r="I5" s="7">
        <v>725.51599999999996</v>
      </c>
      <c r="J5" s="7"/>
      <c r="K5" s="7">
        <v>883.85500000000002</v>
      </c>
      <c r="L5" s="7">
        <v>1003.697</v>
      </c>
      <c r="M5" s="7">
        <v>1181.0920000000001</v>
      </c>
      <c r="N5" s="7"/>
      <c r="O5" s="7">
        <v>1632.5830000000001</v>
      </c>
      <c r="P5" s="7">
        <v>1935.4639999999999</v>
      </c>
      <c r="Q5" s="7"/>
      <c r="R5" s="7"/>
      <c r="S5" s="7"/>
      <c r="T5" s="7"/>
      <c r="U5" s="7"/>
      <c r="V5" s="7"/>
      <c r="W5" s="7">
        <v>1905.8710000000001</v>
      </c>
      <c r="X5" s="7">
        <v>2225.0120000000002</v>
      </c>
      <c r="Y5" s="7">
        <v>2865.5070000000001</v>
      </c>
      <c r="Z5" s="7">
        <v>4475.4459999999999</v>
      </c>
      <c r="AA5" s="1"/>
      <c r="AB5" s="1"/>
      <c r="AC5" s="1"/>
      <c r="AD5" s="1"/>
    </row>
    <row r="6" spans="1:30" x14ac:dyDescent="0.2">
      <c r="B6" s="2" t="s">
        <v>20</v>
      </c>
      <c r="C6" s="6"/>
      <c r="D6" s="6">
        <v>106.899</v>
      </c>
      <c r="E6" s="6"/>
      <c r="F6" s="6"/>
      <c r="G6" s="6">
        <v>116.256</v>
      </c>
      <c r="H6" s="6">
        <v>128.56200000000001</v>
      </c>
      <c r="I6" s="6">
        <v>146.63900000000001</v>
      </c>
      <c r="J6" s="6"/>
      <c r="K6" s="6">
        <v>172.97</v>
      </c>
      <c r="L6" s="6">
        <v>192.934</v>
      </c>
      <c r="M6" s="6">
        <v>207.30699999999999</v>
      </c>
      <c r="N6" s="6"/>
      <c r="O6" s="6">
        <v>215.798</v>
      </c>
      <c r="P6" s="6">
        <v>296.87</v>
      </c>
      <c r="Q6" s="6"/>
      <c r="R6" s="6"/>
      <c r="S6" s="6"/>
      <c r="T6" s="6"/>
      <c r="U6" s="6"/>
      <c r="V6" s="6"/>
      <c r="W6" s="6">
        <v>408.54899999999998</v>
      </c>
      <c r="X6" s="6">
        <v>431.10500000000002</v>
      </c>
      <c r="Y6" s="6">
        <v>565.99</v>
      </c>
      <c r="Z6" s="6">
        <v>789.17700000000002</v>
      </c>
    </row>
    <row r="7" spans="1:30" x14ac:dyDescent="0.2">
      <c r="B7" s="2" t="s">
        <v>21</v>
      </c>
      <c r="C7" s="6">
        <f t="shared" ref="C7:K7" si="0">+C5-C6</f>
        <v>0</v>
      </c>
      <c r="D7" s="6">
        <f t="shared" si="0"/>
        <v>426.41800000000001</v>
      </c>
      <c r="E7" s="6">
        <f t="shared" si="0"/>
        <v>0</v>
      </c>
      <c r="F7" s="6">
        <f t="shared" si="0"/>
        <v>0</v>
      </c>
      <c r="G7" s="6">
        <f t="shared" si="0"/>
        <v>518.13200000000006</v>
      </c>
      <c r="H7" s="6">
        <f t="shared" si="0"/>
        <v>549.572</v>
      </c>
      <c r="I7" s="6">
        <f t="shared" si="0"/>
        <v>578.87699999999995</v>
      </c>
      <c r="J7" s="6">
        <f t="shared" si="0"/>
        <v>0</v>
      </c>
      <c r="K7" s="6">
        <f t="shared" si="0"/>
        <v>710.88499999999999</v>
      </c>
      <c r="L7" s="6">
        <f>+L5-L6</f>
        <v>810.76300000000003</v>
      </c>
      <c r="M7" s="6">
        <f>+M5-M6</f>
        <v>973.78500000000008</v>
      </c>
      <c r="N7" s="6">
        <f t="shared" ref="N7:P7" si="1">+N5-N6</f>
        <v>0</v>
      </c>
      <c r="O7" s="6">
        <f t="shared" si="1"/>
        <v>1416.7850000000001</v>
      </c>
      <c r="P7" s="6">
        <f t="shared" si="1"/>
        <v>1638.5940000000001</v>
      </c>
      <c r="Q7" s="6"/>
      <c r="R7" s="6"/>
      <c r="S7" s="6"/>
      <c r="T7" s="6">
        <f t="shared" ref="T7:X7" si="2">+T5-T6</f>
        <v>0</v>
      </c>
      <c r="U7" s="6">
        <f t="shared" si="2"/>
        <v>0</v>
      </c>
      <c r="V7" s="6">
        <f t="shared" si="2"/>
        <v>0</v>
      </c>
      <c r="W7" s="6">
        <f t="shared" si="2"/>
        <v>1497.3220000000001</v>
      </c>
      <c r="X7" s="6">
        <f t="shared" si="2"/>
        <v>1793.9070000000002</v>
      </c>
      <c r="Y7" s="6">
        <f>+Y5-Y6</f>
        <v>2299.5169999999998</v>
      </c>
      <c r="Z7" s="6">
        <f>+Z5-Z6</f>
        <v>3686.2689999999998</v>
      </c>
    </row>
    <row r="8" spans="1:30" x14ac:dyDescent="0.2">
      <c r="B8" s="2" t="s">
        <v>22</v>
      </c>
      <c r="C8" s="6"/>
      <c r="D8" s="6">
        <v>184.16300000000001</v>
      </c>
      <c r="E8" s="6"/>
      <c r="F8" s="6"/>
      <c r="G8" s="6">
        <v>193.17699999999999</v>
      </c>
      <c r="H8" s="6">
        <v>196.809</v>
      </c>
      <c r="I8" s="6">
        <v>209.47399999999999</v>
      </c>
      <c r="J8" s="6"/>
      <c r="K8" s="6">
        <v>236.309</v>
      </c>
      <c r="L8" s="6">
        <v>243.78800000000001</v>
      </c>
      <c r="M8" s="6">
        <v>274.63600000000002</v>
      </c>
      <c r="N8" s="6"/>
      <c r="O8" s="6">
        <v>319.22000000000003</v>
      </c>
      <c r="P8" s="6">
        <v>339.5</v>
      </c>
      <c r="Q8" s="6"/>
      <c r="R8" s="6"/>
      <c r="S8" s="6"/>
      <c r="T8" s="6"/>
      <c r="U8" s="6"/>
      <c r="V8" s="6"/>
      <c r="W8" s="6">
        <v>702.51099999999997</v>
      </c>
      <c r="X8" s="6">
        <v>744.99199999999996</v>
      </c>
      <c r="Y8" s="6">
        <v>887.755</v>
      </c>
      <c r="Z8" s="6">
        <v>1056.8589999999999</v>
      </c>
    </row>
    <row r="9" spans="1:30" x14ac:dyDescent="0.2">
      <c r="B9" s="2" t="s">
        <v>23</v>
      </c>
      <c r="C9" s="6"/>
      <c r="D9" s="6">
        <v>99.533000000000001</v>
      </c>
      <c r="E9" s="6"/>
      <c r="F9" s="6"/>
      <c r="G9" s="6">
        <v>110.04</v>
      </c>
      <c r="H9" s="6">
        <v>108.78100000000001</v>
      </c>
      <c r="I9" s="6">
        <v>117.55500000000001</v>
      </c>
      <c r="J9" s="6"/>
      <c r="K9" s="6">
        <v>134.88900000000001</v>
      </c>
      <c r="L9" s="6">
        <v>135.04300000000001</v>
      </c>
      <c r="M9" s="6">
        <v>144.191</v>
      </c>
      <c r="N9" s="6"/>
      <c r="O9" s="6">
        <v>160.98099999999999</v>
      </c>
      <c r="P9" s="6">
        <v>192.51300000000001</v>
      </c>
      <c r="Q9" s="6"/>
      <c r="R9" s="6"/>
      <c r="S9" s="6"/>
      <c r="T9" s="6"/>
      <c r="U9" s="6"/>
      <c r="V9" s="6"/>
      <c r="W9" s="6">
        <v>359.67899999999997</v>
      </c>
      <c r="X9" s="6">
        <v>404.62400000000002</v>
      </c>
      <c r="Y9" s="6">
        <v>507.87799999999999</v>
      </c>
      <c r="Z9" s="6">
        <v>557.67700000000002</v>
      </c>
    </row>
    <row r="10" spans="1:30" x14ac:dyDescent="0.2">
      <c r="B10" s="2" t="s">
        <v>24</v>
      </c>
      <c r="C10" s="6"/>
      <c r="D10" s="6">
        <v>132.648</v>
      </c>
      <c r="E10" s="6"/>
      <c r="F10" s="6"/>
      <c r="G10" s="6">
        <v>133.98400000000001</v>
      </c>
      <c r="H10" s="6">
        <v>138.643</v>
      </c>
      <c r="I10" s="6">
        <v>138.708</v>
      </c>
      <c r="J10" s="6"/>
      <c r="K10" s="6">
        <v>163.63900000000001</v>
      </c>
      <c r="L10" s="6">
        <v>162.61500000000001</v>
      </c>
      <c r="M10" s="6">
        <v>161.702</v>
      </c>
      <c r="N10" s="6"/>
      <c r="O10" s="6">
        <v>182.58600000000001</v>
      </c>
      <c r="P10" s="6">
        <v>194.577</v>
      </c>
      <c r="Q10" s="6"/>
      <c r="R10" s="6"/>
      <c r="S10" s="6"/>
      <c r="T10" s="6"/>
      <c r="U10" s="6"/>
      <c r="V10" s="6"/>
      <c r="W10" s="6">
        <v>596.33299999999997</v>
      </c>
      <c r="X10" s="6">
        <v>524.32500000000005</v>
      </c>
      <c r="Y10" s="6">
        <v>593.48099999999999</v>
      </c>
      <c r="Z10" s="6">
        <v>657.71799999999996</v>
      </c>
    </row>
    <row r="11" spans="1:30" x14ac:dyDescent="0.2">
      <c r="B11" s="2" t="s">
        <v>25</v>
      </c>
      <c r="C11" s="6"/>
      <c r="D11" s="6">
        <f t="shared" ref="D11:G11" si="3">D7-SUM(D8:D10)</f>
        <v>10.073999999999955</v>
      </c>
      <c r="E11" s="6">
        <f t="shared" si="3"/>
        <v>0</v>
      </c>
      <c r="F11" s="6">
        <f t="shared" si="3"/>
        <v>0</v>
      </c>
      <c r="G11" s="6">
        <f t="shared" si="3"/>
        <v>80.93100000000004</v>
      </c>
      <c r="H11" s="6">
        <f>H7-SUM(H8:H10)</f>
        <v>105.33899999999994</v>
      </c>
      <c r="I11" s="6">
        <f t="shared" ref="I11:P11" si="4">I7-SUM(I8:I10)</f>
        <v>113.13999999999999</v>
      </c>
      <c r="J11" s="6">
        <f t="shared" si="4"/>
        <v>0</v>
      </c>
      <c r="K11" s="6">
        <f t="shared" si="4"/>
        <v>176.048</v>
      </c>
      <c r="L11" s="6">
        <f t="shared" si="4"/>
        <v>269.31700000000001</v>
      </c>
      <c r="M11" s="6">
        <f t="shared" si="4"/>
        <v>393.25600000000009</v>
      </c>
      <c r="N11" s="6">
        <f t="shared" si="4"/>
        <v>0</v>
      </c>
      <c r="O11" s="6">
        <f t="shared" si="4"/>
        <v>753.99800000000005</v>
      </c>
      <c r="P11" s="6">
        <f t="shared" si="4"/>
        <v>912.00400000000002</v>
      </c>
      <c r="Q11" s="6"/>
      <c r="R11" s="6"/>
      <c r="S11" s="6"/>
      <c r="T11" s="6">
        <f t="shared" ref="T11:Z11" si="5">T7-SUM(T8:T10)</f>
        <v>0</v>
      </c>
      <c r="U11" s="6">
        <f t="shared" si="5"/>
        <v>0</v>
      </c>
      <c r="V11" s="6">
        <f t="shared" si="5"/>
        <v>0</v>
      </c>
      <c r="W11" s="6">
        <f t="shared" si="5"/>
        <v>-161.20100000000002</v>
      </c>
      <c r="X11" s="6">
        <f t="shared" si="5"/>
        <v>119.96600000000012</v>
      </c>
      <c r="Y11" s="6">
        <f t="shared" si="5"/>
        <v>310.40299999999979</v>
      </c>
      <c r="Z11" s="6">
        <f t="shared" si="5"/>
        <v>1414.0149999999999</v>
      </c>
    </row>
    <row r="12" spans="1:30" x14ac:dyDescent="0.2">
      <c r="B12" s="2" t="s">
        <v>26</v>
      </c>
      <c r="C12" s="6"/>
      <c r="D12" s="6">
        <v>30.31</v>
      </c>
      <c r="E12" s="6"/>
      <c r="F12" s="6"/>
      <c r="G12" s="6">
        <v>43.351999999999997</v>
      </c>
      <c r="H12" s="6">
        <v>46.593000000000004</v>
      </c>
      <c r="I12" s="6">
        <v>52.12</v>
      </c>
      <c r="J12" s="6"/>
      <c r="K12" s="6">
        <v>50.441000000000003</v>
      </c>
      <c r="L12" s="6">
        <v>56.255000000000003</v>
      </c>
      <c r="M12" s="6">
        <v>59.762</v>
      </c>
      <c r="N12" s="6"/>
      <c r="O12" s="6">
        <v>66.394000000000005</v>
      </c>
      <c r="P12" s="6">
        <v>77.504999999999995</v>
      </c>
      <c r="Q12" s="6"/>
      <c r="R12" s="6"/>
      <c r="S12" s="6"/>
      <c r="T12" s="6"/>
      <c r="U12" s="6"/>
      <c r="V12" s="6"/>
      <c r="W12" s="6">
        <v>20.309000000000001</v>
      </c>
      <c r="X12" s="6">
        <v>132.572</v>
      </c>
      <c r="Y12" s="6">
        <v>196.792</v>
      </c>
      <c r="Z12" s="6">
        <v>229.18100000000001</v>
      </c>
    </row>
    <row r="13" spans="1:30" x14ac:dyDescent="0.2">
      <c r="B13" s="2" t="s">
        <v>27</v>
      </c>
      <c r="C13" s="6"/>
      <c r="D13" s="6">
        <v>-10.340999999999999</v>
      </c>
      <c r="E13" s="6"/>
      <c r="F13" s="6"/>
      <c r="G13" s="6">
        <v>-13.507</v>
      </c>
      <c r="H13" s="6">
        <v>-11.173</v>
      </c>
      <c r="I13" s="6">
        <v>-8.11</v>
      </c>
      <c r="J13" s="6"/>
      <c r="K13" s="6">
        <v>-3.173</v>
      </c>
      <c r="L13" s="6">
        <v>6.5960000000000001</v>
      </c>
      <c r="M13" s="6">
        <v>27.483000000000001</v>
      </c>
      <c r="N13" s="6"/>
      <c r="O13" s="6">
        <v>68.209000000000003</v>
      </c>
      <c r="P13" s="6">
        <v>91.835999999999999</v>
      </c>
      <c r="Q13" s="6"/>
      <c r="R13" s="6"/>
      <c r="S13" s="6"/>
      <c r="T13" s="6"/>
      <c r="U13" s="6"/>
      <c r="V13" s="6"/>
      <c r="W13" s="6">
        <v>-220.13499999999999</v>
      </c>
      <c r="X13" s="6">
        <v>-15.446999999999999</v>
      </c>
      <c r="Y13" s="6">
        <v>-18.021999999999998</v>
      </c>
      <c r="Z13" s="6">
        <v>14.170999999999999</v>
      </c>
    </row>
    <row r="14" spans="1:30" x14ac:dyDescent="0.2">
      <c r="B14" s="2" t="s">
        <v>30</v>
      </c>
      <c r="C14" s="6">
        <f t="shared" ref="C14:G14" si="6">C11+C12+C13</f>
        <v>0</v>
      </c>
      <c r="D14" s="6">
        <f t="shared" si="6"/>
        <v>30.042999999999957</v>
      </c>
      <c r="E14" s="6">
        <f t="shared" si="6"/>
        <v>0</v>
      </c>
      <c r="F14" s="6">
        <f t="shared" si="6"/>
        <v>0</v>
      </c>
      <c r="G14" s="6">
        <f t="shared" si="6"/>
        <v>110.77600000000004</v>
      </c>
      <c r="H14" s="6">
        <f>H11+H12+H13</f>
        <v>140.75899999999996</v>
      </c>
      <c r="I14" s="6">
        <f t="shared" ref="I14:P14" si="7">I11+I12+I13</f>
        <v>157.14999999999998</v>
      </c>
      <c r="J14" s="6">
        <f t="shared" si="7"/>
        <v>0</v>
      </c>
      <c r="K14" s="6">
        <f t="shared" si="7"/>
        <v>223.316</v>
      </c>
      <c r="L14" s="6">
        <f t="shared" si="7"/>
        <v>332.16800000000001</v>
      </c>
      <c r="M14" s="6">
        <f t="shared" si="7"/>
        <v>480.50100000000009</v>
      </c>
      <c r="N14" s="6">
        <f t="shared" si="7"/>
        <v>0</v>
      </c>
      <c r="O14" s="6">
        <f t="shared" si="7"/>
        <v>888.60100000000011</v>
      </c>
      <c r="P14" s="6">
        <f t="shared" si="7"/>
        <v>1081.345</v>
      </c>
      <c r="Q14" s="6"/>
      <c r="R14" s="6"/>
      <c r="S14" s="6"/>
      <c r="T14" s="6">
        <f t="shared" ref="T14:Z14" si="8">T11+T12+T13</f>
        <v>0</v>
      </c>
      <c r="U14" s="6">
        <f t="shared" si="8"/>
        <v>0</v>
      </c>
      <c r="V14" s="6">
        <f t="shared" si="8"/>
        <v>0</v>
      </c>
      <c r="W14" s="6">
        <f t="shared" si="8"/>
        <v>-361.02700000000004</v>
      </c>
      <c r="X14" s="6">
        <f t="shared" si="8"/>
        <v>237.09100000000012</v>
      </c>
      <c r="Y14" s="6">
        <f t="shared" si="8"/>
        <v>489.17299999999983</v>
      </c>
      <c r="Z14" s="6">
        <f t="shared" si="8"/>
        <v>1657.367</v>
      </c>
    </row>
    <row r="15" spans="1:30" x14ac:dyDescent="0.2">
      <c r="B15" s="2" t="s">
        <v>29</v>
      </c>
      <c r="C15" s="6"/>
      <c r="D15" s="6">
        <v>2.1709999999999998</v>
      </c>
      <c r="E15" s="6"/>
      <c r="F15" s="6"/>
      <c r="G15" s="6">
        <v>4.6550000000000002</v>
      </c>
      <c r="H15" s="6">
        <v>5.1890000000000001</v>
      </c>
      <c r="I15" s="6">
        <v>7.8090000000000002</v>
      </c>
      <c r="J15" s="6"/>
      <c r="K15" s="6">
        <v>5.5990000000000002</v>
      </c>
      <c r="L15" s="6">
        <v>3.5960000000000001</v>
      </c>
      <c r="M15" s="6">
        <v>3.7530000000000001</v>
      </c>
      <c r="N15" s="6"/>
      <c r="O15" s="6">
        <v>12.199</v>
      </c>
      <c r="P15" s="6">
        <v>15.382999999999999</v>
      </c>
      <c r="Q15" s="6"/>
      <c r="R15" s="6"/>
      <c r="S15" s="6"/>
      <c r="T15" s="6"/>
      <c r="U15" s="6"/>
      <c r="V15" s="6"/>
      <c r="W15" s="6">
        <v>10.067</v>
      </c>
      <c r="X15" s="6">
        <v>19.716000000000001</v>
      </c>
      <c r="Y15" s="6">
        <v>21.254999999999999</v>
      </c>
      <c r="Z15" s="6">
        <v>22.724</v>
      </c>
    </row>
    <row r="16" spans="1:30" x14ac:dyDescent="0.2">
      <c r="B16" s="2" t="s">
        <v>28</v>
      </c>
      <c r="C16" s="6">
        <f t="shared" ref="C16:G16" si="9">C14-C15</f>
        <v>0</v>
      </c>
      <c r="D16" s="6">
        <f t="shared" si="9"/>
        <v>27.871999999999957</v>
      </c>
      <c r="E16" s="6">
        <f t="shared" si="9"/>
        <v>0</v>
      </c>
      <c r="F16" s="6">
        <f t="shared" si="9"/>
        <v>0</v>
      </c>
      <c r="G16" s="6">
        <f t="shared" si="9"/>
        <v>106.12100000000004</v>
      </c>
      <c r="H16" s="6">
        <f>H14-H15</f>
        <v>135.56999999999996</v>
      </c>
      <c r="I16" s="6">
        <f t="shared" ref="I16:P16" si="10">I14-I15</f>
        <v>149.34099999999998</v>
      </c>
      <c r="J16" s="6">
        <f t="shared" si="10"/>
        <v>0</v>
      </c>
      <c r="K16" s="6">
        <f t="shared" si="10"/>
        <v>217.71700000000001</v>
      </c>
      <c r="L16" s="6">
        <f t="shared" si="10"/>
        <v>328.572</v>
      </c>
      <c r="M16" s="6">
        <f t="shared" si="10"/>
        <v>476.7480000000001</v>
      </c>
      <c r="N16" s="6">
        <f t="shared" si="10"/>
        <v>0</v>
      </c>
      <c r="O16" s="6">
        <f t="shared" si="10"/>
        <v>876.40200000000016</v>
      </c>
      <c r="P16" s="6">
        <f t="shared" si="10"/>
        <v>1065.962</v>
      </c>
      <c r="Q16" s="6"/>
      <c r="R16" s="6"/>
      <c r="S16" s="6"/>
      <c r="T16" s="6">
        <f t="shared" ref="T16:X16" si="11">+T14-T15</f>
        <v>0</v>
      </c>
      <c r="U16" s="6">
        <f t="shared" si="11"/>
        <v>0</v>
      </c>
      <c r="V16" s="6">
        <f t="shared" si="11"/>
        <v>0</v>
      </c>
      <c r="W16" s="6">
        <f t="shared" si="11"/>
        <v>-371.09400000000005</v>
      </c>
      <c r="X16" s="6">
        <f t="shared" si="11"/>
        <v>217.37500000000011</v>
      </c>
      <c r="Y16" s="6">
        <f>+Y14-Y15</f>
        <v>467.91799999999984</v>
      </c>
      <c r="Z16" s="6">
        <f>+Z14-Z15</f>
        <v>1634.643</v>
      </c>
    </row>
    <row r="17" spans="2:26" x14ac:dyDescent="0.2">
      <c r="B17" s="2" t="s">
        <v>49</v>
      </c>
      <c r="C17" s="6"/>
      <c r="D17" s="6"/>
      <c r="E17" s="6"/>
      <c r="F17" s="6"/>
      <c r="G17" s="6">
        <v>0.54100000000000004</v>
      </c>
      <c r="H17" s="6">
        <v>1.444</v>
      </c>
      <c r="I17" s="6">
        <v>5.8159999999999998</v>
      </c>
      <c r="J17" s="6"/>
      <c r="K17" s="6">
        <v>3.6859999999999999</v>
      </c>
      <c r="L17" s="6">
        <v>1.845</v>
      </c>
      <c r="M17" s="6">
        <v>1.149</v>
      </c>
      <c r="N17" s="6"/>
      <c r="O17" s="6">
        <v>5.875</v>
      </c>
      <c r="P17" s="6">
        <v>4.0720000000000001</v>
      </c>
      <c r="Q17" s="6"/>
      <c r="R17" s="6"/>
      <c r="S17" s="6"/>
      <c r="T17" s="6"/>
      <c r="U17" s="6"/>
      <c r="V17" s="6"/>
      <c r="W17" s="6">
        <v>2.6110000000000002</v>
      </c>
      <c r="X17" s="6">
        <v>7.55</v>
      </c>
      <c r="Y17" s="6">
        <v>5.7279999999999998</v>
      </c>
      <c r="Z17" s="6">
        <v>9.6110000000000007</v>
      </c>
    </row>
    <row r="18" spans="2:26" x14ac:dyDescent="0.2">
      <c r="B18" s="2" t="s">
        <v>50</v>
      </c>
      <c r="C18" s="6">
        <f t="shared" ref="C18:K18" si="12">+C16-C17</f>
        <v>0</v>
      </c>
      <c r="D18" s="6">
        <f t="shared" si="12"/>
        <v>27.871999999999957</v>
      </c>
      <c r="E18" s="6">
        <f t="shared" si="12"/>
        <v>0</v>
      </c>
      <c r="F18" s="6">
        <f t="shared" si="12"/>
        <v>0</v>
      </c>
      <c r="G18" s="6">
        <f t="shared" si="12"/>
        <v>105.58000000000004</v>
      </c>
      <c r="H18" s="6">
        <f t="shared" si="12"/>
        <v>134.12599999999998</v>
      </c>
      <c r="I18" s="6">
        <f t="shared" si="12"/>
        <v>143.52499999999998</v>
      </c>
      <c r="J18" s="6">
        <f t="shared" si="12"/>
        <v>0</v>
      </c>
      <c r="K18" s="6">
        <f t="shared" si="12"/>
        <v>214.03100000000001</v>
      </c>
      <c r="L18" s="6">
        <f>+L16-L17</f>
        <v>326.72699999999998</v>
      </c>
      <c r="M18" s="6">
        <f>+M16-M17</f>
        <v>475.5990000000001</v>
      </c>
      <c r="N18" s="6">
        <f t="shared" ref="N18:P18" si="13">+N16-N17</f>
        <v>0</v>
      </c>
      <c r="O18" s="6">
        <f t="shared" si="13"/>
        <v>870.52700000000016</v>
      </c>
      <c r="P18" s="6">
        <f t="shared" si="13"/>
        <v>1061.8900000000001</v>
      </c>
      <c r="Q18" s="6"/>
      <c r="R18" s="6"/>
      <c r="S18" s="6"/>
      <c r="T18" s="6">
        <f t="shared" ref="T18:X18" si="14">+T16-T17</f>
        <v>0</v>
      </c>
      <c r="U18" s="6">
        <f t="shared" si="14"/>
        <v>0</v>
      </c>
      <c r="V18" s="6">
        <f t="shared" si="14"/>
        <v>0</v>
      </c>
      <c r="W18" s="6">
        <f t="shared" si="14"/>
        <v>-373.70500000000004</v>
      </c>
      <c r="X18" s="6">
        <f t="shared" si="14"/>
        <v>209.8250000000001</v>
      </c>
      <c r="Y18" s="6">
        <f>+Y16-Y17</f>
        <v>462.18999999999983</v>
      </c>
      <c r="Z18" s="6">
        <f>+Z16-Z17</f>
        <v>1625.0319999999999</v>
      </c>
    </row>
    <row r="19" spans="2:26" x14ac:dyDescent="0.2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2:26" x14ac:dyDescent="0.2">
      <c r="B20" s="2" t="s">
        <v>31</v>
      </c>
      <c r="C20" s="8" t="e">
        <f t="shared" ref="C20:H20" si="15">C16/C21</f>
        <v>#DIV/0!</v>
      </c>
      <c r="D20" s="8">
        <f t="shared" si="15"/>
        <v>1.3077930804082516E-2</v>
      </c>
      <c r="E20" s="8" t="e">
        <f t="shared" si="15"/>
        <v>#DIV/0!</v>
      </c>
      <c r="F20" s="8" t="e">
        <f t="shared" si="15"/>
        <v>#DIV/0!</v>
      </c>
      <c r="G20" s="8">
        <f t="shared" si="15"/>
        <v>4.794165015845625E-2</v>
      </c>
      <c r="H20" s="8">
        <f t="shared" si="15"/>
        <v>6.0750352214920991E-2</v>
      </c>
      <c r="I20" s="8">
        <f t="shared" ref="I20:P20" si="16">I16/I21</f>
        <v>6.6372833808585815E-2</v>
      </c>
      <c r="J20" s="8" t="e">
        <f t="shared" si="16"/>
        <v>#DIV/0!</v>
      </c>
      <c r="K20" s="8">
        <f t="shared" si="16"/>
        <v>9.2697639822214961E-2</v>
      </c>
      <c r="L20" s="8">
        <f t="shared" si="16"/>
        <v>0.13891956522842083</v>
      </c>
      <c r="M20" s="8">
        <f t="shared" si="16"/>
        <v>0.20055301121040303</v>
      </c>
      <c r="N20" s="8" t="e">
        <f t="shared" si="16"/>
        <v>#DIV/0!</v>
      </c>
      <c r="O20" s="8">
        <f t="shared" si="16"/>
        <v>0.36610273995778386</v>
      </c>
      <c r="P20" s="8">
        <f t="shared" si="16"/>
        <v>0.4441841471443691</v>
      </c>
      <c r="Q20" s="8"/>
      <c r="R20" s="8"/>
      <c r="S20" s="6"/>
      <c r="T20" s="8" t="e">
        <f t="shared" ref="T20:X20" si="17">+T18/T21</f>
        <v>#DIV/0!</v>
      </c>
      <c r="U20" s="8" t="e">
        <f t="shared" si="17"/>
        <v>#DIV/0!</v>
      </c>
      <c r="V20" s="8" t="e">
        <f t="shared" si="17"/>
        <v>#DIV/0!</v>
      </c>
      <c r="W20" s="8">
        <f t="shared" si="17"/>
        <v>-0.18107678434804267</v>
      </c>
      <c r="X20" s="8">
        <f t="shared" si="17"/>
        <v>9.7709092568567552E-2</v>
      </c>
      <c r="Y20" s="8">
        <f>+Y18/Y21</f>
        <v>0.20540289747898255</v>
      </c>
      <c r="Z20" s="8">
        <f>+Z18/Z21</f>
        <v>0.68577978166889764</v>
      </c>
    </row>
    <row r="21" spans="2:26" x14ac:dyDescent="0.2">
      <c r="B21" s="2" t="s">
        <v>5</v>
      </c>
      <c r="C21" s="6"/>
      <c r="D21" s="6">
        <v>2131.2240000000002</v>
      </c>
      <c r="E21" s="6"/>
      <c r="F21" s="6"/>
      <c r="G21" s="6">
        <v>2213.5450000000001</v>
      </c>
      <c r="H21" s="6">
        <v>2231.5920000000001</v>
      </c>
      <c r="I21" s="6">
        <v>2250.0320000000002</v>
      </c>
      <c r="J21" s="6"/>
      <c r="K21" s="6">
        <v>2348.6790000000001</v>
      </c>
      <c r="L21" s="6">
        <v>2365.1959999999999</v>
      </c>
      <c r="M21" s="6">
        <v>2377.1669999999999</v>
      </c>
      <c r="N21" s="6"/>
      <c r="O21" s="6">
        <v>2393.8690000000001</v>
      </c>
      <c r="P21" s="6">
        <v>2399.8200000000002</v>
      </c>
      <c r="Q21" s="6"/>
      <c r="R21" s="6"/>
      <c r="S21" s="6"/>
      <c r="T21" s="6"/>
      <c r="U21" s="6"/>
      <c r="V21" s="6"/>
      <c r="W21" s="6">
        <v>2063.7930000000001</v>
      </c>
      <c r="X21" s="6">
        <v>2147.4459999999999</v>
      </c>
      <c r="Y21" s="6">
        <v>2250.163</v>
      </c>
      <c r="Z21" s="6">
        <v>2369.6120000000001</v>
      </c>
    </row>
    <row r="22" spans="2:26" x14ac:dyDescent="0.2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2:26" x14ac:dyDescent="0.2">
      <c r="B23" s="2" t="s">
        <v>41</v>
      </c>
      <c r="C23" s="6"/>
      <c r="D23" s="6"/>
      <c r="E23" s="6"/>
      <c r="F23" s="6"/>
      <c r="G23" s="9" t="e">
        <f t="shared" ref="G23:G24" si="18">G3/C3-1</f>
        <v>#DIV/0!</v>
      </c>
      <c r="H23" s="9">
        <f t="shared" ref="H23:H24" si="19">H3/D3-1</f>
        <v>0.22972090015090951</v>
      </c>
      <c r="I23" s="9" t="e">
        <f t="shared" ref="I23:I24" si="20">I3/E3-1</f>
        <v>#DIV/0!</v>
      </c>
      <c r="J23" s="9" t="e">
        <f t="shared" ref="J23:J24" si="21">J3/F3-1</f>
        <v>#DIV/0!</v>
      </c>
      <c r="K23" s="9">
        <f t="shared" ref="K23:K25" si="22">K3/G3-1</f>
        <v>0.45200418638351936</v>
      </c>
      <c r="L23" s="9">
        <f t="shared" ref="L23:L25" si="23">L3/H3-1</f>
        <v>0.49145689880706733</v>
      </c>
      <c r="M23" s="9">
        <f t="shared" ref="M23:M25" si="24">M3/I3-1</f>
        <v>0.54938152181632516</v>
      </c>
      <c r="N23" s="9" t="e">
        <f t="shared" ref="N23:O25" si="25">N3/J3-1</f>
        <v>#DIV/0!</v>
      </c>
      <c r="O23" s="9">
        <f t="shared" si="25"/>
        <v>0.76278279869312438</v>
      </c>
      <c r="P23" s="9">
        <f t="shared" ref="P23:P25" si="26">P3/L3-1</f>
        <v>0.79034798538110596</v>
      </c>
      <c r="Q23" s="9">
        <f t="shared" ref="Q23:Q25" si="27">Q3/M3-1</f>
        <v>-1</v>
      </c>
      <c r="R23" s="9"/>
      <c r="S23" s="6"/>
      <c r="T23" s="6"/>
      <c r="U23" s="6"/>
      <c r="V23" s="6"/>
      <c r="W23" s="6"/>
      <c r="X23" s="6"/>
      <c r="Y23" s="6"/>
      <c r="Z23" s="6"/>
    </row>
    <row r="24" spans="2:26" x14ac:dyDescent="0.2">
      <c r="B24" s="2" t="s">
        <v>42</v>
      </c>
      <c r="C24" s="6"/>
      <c r="D24" s="6"/>
      <c r="E24" s="6"/>
      <c r="F24" s="6"/>
      <c r="G24" s="9" t="e">
        <f t="shared" si="18"/>
        <v>#DIV/0!</v>
      </c>
      <c r="H24" s="9">
        <f t="shared" si="19"/>
        <v>0.32593222093765628</v>
      </c>
      <c r="I24" s="9" t="e">
        <f t="shared" si="20"/>
        <v>#DIV/0!</v>
      </c>
      <c r="J24" s="9" t="e">
        <f t="shared" si="21"/>
        <v>#DIV/0!</v>
      </c>
      <c r="K24" s="9">
        <f t="shared" si="22"/>
        <v>0.32755339253758819</v>
      </c>
      <c r="L24" s="9">
        <f t="shared" si="23"/>
        <v>0.46637082055002632</v>
      </c>
      <c r="M24" s="9">
        <f t="shared" si="24"/>
        <v>0.72906439662646805</v>
      </c>
      <c r="N24" s="9" t="e">
        <f t="shared" si="25"/>
        <v>#DIV/0!</v>
      </c>
      <c r="O24" s="9">
        <f t="shared" si="25"/>
        <v>0.95058857321387191</v>
      </c>
      <c r="P24" s="9">
        <f t="shared" si="26"/>
        <v>1.0976317576112566</v>
      </c>
      <c r="Q24" s="9">
        <f t="shared" si="27"/>
        <v>-1</v>
      </c>
      <c r="R24" s="9"/>
      <c r="S24" s="6"/>
      <c r="T24" s="6"/>
      <c r="U24" s="6"/>
      <c r="V24" s="6"/>
      <c r="W24" s="6"/>
      <c r="X24" s="6"/>
      <c r="Y24" s="6"/>
      <c r="Z24" s="6"/>
    </row>
    <row r="25" spans="2:26" x14ac:dyDescent="0.2">
      <c r="B25" s="1" t="s">
        <v>32</v>
      </c>
      <c r="C25" s="7"/>
      <c r="D25" s="7"/>
      <c r="E25" s="7"/>
      <c r="F25" s="7"/>
      <c r="G25" s="11" t="e">
        <f t="shared" ref="G25" si="28">G5/C5-1</f>
        <v>#DIV/0!</v>
      </c>
      <c r="H25" s="11">
        <f>H5/D5-1</f>
        <v>0.2715401909183468</v>
      </c>
      <c r="I25" s="11" t="e">
        <f t="shared" ref="I25:J25" si="29">I5/E5-1</f>
        <v>#DIV/0!</v>
      </c>
      <c r="J25" s="11" t="e">
        <f t="shared" si="29"/>
        <v>#DIV/0!</v>
      </c>
      <c r="K25" s="11">
        <f t="shared" si="22"/>
        <v>0.39324041438362634</v>
      </c>
      <c r="L25" s="11">
        <f t="shared" si="23"/>
        <v>0.48008653157045655</v>
      </c>
      <c r="M25" s="11">
        <f t="shared" si="24"/>
        <v>0.62793377403117256</v>
      </c>
      <c r="N25" s="11" t="e">
        <f t="shared" si="25"/>
        <v>#DIV/0!</v>
      </c>
      <c r="O25" s="11">
        <f t="shared" si="25"/>
        <v>0.8471163256416494</v>
      </c>
      <c r="P25" s="11">
        <f t="shared" si="26"/>
        <v>0.92833494570572594</v>
      </c>
      <c r="Q25" s="11">
        <f t="shared" si="27"/>
        <v>-1</v>
      </c>
      <c r="R25" s="11"/>
      <c r="S25" s="6"/>
      <c r="T25" s="6"/>
      <c r="U25" s="6"/>
      <c r="V25" s="6"/>
      <c r="W25" s="6"/>
      <c r="X25" s="6"/>
      <c r="Y25" s="6"/>
      <c r="Z25" s="6"/>
    </row>
    <row r="26" spans="2:26" x14ac:dyDescent="0.2">
      <c r="B26" s="2" t="s">
        <v>33</v>
      </c>
      <c r="C26" s="9" t="e">
        <f t="shared" ref="C26:H26" si="30">C7/C5</f>
        <v>#DIV/0!</v>
      </c>
      <c r="D26" s="9">
        <f t="shared" si="30"/>
        <v>0.79955823647099189</v>
      </c>
      <c r="E26" s="9" t="e">
        <f t="shared" si="30"/>
        <v>#DIV/0!</v>
      </c>
      <c r="F26" s="9" t="e">
        <f t="shared" si="30"/>
        <v>#DIV/0!</v>
      </c>
      <c r="G26" s="9">
        <f t="shared" si="30"/>
        <v>0.81674306575786437</v>
      </c>
      <c r="H26" s="9">
        <f t="shared" si="30"/>
        <v>0.81041799998230435</v>
      </c>
      <c r="I26" s="9">
        <f t="shared" ref="I26:J26" si="31">I7/I5</f>
        <v>0.79788316177727303</v>
      </c>
      <c r="J26" s="9" t="e">
        <f t="shared" si="31"/>
        <v>#DIV/0!</v>
      </c>
      <c r="K26" s="9">
        <f t="shared" ref="K26:N26" si="32">K7/K5</f>
        <v>0.8043004791509919</v>
      </c>
      <c r="L26" s="9">
        <f t="shared" si="32"/>
        <v>0.80777664972596319</v>
      </c>
      <c r="M26" s="9">
        <f t="shared" si="32"/>
        <v>0.82447853342499988</v>
      </c>
      <c r="N26" s="9" t="e">
        <f t="shared" si="32"/>
        <v>#DIV/0!</v>
      </c>
      <c r="O26" s="9">
        <f t="shared" ref="O26:Q26" si="33">O7/O5</f>
        <v>0.86781805274218826</v>
      </c>
      <c r="P26" s="9">
        <f t="shared" si="33"/>
        <v>0.84661559192007707</v>
      </c>
      <c r="Q26" s="9" t="e">
        <f t="shared" si="33"/>
        <v>#DIV/0!</v>
      </c>
      <c r="R26" s="9"/>
      <c r="S26" s="6"/>
      <c r="T26" s="6"/>
      <c r="U26" s="6"/>
      <c r="V26" s="6"/>
      <c r="W26" s="6"/>
      <c r="X26" s="6"/>
      <c r="Y26" s="6"/>
      <c r="Z26" s="6"/>
    </row>
    <row r="27" spans="2:26" x14ac:dyDescent="0.2">
      <c r="B27" s="2" t="s">
        <v>34</v>
      </c>
      <c r="C27" s="9" t="e">
        <f t="shared" ref="C27:H27" si="34">C11/C5</f>
        <v>#DIV/0!</v>
      </c>
      <c r="D27" s="9">
        <f t="shared" si="34"/>
        <v>1.8889328485684791E-2</v>
      </c>
      <c r="E27" s="9" t="e">
        <f t="shared" si="34"/>
        <v>#DIV/0!</v>
      </c>
      <c r="F27" s="9" t="e">
        <f t="shared" si="34"/>
        <v>#DIV/0!</v>
      </c>
      <c r="G27" s="9">
        <f t="shared" si="34"/>
        <v>0.12757334628019451</v>
      </c>
      <c r="H27" s="9">
        <f t="shared" si="34"/>
        <v>0.1553365559019308</v>
      </c>
      <c r="I27" s="9">
        <f t="shared" ref="I27:J27" si="35">I11/I5</f>
        <v>0.15594418317445788</v>
      </c>
      <c r="J27" s="9" t="e">
        <f t="shared" si="35"/>
        <v>#DIV/0!</v>
      </c>
      <c r="K27" s="9">
        <f t="shared" ref="K27:N27" si="36">K11/K5</f>
        <v>0.19918199252139773</v>
      </c>
      <c r="L27" s="9">
        <f t="shared" si="36"/>
        <v>0.26832500246588364</v>
      </c>
      <c r="M27" s="9">
        <f t="shared" si="36"/>
        <v>0.33295966783281916</v>
      </c>
      <c r="N27" s="9" t="e">
        <f t="shared" si="36"/>
        <v>#DIV/0!</v>
      </c>
      <c r="O27" s="9">
        <f t="shared" ref="O27:Q27" si="37">O11/O5</f>
        <v>0.46184359386322166</v>
      </c>
      <c r="P27" s="9">
        <f t="shared" si="37"/>
        <v>0.47120690439088508</v>
      </c>
      <c r="Q27" s="9" t="e">
        <f t="shared" si="37"/>
        <v>#DIV/0!</v>
      </c>
      <c r="R27" s="9"/>
      <c r="S27" s="6"/>
      <c r="T27" s="6"/>
      <c r="U27" s="6"/>
      <c r="V27" s="6"/>
      <c r="W27" s="6"/>
      <c r="X27" s="6"/>
      <c r="Y27" s="6"/>
      <c r="Z27" s="6"/>
    </row>
    <row r="28" spans="2:26" x14ac:dyDescent="0.2">
      <c r="B28" s="2" t="s">
        <v>35</v>
      </c>
      <c r="C28" s="9" t="e">
        <f t="shared" ref="C28:H28" si="38">C15/C14</f>
        <v>#DIV/0!</v>
      </c>
      <c r="D28" s="9">
        <f t="shared" si="38"/>
        <v>7.226308957161412E-2</v>
      </c>
      <c r="E28" s="9" t="e">
        <f t="shared" si="38"/>
        <v>#DIV/0!</v>
      </c>
      <c r="F28" s="9" t="e">
        <f t="shared" si="38"/>
        <v>#DIV/0!</v>
      </c>
      <c r="G28" s="9">
        <f t="shared" si="38"/>
        <v>4.20217375604824E-2</v>
      </c>
      <c r="H28" s="9">
        <f t="shared" si="38"/>
        <v>3.6864427851860282E-2</v>
      </c>
      <c r="I28" s="9">
        <f t="shared" ref="I28:J28" si="39">I15/I14</f>
        <v>4.9691377664651613E-2</v>
      </c>
      <c r="J28" s="9" t="e">
        <f t="shared" si="39"/>
        <v>#DIV/0!</v>
      </c>
      <c r="K28" s="9">
        <f t="shared" ref="K28:N28" si="40">K15/K14</f>
        <v>2.5072095147683104E-2</v>
      </c>
      <c r="L28" s="9">
        <f t="shared" si="40"/>
        <v>1.0825847161677223E-2</v>
      </c>
      <c r="M28" s="9">
        <f t="shared" si="40"/>
        <v>7.8105976886624576E-3</v>
      </c>
      <c r="N28" s="9" t="e">
        <f t="shared" si="40"/>
        <v>#DIV/0!</v>
      </c>
      <c r="O28" s="9">
        <f t="shared" ref="O28:Q28" si="41">O15/O14</f>
        <v>1.3728321260048096E-2</v>
      </c>
      <c r="P28" s="9">
        <f t="shared" si="41"/>
        <v>1.4225802126055976E-2</v>
      </c>
      <c r="Q28" s="9" t="e">
        <f t="shared" si="41"/>
        <v>#DIV/0!</v>
      </c>
      <c r="R28" s="9"/>
      <c r="S28" s="6"/>
      <c r="T28" s="6"/>
      <c r="U28" s="6"/>
      <c r="V28" s="6"/>
      <c r="W28" s="6"/>
      <c r="X28" s="6"/>
      <c r="Y28" s="6"/>
      <c r="Z28" s="6"/>
    </row>
    <row r="29" spans="2:26" x14ac:dyDescent="0.2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2:26" x14ac:dyDescent="0.2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2:26" x14ac:dyDescent="0.2">
      <c r="B31" s="2" t="s">
        <v>36</v>
      </c>
      <c r="C31" s="6"/>
      <c r="D31" s="6">
        <v>277.56799999999998</v>
      </c>
      <c r="E31" s="6"/>
      <c r="F31" s="6"/>
      <c r="G31" s="6"/>
      <c r="H31" s="6">
        <v>273.76600000000002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2:26" x14ac:dyDescent="0.2">
      <c r="B32" s="2" t="s">
        <v>37</v>
      </c>
      <c r="C32" s="6"/>
      <c r="D32" s="6">
        <v>8.6890000000000001</v>
      </c>
      <c r="E32" s="6"/>
      <c r="F32" s="6"/>
      <c r="G32" s="6"/>
      <c r="H32" s="6">
        <v>5.5430000000000001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2:26" x14ac:dyDescent="0.2">
      <c r="B33" s="2" t="s">
        <v>38</v>
      </c>
      <c r="C33" s="6"/>
      <c r="D33" s="6">
        <f>D31-D32</f>
        <v>268.87899999999996</v>
      </c>
      <c r="E33" s="6"/>
      <c r="F33" s="6"/>
      <c r="G33" s="6"/>
      <c r="H33" s="6">
        <f>H31-H32</f>
        <v>268.22300000000001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2:26" x14ac:dyDescent="0.2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2:26" x14ac:dyDescent="0.2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2:26" x14ac:dyDescent="0.2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2:26" x14ac:dyDescent="0.2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2:26" x14ac:dyDescent="0.2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2:26" x14ac:dyDescent="0.2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6" x14ac:dyDescent="0.2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6" x14ac:dyDescent="0.2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6" x14ac:dyDescent="0.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6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6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6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6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6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6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3:26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3:26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3:26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3:26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3:26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3:26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3:26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3:26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3:26" x14ac:dyDescent="0.2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3:26" x14ac:dyDescent="0.2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3:26" x14ac:dyDescent="0.2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3:26" x14ac:dyDescent="0.2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3:26" x14ac:dyDescent="0.2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3:26" x14ac:dyDescent="0.2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3:26" x14ac:dyDescent="0.2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3:26" x14ac:dyDescent="0.2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3:26" x14ac:dyDescent="0.2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3:26" x14ac:dyDescent="0.2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3:26" x14ac:dyDescent="0.2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3:26" x14ac:dyDescent="0.2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3:26" x14ac:dyDescent="0.2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3:26" x14ac:dyDescent="0.2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3:26" x14ac:dyDescent="0.2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3:26" x14ac:dyDescent="0.2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3:26" x14ac:dyDescent="0.2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3:26" x14ac:dyDescent="0.2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3:26" x14ac:dyDescent="0.2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3:26" x14ac:dyDescent="0.2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3:26" x14ac:dyDescent="0.2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3:26" x14ac:dyDescent="0.2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3:26" x14ac:dyDescent="0.2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3:26" x14ac:dyDescent="0.2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3:26" x14ac:dyDescent="0.2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3:26" x14ac:dyDescent="0.2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3:26" x14ac:dyDescent="0.2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3:26" x14ac:dyDescent="0.2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3:26" x14ac:dyDescent="0.2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3:26" x14ac:dyDescent="0.2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3:26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3:26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3:26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3:26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3:26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3:26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3:26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3:26" x14ac:dyDescent="0.2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3:26" x14ac:dyDescent="0.2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3:26" x14ac:dyDescent="0.2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3:26" x14ac:dyDescent="0.2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3:26" x14ac:dyDescent="0.2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3:26" x14ac:dyDescent="0.2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3:26" x14ac:dyDescent="0.2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3:26" x14ac:dyDescent="0.2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3:26" x14ac:dyDescent="0.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3:26" x14ac:dyDescent="0.2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3:26" x14ac:dyDescent="0.2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3:26" x14ac:dyDescent="0.2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3:26" x14ac:dyDescent="0.2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3:26" x14ac:dyDescent="0.2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3:26" x14ac:dyDescent="0.2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3:26" x14ac:dyDescent="0.2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3:26" x14ac:dyDescent="0.2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3:26" x14ac:dyDescent="0.2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3:26" x14ac:dyDescent="0.2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3:26" x14ac:dyDescent="0.2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3:26" x14ac:dyDescent="0.2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3:26" x14ac:dyDescent="0.2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3:26" x14ac:dyDescent="0.2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3:26" x14ac:dyDescent="0.2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3:26" x14ac:dyDescent="0.2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3:26" x14ac:dyDescent="0.2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3:26" x14ac:dyDescent="0.2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3:26" x14ac:dyDescent="0.2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3:26" x14ac:dyDescent="0.2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3:26" x14ac:dyDescent="0.2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3:26" x14ac:dyDescent="0.2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3:26" x14ac:dyDescent="0.2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3:26" x14ac:dyDescent="0.2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3:26" x14ac:dyDescent="0.2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3:26" x14ac:dyDescent="0.2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3:26" x14ac:dyDescent="0.2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3:26" x14ac:dyDescent="0.2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3:26" x14ac:dyDescent="0.2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3:26" x14ac:dyDescent="0.2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3:26" x14ac:dyDescent="0.2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3:26" x14ac:dyDescent="0.2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3:26" x14ac:dyDescent="0.2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3:26" x14ac:dyDescent="0.2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3:26" x14ac:dyDescent="0.2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3:26" x14ac:dyDescent="0.2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3:26" x14ac:dyDescent="0.2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3:26" x14ac:dyDescent="0.2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3:26" x14ac:dyDescent="0.2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3:26" x14ac:dyDescent="0.2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3:26" x14ac:dyDescent="0.2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3:26" x14ac:dyDescent="0.2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3:26" x14ac:dyDescent="0.2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3:26" x14ac:dyDescent="0.2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3:26" x14ac:dyDescent="0.2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3:26" x14ac:dyDescent="0.2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3:26" x14ac:dyDescent="0.2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3:26" x14ac:dyDescent="0.2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3:26" x14ac:dyDescent="0.2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3:26" x14ac:dyDescent="0.2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3:26" x14ac:dyDescent="0.2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3:26" x14ac:dyDescent="0.2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3:26" x14ac:dyDescent="0.2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3:26" x14ac:dyDescent="0.2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3:26" x14ac:dyDescent="0.2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3:26" x14ac:dyDescent="0.2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3:26" x14ac:dyDescent="0.2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3:26" x14ac:dyDescent="0.2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3:26" x14ac:dyDescent="0.2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3:26" x14ac:dyDescent="0.2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3:26" x14ac:dyDescent="0.2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3:26" x14ac:dyDescent="0.2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3:26" x14ac:dyDescent="0.2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3:26" x14ac:dyDescent="0.2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3:26" x14ac:dyDescent="0.2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3:26" x14ac:dyDescent="0.2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3:26" x14ac:dyDescent="0.2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3:26" x14ac:dyDescent="0.2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3:26" x14ac:dyDescent="0.2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3:26" x14ac:dyDescent="0.2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3:26" x14ac:dyDescent="0.2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3:26" x14ac:dyDescent="0.2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3:26" x14ac:dyDescent="0.2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3:26" x14ac:dyDescent="0.2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3:26" x14ac:dyDescent="0.2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3:26" x14ac:dyDescent="0.2"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3:26" x14ac:dyDescent="0.2"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3:26" x14ac:dyDescent="0.2"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3:26" x14ac:dyDescent="0.2"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3:26" x14ac:dyDescent="0.2"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3:26" x14ac:dyDescent="0.2"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3:26" x14ac:dyDescent="0.2"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3:26" x14ac:dyDescent="0.2"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3:26" x14ac:dyDescent="0.2"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3:26" x14ac:dyDescent="0.2"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3:26" x14ac:dyDescent="0.2"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3:26" x14ac:dyDescent="0.2"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3:26" x14ac:dyDescent="0.2"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3:26" x14ac:dyDescent="0.2"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3:26" x14ac:dyDescent="0.2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3:26" x14ac:dyDescent="0.2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3:26" x14ac:dyDescent="0.2"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3:26" x14ac:dyDescent="0.2"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3:26" x14ac:dyDescent="0.2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3:26" x14ac:dyDescent="0.2"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3:26" x14ac:dyDescent="0.2"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3:26" x14ac:dyDescent="0.2"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3:26" x14ac:dyDescent="0.2"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3:26" x14ac:dyDescent="0.2"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3:26" x14ac:dyDescent="0.2"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3:26" x14ac:dyDescent="0.2"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3:26" x14ac:dyDescent="0.2"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3:26" x14ac:dyDescent="0.2"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3:26" x14ac:dyDescent="0.2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3:26" x14ac:dyDescent="0.2"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3:26" x14ac:dyDescent="0.2"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3:26" x14ac:dyDescent="0.2"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3:26" x14ac:dyDescent="0.2"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3:26" x14ac:dyDescent="0.2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3:26" x14ac:dyDescent="0.2"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3:26" x14ac:dyDescent="0.2"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3:26" x14ac:dyDescent="0.2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3:26" x14ac:dyDescent="0.2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3:26" x14ac:dyDescent="0.2"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3:26" x14ac:dyDescent="0.2"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3:26" x14ac:dyDescent="0.2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3:26" x14ac:dyDescent="0.2"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3:26" x14ac:dyDescent="0.2"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3:26" x14ac:dyDescent="0.2"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3:26" x14ac:dyDescent="0.2"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3:26" x14ac:dyDescent="0.2"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3:26" x14ac:dyDescent="0.2"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3:26" x14ac:dyDescent="0.2"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3:26" x14ac:dyDescent="0.2"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3:26" x14ac:dyDescent="0.2"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3:26" x14ac:dyDescent="0.2"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3:26" x14ac:dyDescent="0.2"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3:26" x14ac:dyDescent="0.2"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3:26" x14ac:dyDescent="0.2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3:26" x14ac:dyDescent="0.2"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3:26" x14ac:dyDescent="0.2"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3:26" x14ac:dyDescent="0.2"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3:26" x14ac:dyDescent="0.2"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3:26" x14ac:dyDescent="0.2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3:26" x14ac:dyDescent="0.2"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3:26" x14ac:dyDescent="0.2"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3:26" x14ac:dyDescent="0.2"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3:26" x14ac:dyDescent="0.2"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3:26" x14ac:dyDescent="0.2"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3:26" x14ac:dyDescent="0.2"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3:26" x14ac:dyDescent="0.2"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3:26" x14ac:dyDescent="0.2"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3:26" x14ac:dyDescent="0.2"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3:26" x14ac:dyDescent="0.2"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3:26" x14ac:dyDescent="0.2"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3:26" x14ac:dyDescent="0.2"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3:26" x14ac:dyDescent="0.2"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3:26" x14ac:dyDescent="0.2"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3:26" x14ac:dyDescent="0.2"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3:26" x14ac:dyDescent="0.2"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3:26" x14ac:dyDescent="0.2"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3:26" x14ac:dyDescent="0.2"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3:26" x14ac:dyDescent="0.2"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3:26" x14ac:dyDescent="0.2"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3:26" x14ac:dyDescent="0.2"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3:26" x14ac:dyDescent="0.2"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3:26" x14ac:dyDescent="0.2"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3:26" x14ac:dyDescent="0.2"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3:26" x14ac:dyDescent="0.2"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3:26" x14ac:dyDescent="0.2"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3:26" x14ac:dyDescent="0.2"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3:26" x14ac:dyDescent="0.2"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3:26" x14ac:dyDescent="0.2"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3:26" x14ac:dyDescent="0.2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3:26" x14ac:dyDescent="0.2"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3:26" x14ac:dyDescent="0.2"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3:26" x14ac:dyDescent="0.2"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3:26" x14ac:dyDescent="0.2"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3:26" x14ac:dyDescent="0.2"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3:26" x14ac:dyDescent="0.2"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3:26" x14ac:dyDescent="0.2"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3:26" x14ac:dyDescent="0.2"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3:26" x14ac:dyDescent="0.2"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3:26" x14ac:dyDescent="0.2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3:26" x14ac:dyDescent="0.2"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3:26" x14ac:dyDescent="0.2"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3:26" x14ac:dyDescent="0.2"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3:26" x14ac:dyDescent="0.2"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3:26" x14ac:dyDescent="0.2"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3:26" x14ac:dyDescent="0.2"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3:26" x14ac:dyDescent="0.2"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3:26" x14ac:dyDescent="0.2"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3:26" x14ac:dyDescent="0.2"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3:26" x14ac:dyDescent="0.2"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3:26" x14ac:dyDescent="0.2"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3:26" x14ac:dyDescent="0.2"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3:26" x14ac:dyDescent="0.2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3:26" x14ac:dyDescent="0.2"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3:26" x14ac:dyDescent="0.2"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3:26" x14ac:dyDescent="0.2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3:26" x14ac:dyDescent="0.2"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3:26" x14ac:dyDescent="0.2"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3:26" x14ac:dyDescent="0.2"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3:26" x14ac:dyDescent="0.2"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3:26" x14ac:dyDescent="0.2"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3:26" x14ac:dyDescent="0.2"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3:26" x14ac:dyDescent="0.2"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3:26" x14ac:dyDescent="0.2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3:26" x14ac:dyDescent="0.2"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3:26" x14ac:dyDescent="0.2"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3:26" x14ac:dyDescent="0.2"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3:26" x14ac:dyDescent="0.2"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3:26" x14ac:dyDescent="0.2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3:26" x14ac:dyDescent="0.2"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3:26" x14ac:dyDescent="0.2"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3:26" x14ac:dyDescent="0.2"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3:26" x14ac:dyDescent="0.2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3:26" x14ac:dyDescent="0.2"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3:26" x14ac:dyDescent="0.2"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3:26" x14ac:dyDescent="0.2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3:26" x14ac:dyDescent="0.2"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3:26" x14ac:dyDescent="0.2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3:26" x14ac:dyDescent="0.2"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3:26" x14ac:dyDescent="0.2"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3:26" x14ac:dyDescent="0.2"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3:26" x14ac:dyDescent="0.2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3:26" x14ac:dyDescent="0.2"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3:26" x14ac:dyDescent="0.2"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3:26" x14ac:dyDescent="0.2"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3:26" x14ac:dyDescent="0.2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3:26" x14ac:dyDescent="0.2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3:26" x14ac:dyDescent="0.2"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3:26" x14ac:dyDescent="0.2"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3:26" x14ac:dyDescent="0.2"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3:26" x14ac:dyDescent="0.2"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3:26" x14ac:dyDescent="0.2"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3:26" x14ac:dyDescent="0.2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3:26" x14ac:dyDescent="0.2"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3:26" x14ac:dyDescent="0.2"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3:26" x14ac:dyDescent="0.2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3:26" x14ac:dyDescent="0.2"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3:26" x14ac:dyDescent="0.2"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3:26" x14ac:dyDescent="0.2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3:26" x14ac:dyDescent="0.2"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3:26" x14ac:dyDescent="0.2"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3:26" x14ac:dyDescent="0.2"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3:26" x14ac:dyDescent="0.2"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3:26" x14ac:dyDescent="0.2"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3:26" x14ac:dyDescent="0.2"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3:26" x14ac:dyDescent="0.2"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3:26" x14ac:dyDescent="0.2"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3:26" x14ac:dyDescent="0.2"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3:26" x14ac:dyDescent="0.2"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3:26" x14ac:dyDescent="0.2"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3:26" x14ac:dyDescent="0.2"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3:26" x14ac:dyDescent="0.2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3:26" x14ac:dyDescent="0.2"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3:26" x14ac:dyDescent="0.2"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3:26" x14ac:dyDescent="0.2"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3:26" x14ac:dyDescent="0.2"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3:26" x14ac:dyDescent="0.2"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3:26" x14ac:dyDescent="0.2"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3:26" x14ac:dyDescent="0.2"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3:26" x14ac:dyDescent="0.2"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3:26" x14ac:dyDescent="0.2"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3:26" x14ac:dyDescent="0.2"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3:26" x14ac:dyDescent="0.2"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3:26" x14ac:dyDescent="0.2"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3:26" x14ac:dyDescent="0.2"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3:26" x14ac:dyDescent="0.2"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3:26" x14ac:dyDescent="0.2"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3:26" x14ac:dyDescent="0.2"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3:26" x14ac:dyDescent="0.2"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3:26" x14ac:dyDescent="0.2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3:26" x14ac:dyDescent="0.2"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3:26" x14ac:dyDescent="0.2"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3:26" x14ac:dyDescent="0.2"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3:26" x14ac:dyDescent="0.2"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3:26" x14ac:dyDescent="0.2"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3:26" x14ac:dyDescent="0.2"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3:26" x14ac:dyDescent="0.2"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3:26" x14ac:dyDescent="0.2"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3:26" x14ac:dyDescent="0.2"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3:26" x14ac:dyDescent="0.2"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3:26" x14ac:dyDescent="0.2"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3:26" x14ac:dyDescent="0.2"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3:26" x14ac:dyDescent="0.2"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3:26" x14ac:dyDescent="0.2"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3:26" x14ac:dyDescent="0.2"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3:26" x14ac:dyDescent="0.2"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3:26" x14ac:dyDescent="0.2"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3:26" x14ac:dyDescent="0.2"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3:26" x14ac:dyDescent="0.2"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3:26" x14ac:dyDescent="0.2"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3:26" x14ac:dyDescent="0.2"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3:26" x14ac:dyDescent="0.2"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3:26" x14ac:dyDescent="0.2"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3:26" x14ac:dyDescent="0.2"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3:26" x14ac:dyDescent="0.2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3:26" x14ac:dyDescent="0.2"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3:26" x14ac:dyDescent="0.2"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3:26" x14ac:dyDescent="0.2"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3:26" x14ac:dyDescent="0.2"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3:26" x14ac:dyDescent="0.2"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3:26" x14ac:dyDescent="0.2"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3:26" x14ac:dyDescent="0.2"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3:26" x14ac:dyDescent="0.2"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3:26" x14ac:dyDescent="0.2"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3:26" x14ac:dyDescent="0.2"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3:26" x14ac:dyDescent="0.2"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3:26" x14ac:dyDescent="0.2"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3:26" x14ac:dyDescent="0.2"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3:26" x14ac:dyDescent="0.2"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3:26" x14ac:dyDescent="0.2"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3:26" x14ac:dyDescent="0.2"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3:26" x14ac:dyDescent="0.2"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3:26" x14ac:dyDescent="0.2"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3:26" x14ac:dyDescent="0.2"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3:26" x14ac:dyDescent="0.2"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3:26" x14ac:dyDescent="0.2"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3:26" x14ac:dyDescent="0.2"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3:26" x14ac:dyDescent="0.2"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3:26" x14ac:dyDescent="0.2"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3:26" x14ac:dyDescent="0.2"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3:26" x14ac:dyDescent="0.2"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3:26" x14ac:dyDescent="0.2"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3:26" x14ac:dyDescent="0.2"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3:26" x14ac:dyDescent="0.2"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3:26" x14ac:dyDescent="0.2"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3:26" x14ac:dyDescent="0.2"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3:26" x14ac:dyDescent="0.2"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3:26" x14ac:dyDescent="0.2"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3:26" x14ac:dyDescent="0.2"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3:26" x14ac:dyDescent="0.2"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3:26" x14ac:dyDescent="0.2"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3:26" x14ac:dyDescent="0.2"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3:26" x14ac:dyDescent="0.2"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3:26" x14ac:dyDescent="0.2"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3:26" x14ac:dyDescent="0.2"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3:26" x14ac:dyDescent="0.2"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3:26" x14ac:dyDescent="0.2"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3:26" x14ac:dyDescent="0.2"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3:26" x14ac:dyDescent="0.2"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3:26" x14ac:dyDescent="0.2"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3:26" x14ac:dyDescent="0.2"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3:26" x14ac:dyDescent="0.2"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3:26" x14ac:dyDescent="0.2"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3:26" x14ac:dyDescent="0.2"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3:26" x14ac:dyDescent="0.2"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3:26" x14ac:dyDescent="0.2"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3:26" x14ac:dyDescent="0.2"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3:26" x14ac:dyDescent="0.2"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3:26" x14ac:dyDescent="0.2"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3:26" x14ac:dyDescent="0.2"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3:26" x14ac:dyDescent="0.2"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3:26" x14ac:dyDescent="0.2"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3:26" x14ac:dyDescent="0.2"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3:26" x14ac:dyDescent="0.2"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3:26" x14ac:dyDescent="0.2"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3:26" x14ac:dyDescent="0.2"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3:26" x14ac:dyDescent="0.2"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3:26" x14ac:dyDescent="0.2"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3:26" x14ac:dyDescent="0.2"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3:26" x14ac:dyDescent="0.2"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3:26" x14ac:dyDescent="0.2"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3:26" x14ac:dyDescent="0.2"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3:26" x14ac:dyDescent="0.2"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3:26" x14ac:dyDescent="0.2"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3:26" x14ac:dyDescent="0.2"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3:26" x14ac:dyDescent="0.2"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3:26" x14ac:dyDescent="0.2"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3:26" x14ac:dyDescent="0.2"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3:26" x14ac:dyDescent="0.2"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3:26" x14ac:dyDescent="0.2"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3:26" x14ac:dyDescent="0.2"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3:26" x14ac:dyDescent="0.2"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3:26" x14ac:dyDescent="0.2"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3:26" x14ac:dyDescent="0.2"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3:26" x14ac:dyDescent="0.2"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3:26" x14ac:dyDescent="0.2"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3:26" x14ac:dyDescent="0.2"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3:26" x14ac:dyDescent="0.2"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3:26" x14ac:dyDescent="0.2"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3:26" x14ac:dyDescent="0.2"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3:26" x14ac:dyDescent="0.2"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3:26" x14ac:dyDescent="0.2"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3:26" x14ac:dyDescent="0.2"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3:26" x14ac:dyDescent="0.2"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3:26" x14ac:dyDescent="0.2"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3:26" x14ac:dyDescent="0.2"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3:26" x14ac:dyDescent="0.2"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3:26" x14ac:dyDescent="0.2"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3:26" x14ac:dyDescent="0.2"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3:26" x14ac:dyDescent="0.2"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3:26" x14ac:dyDescent="0.2"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3:26" x14ac:dyDescent="0.2"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3:26" x14ac:dyDescent="0.2"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3:26" x14ac:dyDescent="0.2"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3:26" x14ac:dyDescent="0.2"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3:26" x14ac:dyDescent="0.2"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3:26" x14ac:dyDescent="0.2"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3:26" x14ac:dyDescent="0.2"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3:26" x14ac:dyDescent="0.2"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3:26" x14ac:dyDescent="0.2"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3:26" x14ac:dyDescent="0.2"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3:26" x14ac:dyDescent="0.2"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3:26" x14ac:dyDescent="0.2"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3:26" x14ac:dyDescent="0.2"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3:26" x14ac:dyDescent="0.2"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3:26" x14ac:dyDescent="0.2"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3:26" x14ac:dyDescent="0.2"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3:26" x14ac:dyDescent="0.2"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3:26" x14ac:dyDescent="0.2"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3:26" x14ac:dyDescent="0.2"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3:26" x14ac:dyDescent="0.2"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3:26" x14ac:dyDescent="0.2"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3:26" x14ac:dyDescent="0.2"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3:26" x14ac:dyDescent="0.2"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3:26" x14ac:dyDescent="0.2"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3:26" x14ac:dyDescent="0.2"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3:26" x14ac:dyDescent="0.2"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3:26" x14ac:dyDescent="0.2"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3:26" x14ac:dyDescent="0.2"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3:26" x14ac:dyDescent="0.2"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3:26" x14ac:dyDescent="0.2"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3:26" x14ac:dyDescent="0.2"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3:26" x14ac:dyDescent="0.2"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3:26" x14ac:dyDescent="0.2"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3:26" x14ac:dyDescent="0.2"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3:26" x14ac:dyDescent="0.2"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3:26" x14ac:dyDescent="0.2"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3:26" x14ac:dyDescent="0.2"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3:26" x14ac:dyDescent="0.2"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3:26" x14ac:dyDescent="0.2"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3:26" x14ac:dyDescent="0.2"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3:26" x14ac:dyDescent="0.2"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3:26" x14ac:dyDescent="0.2"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3:26" x14ac:dyDescent="0.2"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3:26" x14ac:dyDescent="0.2"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3:26" x14ac:dyDescent="0.2"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3:26" x14ac:dyDescent="0.2"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3:26" x14ac:dyDescent="0.2"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3:26" x14ac:dyDescent="0.2"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3:26" x14ac:dyDescent="0.2"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3:26" x14ac:dyDescent="0.2"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3:26" x14ac:dyDescent="0.2"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3:26" x14ac:dyDescent="0.2"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3:26" x14ac:dyDescent="0.2"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3:26" x14ac:dyDescent="0.2"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3:26" x14ac:dyDescent="0.2"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3:26" x14ac:dyDescent="0.2"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3:26" x14ac:dyDescent="0.2"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3:26" x14ac:dyDescent="0.2"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3:26" x14ac:dyDescent="0.2"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3:26" x14ac:dyDescent="0.2"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3:26" x14ac:dyDescent="0.2"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3:26" x14ac:dyDescent="0.2"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3:26" x14ac:dyDescent="0.2"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3:26" x14ac:dyDescent="0.2"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3:26" x14ac:dyDescent="0.2"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3:26" x14ac:dyDescent="0.2"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3:26" x14ac:dyDescent="0.2"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3:26" x14ac:dyDescent="0.2"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3:26" x14ac:dyDescent="0.2"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3:26" x14ac:dyDescent="0.2"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3:26" x14ac:dyDescent="0.2"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3:26" x14ac:dyDescent="0.2"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3:26" x14ac:dyDescent="0.2"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3:26" x14ac:dyDescent="0.2"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3:26" x14ac:dyDescent="0.2"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3:26" x14ac:dyDescent="0.2"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3:26" x14ac:dyDescent="0.2"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3:26" x14ac:dyDescent="0.2"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3:26" x14ac:dyDescent="0.2"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3:26" x14ac:dyDescent="0.2"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3:26" x14ac:dyDescent="0.2"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3:26" x14ac:dyDescent="0.2"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3:26" x14ac:dyDescent="0.2"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3:26" x14ac:dyDescent="0.2"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3:26" x14ac:dyDescent="0.2"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</sheetData>
  <hyperlinks>
    <hyperlink ref="A1" location="Main!A1" display="Main" xr:uid="{DE22B7E6-2550-4046-8CAB-F47545F23D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2024-10-02T16:36:57Z</dcterms:created>
  <dcterms:modified xsi:type="dcterms:W3CDTF">2026-08-05T16:46:14Z</dcterms:modified>
</cp:coreProperties>
</file>