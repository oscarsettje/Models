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500B8A7-1E3A-41E8-A6E1-BD89BCC92DC4}" xr6:coauthVersionLast="47" xr6:coauthVersionMax="47" xr10:uidLastSave="{00000000-0000-0000-0000-000000000000}"/>
  <bookViews>
    <workbookView xWindow="19095" yWindow="0" windowWidth="19410" windowHeight="20925" xr2:uid="{ECC62F7A-C70F-47CF-9717-8932D56837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2" l="1"/>
  <c r="Q30" i="2"/>
  <c r="P30" i="2"/>
  <c r="R29" i="2"/>
  <c r="Q29" i="2"/>
  <c r="P29" i="2"/>
  <c r="R28" i="2"/>
  <c r="Q28" i="2"/>
  <c r="P28" i="2"/>
  <c r="Q27" i="2"/>
  <c r="R27" i="2"/>
  <c r="R24" i="2"/>
  <c r="R22" i="2"/>
  <c r="R20" i="2"/>
  <c r="Q20" i="2"/>
  <c r="Q22" i="2" s="1"/>
  <c r="Q24" i="2" s="1"/>
  <c r="P20" i="2"/>
  <c r="P22" i="2" s="1"/>
  <c r="P24" i="2" s="1"/>
  <c r="P15" i="2"/>
  <c r="R17" i="2"/>
  <c r="P17" i="2"/>
  <c r="R15" i="2"/>
  <c r="R14" i="2"/>
  <c r="Q14" i="2"/>
  <c r="Q17" i="2" s="1"/>
  <c r="P14" i="2"/>
  <c r="I5" i="1"/>
  <c r="M15" i="2"/>
  <c r="N27" i="2"/>
  <c r="M27" i="2"/>
  <c r="L27" i="2"/>
  <c r="K27" i="2"/>
  <c r="N14" i="2"/>
  <c r="N17" i="2" s="1"/>
  <c r="M14" i="2"/>
  <c r="L14" i="2"/>
  <c r="L17" i="2" s="1"/>
  <c r="K14" i="2"/>
  <c r="K17" i="2" s="1"/>
  <c r="D15" i="2"/>
  <c r="J27" i="2"/>
  <c r="H27" i="2"/>
  <c r="G27" i="2"/>
  <c r="I27" i="2"/>
  <c r="J14" i="2"/>
  <c r="J28" i="2" s="1"/>
  <c r="H14" i="2"/>
  <c r="H17" i="2" s="1"/>
  <c r="G14" i="2"/>
  <c r="G17" i="2" s="1"/>
  <c r="F14" i="2"/>
  <c r="F17" i="2" s="1"/>
  <c r="E14" i="2"/>
  <c r="E17" i="2" s="1"/>
  <c r="E20" i="2" s="1"/>
  <c r="E22" i="2" s="1"/>
  <c r="E24" i="2" s="1"/>
  <c r="D14" i="2"/>
  <c r="C14" i="2"/>
  <c r="C17" i="2" s="1"/>
  <c r="I14" i="2"/>
  <c r="I28" i="2" s="1"/>
  <c r="I4" i="1"/>
  <c r="I7" i="1" s="1"/>
  <c r="M17" i="2" l="1"/>
  <c r="L29" i="2"/>
  <c r="L20" i="2"/>
  <c r="N20" i="2"/>
  <c r="N29" i="2"/>
  <c r="L28" i="2"/>
  <c r="N28" i="2"/>
  <c r="M28" i="2"/>
  <c r="M29" i="2"/>
  <c r="M20" i="2"/>
  <c r="K20" i="2"/>
  <c r="K29" i="2"/>
  <c r="K28" i="2"/>
  <c r="D17" i="2"/>
  <c r="D20" i="2" s="1"/>
  <c r="F28" i="2"/>
  <c r="E29" i="2"/>
  <c r="E28" i="2"/>
  <c r="G28" i="2"/>
  <c r="H28" i="2"/>
  <c r="J17" i="2"/>
  <c r="J29" i="2" s="1"/>
  <c r="C28" i="2"/>
  <c r="D28" i="2"/>
  <c r="C29" i="2"/>
  <c r="C20" i="2"/>
  <c r="F29" i="2"/>
  <c r="F20" i="2"/>
  <c r="G29" i="2"/>
  <c r="G20" i="2"/>
  <c r="H29" i="2"/>
  <c r="H20" i="2"/>
  <c r="I17" i="2"/>
  <c r="E30" i="2"/>
  <c r="L30" i="2" l="1"/>
  <c r="L22" i="2"/>
  <c r="L24" i="2" s="1"/>
  <c r="N22" i="2"/>
  <c r="N24" i="2" s="1"/>
  <c r="N30" i="2"/>
  <c r="M30" i="2"/>
  <c r="M22" i="2"/>
  <c r="M24" i="2" s="1"/>
  <c r="K30" i="2"/>
  <c r="K22" i="2"/>
  <c r="K24" i="2" s="1"/>
  <c r="D29" i="2"/>
  <c r="J20" i="2"/>
  <c r="J30" i="2" s="1"/>
  <c r="C30" i="2"/>
  <c r="C22" i="2"/>
  <c r="C24" i="2" s="1"/>
  <c r="I20" i="2"/>
  <c r="I29" i="2"/>
  <c r="D30" i="2"/>
  <c r="D22" i="2"/>
  <c r="D24" i="2" s="1"/>
  <c r="H30" i="2"/>
  <c r="H22" i="2"/>
  <c r="H24" i="2" s="1"/>
  <c r="G30" i="2"/>
  <c r="G22" i="2"/>
  <c r="G24" i="2" s="1"/>
  <c r="F30" i="2"/>
  <c r="F22" i="2"/>
  <c r="F24" i="2" s="1"/>
  <c r="J22" i="2" l="1"/>
  <c r="J24" i="2" s="1"/>
  <c r="I22" i="2"/>
  <c r="I24" i="2" s="1"/>
  <c r="I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tc={02328662-4D88-4BC8-91D8-F530CF00DD0F}</author>
  </authors>
  <commentList>
    <comment ref="D15" authorId="0" shapeId="0" xr:uid="{4511427A-6919-43BC-B48C-3A502B1E98A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 Impairment of Goodwill</t>
        </r>
      </text>
    </comment>
    <comment ref="M15" authorId="1" shapeId="0" xr:uid="{02328662-4D88-4BC8-91D8-F530CF00DD0F}">
      <text>
        <t>[Threaded comment]
Your version of Excel allows you to read this threaded comment; however, any edits to it will get removed if the file is opened in a newer version of Excel. Learn more: https://go.microsoft.com/fwlink/?linkid=870924
Comment:
    29 $ mio Godwill Impairment</t>
      </text>
    </comment>
  </commentList>
</comments>
</file>

<file path=xl/sharedStrings.xml><?xml version="1.0" encoding="utf-8"?>
<sst xmlns="http://schemas.openxmlformats.org/spreadsheetml/2006/main" count="61" uniqueCount="54">
  <si>
    <t>COLM</t>
  </si>
  <si>
    <t>IR</t>
  </si>
  <si>
    <t>Columbia Sportswear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</si>
  <si>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</si>
  <si>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</si>
  <si>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</si>
  <si>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</si>
  <si>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</si>
  <si>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</si>
  <si>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</si>
  <si>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</si>
  <si>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</si>
  <si>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</si>
  <si>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</si>
  <si>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</si>
  <si>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</si>
  <si>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</si>
  <si>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</si>
  <si>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</si>
  <si>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</si>
  <si>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</si>
  <si>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</si>
  <si>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SGA</t>
  </si>
  <si>
    <t>Net Licensing Income</t>
  </si>
  <si>
    <t>Operating Income</t>
  </si>
  <si>
    <t>Interest Income</t>
  </si>
  <si>
    <t>Other Income</t>
  </si>
  <si>
    <t>Pretax Income</t>
  </si>
  <si>
    <t>Tax Expense</t>
  </si>
  <si>
    <t>Net Income</t>
  </si>
  <si>
    <t>EPS</t>
  </si>
  <si>
    <t>Revenue Growth</t>
  </si>
  <si>
    <t>Gross Margin</t>
  </si>
  <si>
    <t xml:space="preserve">Operating Margin </t>
  </si>
  <si>
    <t>Tax Rate</t>
  </si>
  <si>
    <t>Appereal, Accessoires etc</t>
  </si>
  <si>
    <t>Footwear</t>
  </si>
  <si>
    <t>Wholesale Revenue</t>
  </si>
  <si>
    <t>DTC Revenue</t>
  </si>
  <si>
    <t>Brands</t>
  </si>
  <si>
    <t>Columbia</t>
  </si>
  <si>
    <t>SOREL</t>
  </si>
  <si>
    <t>prAna</t>
  </si>
  <si>
    <t>Mountain Hardwear</t>
  </si>
  <si>
    <t>Q125</t>
  </si>
  <si>
    <t>Q225</t>
  </si>
  <si>
    <t>Q325</t>
  </si>
  <si>
    <t>Q425</t>
  </si>
  <si>
    <t>CEO:</t>
  </si>
  <si>
    <t>Timothy P. Boyle</t>
  </si>
  <si>
    <t>FY24</t>
  </si>
  <si>
    <t>FY25</t>
  </si>
  <si>
    <t>SHOREL</t>
  </si>
  <si>
    <t>FY23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</si>
</sst>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8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9" fillId="0" borderId="0" xfId="2" applyFont="1"/>
    <xf numFmtId="164" fontId="8" fillId="0" borderId="0" xfId="0" applyNumberFormat="1" applyFont="1"/>
    <xf numFmtId="4" fontId="3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9" fontId="8" fillId="0" borderId="0" xfId="1" applyFont="1"/>
    <xf numFmtId="164" fontId="2" fillId="0" borderId="0" xfId="0" applyNumberFormat="1" applyFont="1"/>
    <xf numFmtId="165" fontId="3" fillId="0" borderId="0" xfId="0" applyNumberFormat="1" applyFont="1"/>
    <xf numFmtId="165" fontId="8" fillId="0" borderId="0" xfId="0" applyNumberFormat="1" applyFont="1"/>
    <xf numFmtId="0" fontId="10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B5CE0B6-B2B8-49C3-A84C-CB0394E9005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5" dT="2025-12-14T11:31:57.34" personId="{1B5CE0B6-B2B8-49C3-A84C-CB0394E90054}" id="{02328662-4D88-4BC8-91D8-F530CF00DD0F}">
    <text>29 $ mio Godwill Impairment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36220-A4EA-40B8-B7BA-F22C5D1C362A}">
  <dimension ref="A1:J11"/>
  <sheetViews>
    <sheetView tabSelected="1" topLeftCell="B1" zoomScale="200" zoomScaleNormal="200" workbookViewId="0">
      <selection activeCell="I15" sqref="I15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2</v>
      </c>
    </row>
    <row r="2" spans="1:10" x14ac:dyDescent="0.2">
      <c r="A2" s="2" t="s">
        <v>3</v>
      </c>
      <c r="H2" s="2" t="s">
        <v>4</v>
      </c>
      <c r="I2" s="2">
        <v>55.02</v>
      </c>
    </row>
    <row r="3" spans="1:10" x14ac:dyDescent="0.2">
      <c r="H3" s="2" t="s">
        <v>5</v>
      </c>
      <c r="I3" s="3">
        <v>52.351551999999998</v>
      </c>
      <c r="J3" s="15" t="s">
        <v>47</v>
      </c>
    </row>
    <row r="4" spans="1:10" x14ac:dyDescent="0.2">
      <c r="B4" s="2" t="s">
        <v>0</v>
      </c>
      <c r="H4" s="2" t="s">
        <v>6</v>
      </c>
      <c r="I4" s="3">
        <f>+I2*I3</f>
        <v>2880.3823910400001</v>
      </c>
    </row>
    <row r="5" spans="1:10" x14ac:dyDescent="0.2">
      <c r="B5" s="2" t="s">
        <v>1</v>
      </c>
      <c r="H5" s="2" t="s">
        <v>7</v>
      </c>
      <c r="I5" s="3">
        <f>442.028+348.766</f>
        <v>790.7940000000001</v>
      </c>
      <c r="J5" s="15" t="s">
        <v>47</v>
      </c>
    </row>
    <row r="6" spans="1:10" x14ac:dyDescent="0.2">
      <c r="H6" s="2" t="s">
        <v>8</v>
      </c>
      <c r="I6" s="3">
        <v>0</v>
      </c>
      <c r="J6" s="15" t="s">
        <v>47</v>
      </c>
    </row>
    <row r="7" spans="1:10" x14ac:dyDescent="0.2">
      <c r="B7" s="14" t="s">
        <v>39</v>
      </c>
      <c r="H7" s="2" t="s">
        <v>9</v>
      </c>
      <c r="I7" s="3">
        <f>+I4-I5+I6</f>
        <v>2089.5883910399998</v>
      </c>
    </row>
    <row r="8" spans="1:10" x14ac:dyDescent="0.2">
      <c r="B8" s="2" t="s">
        <v>40</v>
      </c>
    </row>
    <row r="9" spans="1:10" x14ac:dyDescent="0.2">
      <c r="B9" s="2" t="s">
        <v>41</v>
      </c>
      <c r="H9" s="16" t="s">
        <v>48</v>
      </c>
      <c r="I9" s="16" t="s">
        <v>49</v>
      </c>
    </row>
    <row r="10" spans="1:10" x14ac:dyDescent="0.2">
      <c r="B10" s="2" t="s">
        <v>42</v>
      </c>
    </row>
    <row r="11" spans="1:10" x14ac:dyDescent="0.2">
      <c r="B11" s="2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07C55-4E26-4518-8F85-A8F7E5C1C71D}">
  <dimension ref="A1:AX348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R17" sqref="R17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50" x14ac:dyDescent="0.2">
      <c r="A1" s="5" t="s">
        <v>11</v>
      </c>
    </row>
    <row r="2" spans="1:50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9" t="s">
        <v>44</v>
      </c>
      <c r="L2" s="9" t="s">
        <v>45</v>
      </c>
      <c r="M2" s="9" t="s">
        <v>46</v>
      </c>
      <c r="N2" s="9" t="s">
        <v>47</v>
      </c>
      <c r="P2" s="15" t="s">
        <v>53</v>
      </c>
      <c r="Q2" s="15" t="s">
        <v>50</v>
      </c>
      <c r="R2" s="15" t="s">
        <v>51</v>
      </c>
    </row>
    <row r="3" spans="1:50" x14ac:dyDescent="0.2"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</row>
    <row r="4" spans="1:50" x14ac:dyDescent="0.2">
      <c r="B4" s="16" t="s">
        <v>40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>
        <v>2971.1979999999999</v>
      </c>
      <c r="R4" s="12">
        <v>2972.6149999999998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</row>
    <row r="5" spans="1:50" x14ac:dyDescent="0.2">
      <c r="B5" s="16" t="s">
        <v>52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>
        <v>221.14099999999999</v>
      </c>
      <c r="R5" s="12">
        <v>221.7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</row>
    <row r="6" spans="1:50" x14ac:dyDescent="0.2">
      <c r="B6" s="16" t="s">
        <v>42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>
        <v>102.81</v>
      </c>
      <c r="R6" s="12">
        <v>102.79600000000001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</row>
    <row r="7" spans="1:50" x14ac:dyDescent="0.2">
      <c r="B7" s="16" t="s">
        <v>43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>
        <v>100.593</v>
      </c>
      <c r="R7" s="12">
        <v>100.24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</row>
    <row r="8" spans="1:50" s="12" customFormat="1" x14ac:dyDescent="0.2">
      <c r="A8" s="2"/>
      <c r="B8" s="2" t="s">
        <v>35</v>
      </c>
      <c r="D8" s="12">
        <v>823.36500000000001</v>
      </c>
      <c r="E8" s="12">
        <v>1853.232</v>
      </c>
      <c r="G8" s="12">
        <v>619.05399999999997</v>
      </c>
      <c r="H8" s="12">
        <v>463.94</v>
      </c>
      <c r="I8" s="12">
        <v>1818.35</v>
      </c>
      <c r="J8" s="12">
        <v>868.82299999999998</v>
      </c>
      <c r="K8" s="12">
        <v>628.82000000000005</v>
      </c>
      <c r="L8" s="12">
        <v>494.30200000000002</v>
      </c>
      <c r="M8" s="12">
        <v>734.31500000000005</v>
      </c>
      <c r="Q8" s="12">
        <v>2712.7539999999999</v>
      </c>
      <c r="R8" s="12">
        <v>2712.39</v>
      </c>
    </row>
    <row r="9" spans="1:50" s="12" customFormat="1" x14ac:dyDescent="0.2">
      <c r="A9" s="2"/>
      <c r="B9" s="2" t="s">
        <v>36</v>
      </c>
      <c r="D9" s="12">
        <v>236.66900000000001</v>
      </c>
      <c r="E9" s="12">
        <v>573.97699999999998</v>
      </c>
      <c r="G9" s="12">
        <v>150.928</v>
      </c>
      <c r="H9" s="12">
        <v>106.304</v>
      </c>
      <c r="I9" s="12">
        <v>453.64400000000001</v>
      </c>
      <c r="J9" s="12">
        <v>227.76400000000001</v>
      </c>
      <c r="K9" s="12">
        <v>149.63200000000001</v>
      </c>
      <c r="L9" s="12">
        <v>110.944</v>
      </c>
      <c r="M9" s="12">
        <v>209.11</v>
      </c>
      <c r="Q9" s="12">
        <v>682.98800000000006</v>
      </c>
      <c r="R9" s="12">
        <v>684.96100000000001</v>
      </c>
    </row>
    <row r="10" spans="1:50" s="12" customFormat="1" x14ac:dyDescent="0.2">
      <c r="A10" s="2"/>
      <c r="B10" s="2" t="s">
        <v>37</v>
      </c>
      <c r="D10" s="12">
        <v>456.4</v>
      </c>
      <c r="E10" s="12">
        <v>1445.13</v>
      </c>
      <c r="G10" s="12">
        <v>390.89699999999999</v>
      </c>
      <c r="H10" s="12">
        <v>278.38400000000001</v>
      </c>
      <c r="I10" s="12">
        <v>1274.498</v>
      </c>
      <c r="J10" s="12">
        <v>459.85899999999998</v>
      </c>
      <c r="K10" s="12">
        <v>399.76900000000001</v>
      </c>
      <c r="L10" s="12">
        <v>317.21800000000002</v>
      </c>
      <c r="M10" s="12">
        <v>605.21699999999998</v>
      </c>
      <c r="Q10" s="12">
        <v>1777.0930000000001</v>
      </c>
      <c r="R10" s="12">
        <v>1780.5540000000001</v>
      </c>
    </row>
    <row r="11" spans="1:50" s="12" customFormat="1" x14ac:dyDescent="0.2">
      <c r="A11" s="2"/>
      <c r="B11" s="2" t="s">
        <v>38</v>
      </c>
      <c r="D11" s="12">
        <v>636.66099999999994</v>
      </c>
      <c r="E11" s="12">
        <v>982.07899999999995</v>
      </c>
      <c r="G11" s="12">
        <v>379.08499999999998</v>
      </c>
      <c r="H11" s="12">
        <v>291.86</v>
      </c>
      <c r="I11" s="12">
        <v>997.49599999999998</v>
      </c>
      <c r="J11" s="12">
        <v>636.72799999999995</v>
      </c>
      <c r="K11" s="12">
        <v>378.68299999999999</v>
      </c>
      <c r="L11" s="12">
        <v>288.02800000000002</v>
      </c>
      <c r="M11" s="12">
        <v>326.55099999999999</v>
      </c>
      <c r="Q11" s="12">
        <v>1618.6489999999999</v>
      </c>
      <c r="R11" s="12">
        <v>1616.797</v>
      </c>
    </row>
    <row r="12" spans="1:50" s="12" customFormat="1" x14ac:dyDescent="0.2">
      <c r="A12" s="2"/>
      <c r="B12" s="1" t="s">
        <v>19</v>
      </c>
      <c r="C12" s="13"/>
      <c r="D12" s="13">
        <v>1059.9939999999999</v>
      </c>
      <c r="E12" s="13">
        <v>985.68299999999999</v>
      </c>
      <c r="F12" s="13"/>
      <c r="G12" s="13">
        <v>769.98199999999997</v>
      </c>
      <c r="H12" s="13">
        <v>570.24400000000003</v>
      </c>
      <c r="I12" s="13">
        <v>931.76800000000003</v>
      </c>
      <c r="J12" s="13">
        <v>1096.587</v>
      </c>
      <c r="K12" s="13">
        <v>778.452</v>
      </c>
      <c r="L12" s="13">
        <v>605.24599999999998</v>
      </c>
      <c r="M12" s="13">
        <v>943.42499999999995</v>
      </c>
      <c r="P12" s="13">
        <v>3487.203</v>
      </c>
      <c r="Q12" s="13">
        <v>3368.5819999999999</v>
      </c>
      <c r="R12" s="13">
        <v>3397.3510000000001</v>
      </c>
    </row>
    <row r="13" spans="1:50" s="12" customFormat="1" x14ac:dyDescent="0.2">
      <c r="A13" s="2"/>
      <c r="B13" s="2" t="s">
        <v>20</v>
      </c>
      <c r="D13" s="12">
        <v>523.80399999999997</v>
      </c>
      <c r="E13" s="12">
        <v>505.48599999999999</v>
      </c>
      <c r="G13" s="12">
        <v>380.423</v>
      </c>
      <c r="H13" s="12">
        <v>296.82499999999999</v>
      </c>
      <c r="I13" s="12">
        <v>464.209</v>
      </c>
      <c r="J13" s="12">
        <v>536.03899999999999</v>
      </c>
      <c r="K13" s="12">
        <v>382.39499999999998</v>
      </c>
      <c r="L13" s="12">
        <v>308.13799999999998</v>
      </c>
      <c r="M13" s="12">
        <v>471.60700000000003</v>
      </c>
      <c r="P13" s="12">
        <v>1757.271</v>
      </c>
      <c r="Q13" s="12">
        <v>1677.4970000000001</v>
      </c>
      <c r="R13" s="12">
        <v>1680.6289999999999</v>
      </c>
    </row>
    <row r="14" spans="1:50" s="12" customFormat="1" x14ac:dyDescent="0.2">
      <c r="A14" s="2"/>
      <c r="B14" s="2" t="s">
        <v>21</v>
      </c>
      <c r="C14" s="12">
        <f t="shared" ref="C14:H14" si="0">+C12-C13</f>
        <v>0</v>
      </c>
      <c r="D14" s="12">
        <f t="shared" si="0"/>
        <v>536.18999999999994</v>
      </c>
      <c r="E14" s="12">
        <f t="shared" si="0"/>
        <v>480.197</v>
      </c>
      <c r="F14" s="12">
        <f t="shared" si="0"/>
        <v>0</v>
      </c>
      <c r="G14" s="12">
        <f t="shared" si="0"/>
        <v>389.55899999999997</v>
      </c>
      <c r="H14" s="12">
        <f t="shared" si="0"/>
        <v>273.41900000000004</v>
      </c>
      <c r="I14" s="12">
        <f>+I12-I13</f>
        <v>467.55900000000003</v>
      </c>
      <c r="J14" s="12">
        <f t="shared" ref="J14:R14" si="1">+J12-J13</f>
        <v>560.548</v>
      </c>
      <c r="K14" s="12">
        <f t="shared" si="1"/>
        <v>396.05700000000002</v>
      </c>
      <c r="L14" s="12">
        <f t="shared" si="1"/>
        <v>297.108</v>
      </c>
      <c r="M14" s="12">
        <f t="shared" si="1"/>
        <v>471.81799999999993</v>
      </c>
      <c r="N14" s="12">
        <f t="shared" si="1"/>
        <v>0</v>
      </c>
      <c r="P14" s="12">
        <f t="shared" si="1"/>
        <v>1729.932</v>
      </c>
      <c r="Q14" s="12">
        <f t="shared" si="1"/>
        <v>1691.0849999999998</v>
      </c>
      <c r="R14" s="12">
        <f t="shared" si="1"/>
        <v>1716.7220000000002</v>
      </c>
    </row>
    <row r="15" spans="1:50" s="12" customFormat="1" x14ac:dyDescent="0.2">
      <c r="A15" s="2"/>
      <c r="B15" s="2" t="s">
        <v>22</v>
      </c>
      <c r="D15" s="12">
        <f>404.823+25</f>
        <v>429.82299999999998</v>
      </c>
      <c r="E15" s="12">
        <v>351.56299999999999</v>
      </c>
      <c r="G15" s="12">
        <v>349.27</v>
      </c>
      <c r="H15" s="12">
        <v>302.74900000000002</v>
      </c>
      <c r="I15" s="12">
        <v>361.24299999999999</v>
      </c>
      <c r="J15" s="12">
        <v>430.64499999999998</v>
      </c>
      <c r="K15" s="12">
        <v>354.471</v>
      </c>
      <c r="L15" s="12">
        <v>325.62799999999999</v>
      </c>
      <c r="M15" s="12">
        <f>380.892+29</f>
        <v>409.892</v>
      </c>
      <c r="P15" s="12">
        <f>1416.313+25</f>
        <v>1441.3130000000001</v>
      </c>
      <c r="Q15" s="12">
        <v>1443.9059999999999</v>
      </c>
      <c r="R15" s="12">
        <f>1502.506+29</f>
        <v>1531.5060000000001</v>
      </c>
    </row>
    <row r="16" spans="1:50" s="12" customFormat="1" x14ac:dyDescent="0.2">
      <c r="A16" s="2"/>
      <c r="B16" s="2" t="s">
        <v>23</v>
      </c>
      <c r="D16" s="12">
        <v>6.7069999999999999</v>
      </c>
      <c r="E16" s="12">
        <v>5.92</v>
      </c>
      <c r="G16" s="12">
        <v>4.3920000000000003</v>
      </c>
      <c r="H16" s="12">
        <v>5.5279999999999996</v>
      </c>
      <c r="I16" s="12">
        <v>6.2249999999999996</v>
      </c>
      <c r="J16" s="12">
        <v>7.4180000000000001</v>
      </c>
      <c r="K16" s="12">
        <v>4.9219999999999997</v>
      </c>
      <c r="L16" s="12">
        <v>4.9290000000000003</v>
      </c>
      <c r="M16" s="12">
        <v>5.46</v>
      </c>
      <c r="P16" s="12">
        <v>21.664999999999999</v>
      </c>
      <c r="Q16" s="12">
        <v>23.562000000000001</v>
      </c>
      <c r="R16" s="12">
        <v>21.823</v>
      </c>
    </row>
    <row r="17" spans="1:50" s="12" customFormat="1" x14ac:dyDescent="0.2">
      <c r="A17" s="2"/>
      <c r="B17" s="2" t="s">
        <v>24</v>
      </c>
      <c r="C17" s="12">
        <f t="shared" ref="C17:H17" si="2">+C14-C15+C16</f>
        <v>0</v>
      </c>
      <c r="D17" s="12">
        <f t="shared" si="2"/>
        <v>113.07399999999996</v>
      </c>
      <c r="E17" s="12">
        <f t="shared" si="2"/>
        <v>134.554</v>
      </c>
      <c r="F17" s="12">
        <f t="shared" si="2"/>
        <v>0</v>
      </c>
      <c r="G17" s="12">
        <f t="shared" si="2"/>
        <v>44.68099999999999</v>
      </c>
      <c r="H17" s="12">
        <f t="shared" si="2"/>
        <v>-23.801999999999985</v>
      </c>
      <c r="I17" s="12">
        <f>+I14-I15+I16</f>
        <v>112.54100000000003</v>
      </c>
      <c r="J17" s="12">
        <f t="shared" ref="J17:R17" si="3">+J14-J15+J16</f>
        <v>137.32100000000003</v>
      </c>
      <c r="K17" s="12">
        <f t="shared" si="3"/>
        <v>46.50800000000001</v>
      </c>
      <c r="L17" s="12">
        <f t="shared" si="3"/>
        <v>-23.59099999999998</v>
      </c>
      <c r="M17" s="12">
        <f t="shared" si="3"/>
        <v>67.385999999999925</v>
      </c>
      <c r="N17" s="12">
        <f t="shared" si="3"/>
        <v>0</v>
      </c>
      <c r="P17" s="12">
        <f t="shared" si="3"/>
        <v>310.28399999999993</v>
      </c>
      <c r="Q17" s="12">
        <f t="shared" si="3"/>
        <v>270.74099999999987</v>
      </c>
      <c r="R17" s="12">
        <f t="shared" si="3"/>
        <v>207.03900000000013</v>
      </c>
    </row>
    <row r="18" spans="1:50" s="12" customFormat="1" x14ac:dyDescent="0.2">
      <c r="A18" s="2"/>
      <c r="B18" s="2" t="s">
        <v>25</v>
      </c>
      <c r="D18" s="12">
        <v>5.0279999999999996</v>
      </c>
      <c r="E18" s="12">
        <v>1.87</v>
      </c>
      <c r="G18" s="12">
        <v>9.1969999999999992</v>
      </c>
      <c r="H18" s="12">
        <v>8.3439999999999994</v>
      </c>
      <c r="I18" s="12">
        <v>5.3639999999999999</v>
      </c>
      <c r="J18" s="12">
        <v>4.7969999999999997</v>
      </c>
      <c r="K18" s="12">
        <v>6.8170000000000002</v>
      </c>
      <c r="L18" s="12">
        <v>4.8380000000000001</v>
      </c>
      <c r="M18" s="12">
        <v>2.87</v>
      </c>
      <c r="P18" s="12">
        <v>13.686999999999999</v>
      </c>
      <c r="Q18" s="12">
        <v>27.702999999999999</v>
      </c>
      <c r="R18" s="12">
        <v>17.867000000000001</v>
      </c>
    </row>
    <row r="19" spans="1:50" s="12" customFormat="1" x14ac:dyDescent="0.2">
      <c r="A19" s="2"/>
      <c r="B19" s="2" t="s">
        <v>26</v>
      </c>
      <c r="D19" s="12">
        <v>1.867</v>
      </c>
      <c r="E19" s="12">
        <v>-0.311</v>
      </c>
      <c r="G19" s="12">
        <v>0.27100000000000002</v>
      </c>
      <c r="H19" s="12">
        <v>0.47599999999999998</v>
      </c>
      <c r="I19" s="12">
        <v>1.2829999999999999</v>
      </c>
      <c r="J19" s="12">
        <v>-2.2869999999999999</v>
      </c>
      <c r="K19" s="12">
        <v>1.5509999999999999</v>
      </c>
      <c r="L19" s="12">
        <v>2.1640000000000001</v>
      </c>
      <c r="M19" s="12">
        <v>0.73199999999999998</v>
      </c>
      <c r="P19" s="12">
        <v>2.2210000000000001</v>
      </c>
      <c r="Q19" s="12">
        <v>-0.25700000000000001</v>
      </c>
      <c r="R19" s="12">
        <v>4.718</v>
      </c>
    </row>
    <row r="20" spans="1:50" s="12" customFormat="1" x14ac:dyDescent="0.2">
      <c r="A20" s="2"/>
      <c r="B20" s="2" t="s">
        <v>27</v>
      </c>
      <c r="C20" s="12">
        <f t="shared" ref="C20:H20" si="4">+C17+SUM(C18:C19)</f>
        <v>0</v>
      </c>
      <c r="D20" s="12">
        <f t="shared" si="4"/>
        <v>119.96899999999995</v>
      </c>
      <c r="E20" s="12">
        <f t="shared" si="4"/>
        <v>136.113</v>
      </c>
      <c r="F20" s="12">
        <f t="shared" si="4"/>
        <v>0</v>
      </c>
      <c r="G20" s="12">
        <f t="shared" si="4"/>
        <v>54.148999999999987</v>
      </c>
      <c r="H20" s="12">
        <f t="shared" si="4"/>
        <v>-14.981999999999985</v>
      </c>
      <c r="I20" s="12">
        <f>+I17+SUM(I18:I19)</f>
        <v>119.18800000000003</v>
      </c>
      <c r="J20" s="12">
        <f t="shared" ref="J20:R20" si="5">+J17+SUM(J18:J19)</f>
        <v>139.83100000000002</v>
      </c>
      <c r="K20" s="12">
        <f t="shared" si="5"/>
        <v>54.876000000000012</v>
      </c>
      <c r="L20" s="12">
        <f t="shared" si="5"/>
        <v>-16.588999999999977</v>
      </c>
      <c r="M20" s="12">
        <f t="shared" si="5"/>
        <v>70.987999999999928</v>
      </c>
      <c r="N20" s="12">
        <f t="shared" si="5"/>
        <v>0</v>
      </c>
      <c r="P20" s="12">
        <f t="shared" si="5"/>
        <v>326.19199999999995</v>
      </c>
      <c r="Q20" s="12">
        <f t="shared" si="5"/>
        <v>298.1869999999999</v>
      </c>
      <c r="R20" s="12">
        <f t="shared" si="5"/>
        <v>229.62400000000014</v>
      </c>
    </row>
    <row r="21" spans="1:50" s="12" customFormat="1" x14ac:dyDescent="0.2">
      <c r="A21" s="2"/>
      <c r="B21" s="2" t="s">
        <v>28</v>
      </c>
      <c r="D21" s="12">
        <v>26.629000000000001</v>
      </c>
      <c r="E21" s="12">
        <v>32.604999999999997</v>
      </c>
      <c r="G21" s="12">
        <v>11.849</v>
      </c>
      <c r="H21" s="12">
        <v>-3.2410000000000001</v>
      </c>
      <c r="I21" s="12">
        <v>29.030999999999999</v>
      </c>
      <c r="J21" s="12">
        <v>37.274000000000001</v>
      </c>
      <c r="K21" s="12">
        <v>12.628</v>
      </c>
      <c r="L21" s="12">
        <v>-6.3929999999999998</v>
      </c>
      <c r="M21" s="12">
        <v>18.983000000000001</v>
      </c>
      <c r="P21" s="12">
        <v>74.792000000000002</v>
      </c>
      <c r="Q21" s="12">
        <v>74.914000000000001</v>
      </c>
      <c r="R21" s="12">
        <v>52.4</v>
      </c>
    </row>
    <row r="22" spans="1:50" s="12" customFormat="1" x14ac:dyDescent="0.2">
      <c r="A22" s="2"/>
      <c r="B22" s="2" t="s">
        <v>29</v>
      </c>
      <c r="C22" s="12">
        <f t="shared" ref="C22:H22" si="6">+C20-C21</f>
        <v>0</v>
      </c>
      <c r="D22" s="12">
        <f t="shared" si="6"/>
        <v>93.339999999999947</v>
      </c>
      <c r="E22" s="12">
        <f t="shared" si="6"/>
        <v>103.50800000000001</v>
      </c>
      <c r="F22" s="12">
        <f t="shared" si="6"/>
        <v>0</v>
      </c>
      <c r="G22" s="12">
        <f t="shared" si="6"/>
        <v>42.299999999999983</v>
      </c>
      <c r="H22" s="12">
        <f t="shared" si="6"/>
        <v>-11.740999999999985</v>
      </c>
      <c r="I22" s="12">
        <f>+I20-I21</f>
        <v>90.157000000000039</v>
      </c>
      <c r="J22" s="12">
        <f t="shared" ref="J22:R22" si="7">+J20-J21</f>
        <v>102.55700000000002</v>
      </c>
      <c r="K22" s="12">
        <f t="shared" si="7"/>
        <v>42.248000000000012</v>
      </c>
      <c r="L22" s="12">
        <f t="shared" si="7"/>
        <v>-10.195999999999977</v>
      </c>
      <c r="M22" s="12">
        <f t="shared" si="7"/>
        <v>52.004999999999924</v>
      </c>
      <c r="N22" s="12">
        <f t="shared" si="7"/>
        <v>0</v>
      </c>
      <c r="P22" s="12">
        <f t="shared" si="7"/>
        <v>251.39999999999995</v>
      </c>
      <c r="Q22" s="12">
        <f t="shared" si="7"/>
        <v>223.27299999999991</v>
      </c>
      <c r="R22" s="12">
        <f t="shared" si="7"/>
        <v>177.22400000000013</v>
      </c>
    </row>
    <row r="23" spans="1:50" s="12" customFormat="1" x14ac:dyDescent="0.2">
      <c r="A23" s="2"/>
      <c r="B23" s="2"/>
    </row>
    <row r="24" spans="1:50" x14ac:dyDescent="0.2">
      <c r="B24" s="2" t="s">
        <v>30</v>
      </c>
      <c r="C24" s="7" t="e">
        <f t="shared" ref="C24:I24" si="8">+C22/C25</f>
        <v>#DIV/0!</v>
      </c>
      <c r="D24" s="7">
        <f t="shared" si="8"/>
        <v>1.5501378416979432</v>
      </c>
      <c r="E24" s="7">
        <f t="shared" si="8"/>
        <v>1.7012030767207942</v>
      </c>
      <c r="F24" s="7" t="e">
        <f t="shared" si="8"/>
        <v>#DIV/0!</v>
      </c>
      <c r="G24" s="7">
        <f t="shared" si="8"/>
        <v>0.70708590341507416</v>
      </c>
      <c r="H24" s="7">
        <f t="shared" si="8"/>
        <v>-0.19868681569729046</v>
      </c>
      <c r="I24" s="7">
        <f t="shared" si="8"/>
        <v>1.5602145885610461</v>
      </c>
      <c r="J24" s="7">
        <f t="shared" ref="J24:R24" si="9">+J22/J25</f>
        <v>1.8101701496752334</v>
      </c>
      <c r="K24" s="7">
        <f t="shared" si="9"/>
        <v>0.75802921017691194</v>
      </c>
      <c r="L24" s="7">
        <f t="shared" si="9"/>
        <v>-0.1861365171513587</v>
      </c>
      <c r="M24" s="7">
        <f t="shared" si="9"/>
        <v>0.95352035203520213</v>
      </c>
      <c r="N24" s="7" t="e">
        <f t="shared" si="9"/>
        <v>#DIV/0!</v>
      </c>
      <c r="O24" s="3"/>
      <c r="P24" s="7">
        <f t="shared" si="9"/>
        <v>4.105696367912202</v>
      </c>
      <c r="Q24" s="7">
        <f t="shared" si="9"/>
        <v>3.8275590146229392</v>
      </c>
      <c r="R24" s="7">
        <f t="shared" si="9"/>
        <v>3.2412304766085107</v>
      </c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1:50" x14ac:dyDescent="0.2">
      <c r="B25" s="2" t="s">
        <v>5</v>
      </c>
      <c r="C25" s="3"/>
      <c r="D25" s="3">
        <v>60.213999999999999</v>
      </c>
      <c r="E25" s="3">
        <v>60.844000000000001</v>
      </c>
      <c r="F25" s="3"/>
      <c r="G25" s="3">
        <v>59.823</v>
      </c>
      <c r="H25" s="3">
        <v>59.093000000000004</v>
      </c>
      <c r="I25" s="3">
        <v>57.784999999999997</v>
      </c>
      <c r="J25" s="3">
        <v>56.655999999999999</v>
      </c>
      <c r="K25" s="11">
        <v>55.734000000000002</v>
      </c>
      <c r="L25" s="3">
        <v>54.777000000000001</v>
      </c>
      <c r="M25" s="3">
        <v>54.54</v>
      </c>
      <c r="N25" s="3"/>
      <c r="O25" s="3"/>
      <c r="P25" s="3">
        <v>61.231999999999999</v>
      </c>
      <c r="Q25" s="3">
        <v>58.332999999999998</v>
      </c>
      <c r="R25" s="3">
        <v>54.677999999999997</v>
      </c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1:50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1:50" x14ac:dyDescent="0.2">
      <c r="B27" s="1" t="s">
        <v>31</v>
      </c>
      <c r="C27" s="6"/>
      <c r="D27" s="6"/>
      <c r="E27" s="6"/>
      <c r="F27" s="6"/>
      <c r="G27" s="10" t="e">
        <f t="shared" ref="G27:H27" si="10">+G12/C12-1</f>
        <v>#DIV/0!</v>
      </c>
      <c r="H27" s="10">
        <f t="shared" si="10"/>
        <v>-0.46203091715613476</v>
      </c>
      <c r="I27" s="10">
        <f>+I12/E12-1</f>
        <v>-5.4698112882133443E-2</v>
      </c>
      <c r="J27" s="10" t="e">
        <f t="shared" ref="J27" si="11">+J12/F12-1</f>
        <v>#DIV/0!</v>
      </c>
      <c r="K27" s="10">
        <f t="shared" ref="K27" si="12">+K12/G12-1</f>
        <v>1.1000257148868542E-2</v>
      </c>
      <c r="L27" s="10">
        <f t="shared" ref="L27" si="13">+L12/H12-1</f>
        <v>6.1380742278743794E-2</v>
      </c>
      <c r="M27" s="10">
        <f t="shared" ref="M27" si="14">+M12/I12-1</f>
        <v>1.2510624962436934E-2</v>
      </c>
      <c r="N27" s="10">
        <f t="shared" ref="N27" si="15">+N12/J12-1</f>
        <v>-1</v>
      </c>
      <c r="O27" s="3"/>
      <c r="P27" s="3"/>
      <c r="Q27" s="10">
        <f t="shared" ref="Q27:R27" si="16">+Q12/P12-1</f>
        <v>-3.4016086818002833E-2</v>
      </c>
      <c r="R27" s="10">
        <f>+R12/Q12-1</f>
        <v>8.5403888045474385E-3</v>
      </c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1:50" x14ac:dyDescent="0.2">
      <c r="B28" s="2" t="s">
        <v>32</v>
      </c>
      <c r="C28" s="8" t="e">
        <f t="shared" ref="C28:H28" si="17">+C14/C12</f>
        <v>#DIV/0!</v>
      </c>
      <c r="D28" s="8">
        <f t="shared" si="17"/>
        <v>0.50584248590086356</v>
      </c>
      <c r="E28" s="8">
        <f t="shared" si="17"/>
        <v>0.48717183922214341</v>
      </c>
      <c r="F28" s="8" t="e">
        <f t="shared" si="17"/>
        <v>#DIV/0!</v>
      </c>
      <c r="G28" s="8">
        <f t="shared" si="17"/>
        <v>0.50593260621676872</v>
      </c>
      <c r="H28" s="8">
        <f t="shared" si="17"/>
        <v>0.47947720624855328</v>
      </c>
      <c r="I28" s="8">
        <f>+I14/I12</f>
        <v>0.50179765778605834</v>
      </c>
      <c r="J28" s="8">
        <f t="shared" ref="J28:N28" si="18">+J14/J12</f>
        <v>0.51117512791962705</v>
      </c>
      <c r="K28" s="8">
        <f t="shared" si="18"/>
        <v>0.50877510752108035</v>
      </c>
      <c r="L28" s="8">
        <f t="shared" si="18"/>
        <v>0.49088800256424664</v>
      </c>
      <c r="M28" s="8">
        <f t="shared" si="18"/>
        <v>0.50011182658928899</v>
      </c>
      <c r="N28" s="8" t="e">
        <f t="shared" si="18"/>
        <v>#DIV/0!</v>
      </c>
      <c r="O28" s="3"/>
      <c r="P28" s="8">
        <f t="shared" ref="P28:R28" si="19">+P14/P12</f>
        <v>0.49608009628346844</v>
      </c>
      <c r="Q28" s="8">
        <f t="shared" si="19"/>
        <v>0.50201687238131654</v>
      </c>
      <c r="R28" s="8">
        <f t="shared" si="19"/>
        <v>0.50531193273818342</v>
      </c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1:50" x14ac:dyDescent="0.2">
      <c r="B29" s="2" t="s">
        <v>33</v>
      </c>
      <c r="C29" s="8" t="e">
        <f t="shared" ref="C29:H29" si="20">+C17/C12</f>
        <v>#DIV/0!</v>
      </c>
      <c r="D29" s="8">
        <f t="shared" si="20"/>
        <v>0.10667418872182292</v>
      </c>
      <c r="E29" s="8">
        <f t="shared" si="20"/>
        <v>0.1365083906286301</v>
      </c>
      <c r="F29" s="8" t="e">
        <f t="shared" si="20"/>
        <v>#DIV/0!</v>
      </c>
      <c r="G29" s="8">
        <f t="shared" si="20"/>
        <v>5.8028629240683541E-2</v>
      </c>
      <c r="H29" s="8">
        <f t="shared" si="20"/>
        <v>-4.174002707612879E-2</v>
      </c>
      <c r="I29" s="8">
        <f>+I17/I12</f>
        <v>0.12078221188106913</v>
      </c>
      <c r="J29" s="8">
        <f t="shared" ref="J29:N29" si="21">+J17/J12</f>
        <v>0.12522581427647786</v>
      </c>
      <c r="K29" s="8">
        <f t="shared" si="21"/>
        <v>5.9744210304553153E-2</v>
      </c>
      <c r="L29" s="8">
        <f t="shared" si="21"/>
        <v>-3.8977539711125692E-2</v>
      </c>
      <c r="M29" s="8">
        <f t="shared" si="21"/>
        <v>7.1426981477064874E-2</v>
      </c>
      <c r="N29" s="8" t="e">
        <f t="shared" si="21"/>
        <v>#DIV/0!</v>
      </c>
      <c r="O29" s="3"/>
      <c r="P29" s="8">
        <f t="shared" ref="P29:R29" si="22">+P17/P12</f>
        <v>8.8977900053423889E-2</v>
      </c>
      <c r="Q29" s="8">
        <f t="shared" si="22"/>
        <v>8.0372394081545256E-2</v>
      </c>
      <c r="R29" s="8">
        <f t="shared" si="22"/>
        <v>6.094130397477332E-2</v>
      </c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1:50" x14ac:dyDescent="0.2">
      <c r="B30" s="2" t="s">
        <v>34</v>
      </c>
      <c r="C30" s="8" t="e">
        <f t="shared" ref="C30:H30" si="23">+C21/C20</f>
        <v>#DIV/0!</v>
      </c>
      <c r="D30" s="8">
        <f t="shared" si="23"/>
        <v>0.22196567446590379</v>
      </c>
      <c r="E30" s="8">
        <f t="shared" si="23"/>
        <v>0.23954361449677838</v>
      </c>
      <c r="F30" s="8" t="e">
        <f t="shared" si="23"/>
        <v>#DIV/0!</v>
      </c>
      <c r="G30" s="8">
        <f t="shared" si="23"/>
        <v>0.21882213891299937</v>
      </c>
      <c r="H30" s="8">
        <f t="shared" si="23"/>
        <v>0.21632625817647866</v>
      </c>
      <c r="I30" s="8">
        <f>+I21/I20</f>
        <v>0.24357317850790342</v>
      </c>
      <c r="J30" s="8">
        <f t="shared" ref="J30:N30" si="24">+J21/J20</f>
        <v>0.26656463874248199</v>
      </c>
      <c r="K30" s="8">
        <f t="shared" si="24"/>
        <v>0.23011881332458628</v>
      </c>
      <c r="L30" s="8">
        <f t="shared" si="24"/>
        <v>0.38537585146784065</v>
      </c>
      <c r="M30" s="8">
        <f t="shared" si="24"/>
        <v>0.2674113934749538</v>
      </c>
      <c r="N30" s="8" t="e">
        <f t="shared" si="24"/>
        <v>#DIV/0!</v>
      </c>
      <c r="O30" s="3"/>
      <c r="P30" s="8">
        <f t="shared" ref="P30:R30" si="25">+P21/P20</f>
        <v>0.22928827193799975</v>
      </c>
      <c r="Q30" s="8">
        <f t="shared" si="25"/>
        <v>0.25123160969458774</v>
      </c>
      <c r="R30" s="8">
        <f t="shared" si="25"/>
        <v>0.22819914294673016</v>
      </c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1:50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1:50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3:5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 spans="3:5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3:5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 spans="3:5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3:5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 spans="3:5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 spans="3:5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 spans="3:5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3:5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3:5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3:5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 spans="3:5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 spans="3:5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 spans="3:5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3:5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 spans="3:5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 spans="3:5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 spans="3:5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3:5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 spans="3:5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 spans="3:5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 spans="3:5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 spans="3:5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3:5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 spans="3:5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 spans="3:5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 spans="3:5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3:5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 spans="3:5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 spans="3:5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 spans="3:5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3:5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 spans="3:5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 spans="3:5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 spans="3:5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3:5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3:5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 spans="3:5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 spans="3:5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 spans="3:5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 spans="3:5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3:5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 spans="3:5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 spans="3:5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 spans="3:5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3:5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 spans="3:5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 spans="3:5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 spans="3:5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 spans="3:5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3:5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 spans="3:5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 spans="3:5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 spans="3:5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3:5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 spans="3:5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3:5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 spans="3:5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3:5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 spans="3:5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 spans="3:5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 spans="3:5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 spans="3:5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 spans="3:5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 spans="3:5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 spans="3:5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 spans="3:5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 spans="3:5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 spans="3:5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 spans="3:5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 spans="3:5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 spans="3:5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 spans="3:5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 spans="3:5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 spans="3:5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 spans="3:5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 spans="3:5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3:5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 spans="3:5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 spans="3:5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 spans="3:5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 spans="3:5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 spans="3:5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 spans="3:5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 spans="3:5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 spans="3:5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 spans="3:5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 spans="3:5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 spans="3:5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 spans="3:5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 spans="3:5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 spans="3:5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 spans="3:5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 spans="3:5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 spans="3:5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3:5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 spans="3:5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 spans="3:5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 spans="3:5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 spans="3:5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 spans="3:5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 spans="3:5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 spans="3:5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 spans="3:5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 spans="3:5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 spans="3:5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 spans="3:5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 spans="3:5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 spans="3:5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 spans="3:5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 spans="3:5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 spans="3:5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 spans="3:5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3:5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 spans="3:5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 spans="3:5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 spans="3:5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 spans="3:5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 spans="3:5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 spans="3:5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 spans="3:5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 spans="3:5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 spans="3:5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 spans="3:5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 spans="3:5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 spans="3:5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 spans="3:5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 spans="3:5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3:5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 spans="3:5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 spans="3:5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 spans="3:5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 spans="3:5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 spans="3:5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 spans="3:5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 spans="3:5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 spans="3:5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 spans="3:5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 spans="3:5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 spans="3:5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3:5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 spans="3:5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 spans="3:5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 spans="3:5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 spans="3:5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 spans="3:5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 spans="3:5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 spans="3:5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 spans="3:5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 spans="3:5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 spans="3:5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 spans="3:5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 spans="3:5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 spans="3:5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 spans="3:5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 spans="3:5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 spans="3:5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 spans="3:5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 spans="3:5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 spans="3:5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 spans="3:5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3:5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 spans="3:5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 spans="3:5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3:5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 spans="3:5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 spans="3:5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 spans="3:5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3:5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 spans="3:5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 spans="3:5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 spans="3:5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 spans="3:5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 spans="3:5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 spans="3:5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 spans="3:5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 spans="3:5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 spans="3:5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 spans="3:5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 spans="3:5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3:5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 spans="3:5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 spans="3:5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 spans="3:5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3:5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 spans="3:5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 spans="3:5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 spans="3:5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3:5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 spans="3:5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 spans="3:5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3:5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 spans="3:5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 spans="3:5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 spans="3:5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 spans="3:5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 spans="3:5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 spans="3:5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 spans="3:5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 spans="3:5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 spans="3:5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 spans="3:5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 spans="3:5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 spans="3:5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 spans="3:5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 spans="3:5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3:5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 spans="3:5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 spans="3:5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 spans="3:5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 spans="3:5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 spans="3:5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3:5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 spans="3:5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 spans="3:5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 spans="3:5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3:5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 spans="3:5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 spans="3:5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 spans="3:5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 spans="3:5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3:5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 spans="3:5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3:5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 spans="3:5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 spans="3:5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 spans="3:5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 spans="3:5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 spans="3:5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 spans="3:5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 spans="3:5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 spans="3:5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 spans="3:5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 spans="3:5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 spans="3:5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 spans="3:5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 spans="3:5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 spans="3:5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 spans="3:5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 spans="3:5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 spans="3:5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 spans="3:5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 spans="3:5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 spans="3:5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 spans="3:5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 spans="3:5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 spans="3:5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 spans="3:5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 spans="3:5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 spans="3:5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 spans="3:5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 spans="3:5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 spans="3:5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 spans="3:5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 spans="3:5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 spans="3:5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 spans="3:5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 spans="3:5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 spans="3:5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 spans="3:5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 spans="3:5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 spans="3:5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 spans="3:5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 spans="3:5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 spans="3:5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 spans="3:5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 spans="3:5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 spans="3:5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 spans="3:5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 spans="3:5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 spans="3:5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 spans="3:5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 spans="3:5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 spans="3:5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 spans="3:5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 spans="3:5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 spans="3:5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 spans="3:5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 spans="3:5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 spans="3:5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 spans="3:5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 spans="3:5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 spans="3:5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 spans="3:5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 spans="3:5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 spans="3:5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 spans="3:5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 spans="3:5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 spans="3:5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 spans="3:5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 spans="3:5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 spans="3:5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 spans="3:5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 spans="3:5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 spans="3:5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 spans="3:5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 spans="3:5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 spans="3:5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 spans="3:5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 spans="3:5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 spans="3:5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 spans="3:5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 spans="3:5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 spans="3:5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 spans="3:5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 spans="3:5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 spans="3:5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 spans="3:5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 spans="3:5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 spans="3:5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 spans="3:5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 spans="3:5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 spans="3:5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 spans="3:5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 spans="3:5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 spans="3:5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</sheetData>
  <hyperlinks>
    <hyperlink ref="A1" location="Main!A1" display="Main" xr:uid="{58E36728-A6A6-45EA-A9B9-57D79EA830A5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2025-02-01T13:04:24Z</dcterms:created>
  <dcterms:modified xsi:type="dcterms:W3CDTF">2026-03-17T10:34:12Z</dcterms:modified>
</cp:coreProperties>
</file>