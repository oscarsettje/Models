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89DD108-AD8D-495F-8C82-82CC5F410679}" xr6:coauthVersionLast="47" xr6:coauthVersionMax="47" xr10:uidLastSave="{00000000-0000-0000-0000-000000000000}"/>
  <bookViews>
    <workbookView xWindow="19095" yWindow="0" windowWidth="19410" windowHeight="20985" xr2:uid="{ECC62F7A-C70F-47CF-9717-8932D568375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2" l="1"/>
  <c r="P28" i="2"/>
  <c r="P27" i="2"/>
  <c r="P26" i="2"/>
  <c r="P23" i="2"/>
  <c r="P21" i="2"/>
  <c r="P19" i="2"/>
  <c r="P16" i="2"/>
  <c r="P13" i="2"/>
  <c r="I5" i="1"/>
  <c r="O29" i="2"/>
  <c r="O28" i="2"/>
  <c r="O27" i="2"/>
  <c r="O26" i="2"/>
  <c r="O23" i="2"/>
  <c r="O21" i="2"/>
  <c r="O19" i="2"/>
  <c r="O16" i="2"/>
  <c r="O13" i="2"/>
  <c r="U26" i="2"/>
  <c r="V26" i="2"/>
  <c r="T14" i="2"/>
  <c r="V14" i="2"/>
  <c r="V13" i="2"/>
  <c r="U13" i="2"/>
  <c r="T13" i="2"/>
  <c r="M14" i="2"/>
  <c r="N26" i="2"/>
  <c r="M26" i="2"/>
  <c r="L26" i="2"/>
  <c r="K26" i="2"/>
  <c r="N13" i="2"/>
  <c r="N16" i="2" s="1"/>
  <c r="M13" i="2"/>
  <c r="L13" i="2"/>
  <c r="L16" i="2" s="1"/>
  <c r="K13" i="2"/>
  <c r="K16" i="2" s="1"/>
  <c r="D14" i="2"/>
  <c r="J26" i="2"/>
  <c r="H26" i="2"/>
  <c r="G26" i="2"/>
  <c r="I26" i="2"/>
  <c r="J13" i="2"/>
  <c r="J27" i="2" s="1"/>
  <c r="H13" i="2"/>
  <c r="H16" i="2" s="1"/>
  <c r="G13" i="2"/>
  <c r="G16" i="2" s="1"/>
  <c r="F13" i="2"/>
  <c r="F16" i="2" s="1"/>
  <c r="E13" i="2"/>
  <c r="E16" i="2" s="1"/>
  <c r="E19" i="2" s="1"/>
  <c r="E21" i="2" s="1"/>
  <c r="E23" i="2" s="1"/>
  <c r="D13" i="2"/>
  <c r="C13" i="2"/>
  <c r="C16" i="2" s="1"/>
  <c r="I13" i="2"/>
  <c r="I27" i="2" s="1"/>
  <c r="I4" i="1"/>
  <c r="I7" i="1" l="1"/>
  <c r="V27" i="2"/>
  <c r="V16" i="2"/>
  <c r="U16" i="2"/>
  <c r="U27" i="2"/>
  <c r="T16" i="2"/>
  <c r="T27" i="2"/>
  <c r="M16" i="2"/>
  <c r="L28" i="2"/>
  <c r="L19" i="2"/>
  <c r="N19" i="2"/>
  <c r="N28" i="2"/>
  <c r="L27" i="2"/>
  <c r="N27" i="2"/>
  <c r="M27" i="2"/>
  <c r="M28" i="2"/>
  <c r="M19" i="2"/>
  <c r="K19" i="2"/>
  <c r="K28" i="2"/>
  <c r="K27" i="2"/>
  <c r="D16" i="2"/>
  <c r="D19" i="2" s="1"/>
  <c r="F27" i="2"/>
  <c r="E28" i="2"/>
  <c r="E27" i="2"/>
  <c r="G27" i="2"/>
  <c r="H27" i="2"/>
  <c r="J16" i="2"/>
  <c r="J28" i="2" s="1"/>
  <c r="C27" i="2"/>
  <c r="D27" i="2"/>
  <c r="C28" i="2"/>
  <c r="C19" i="2"/>
  <c r="F28" i="2"/>
  <c r="F19" i="2"/>
  <c r="G28" i="2"/>
  <c r="G19" i="2"/>
  <c r="H28" i="2"/>
  <c r="H19" i="2"/>
  <c r="I16" i="2"/>
  <c r="E29" i="2"/>
  <c r="V19" i="2" l="1"/>
  <c r="V28" i="2"/>
  <c r="U19" i="2"/>
  <c r="U28" i="2"/>
  <c r="T19" i="2"/>
  <c r="T28" i="2"/>
  <c r="L29" i="2"/>
  <c r="L21" i="2"/>
  <c r="L23" i="2" s="1"/>
  <c r="N21" i="2"/>
  <c r="N23" i="2" s="1"/>
  <c r="N29" i="2"/>
  <c r="M29" i="2"/>
  <c r="M21" i="2"/>
  <c r="M23" i="2" s="1"/>
  <c r="K29" i="2"/>
  <c r="K21" i="2"/>
  <c r="K23" i="2" s="1"/>
  <c r="D28" i="2"/>
  <c r="J19" i="2"/>
  <c r="J29" i="2" s="1"/>
  <c r="C29" i="2"/>
  <c r="C21" i="2"/>
  <c r="C23" i="2" s="1"/>
  <c r="I19" i="2"/>
  <c r="I28" i="2"/>
  <c r="D29" i="2"/>
  <c r="D21" i="2"/>
  <c r="D23" i="2" s="1"/>
  <c r="H29" i="2"/>
  <c r="H21" i="2"/>
  <c r="H23" i="2" s="1"/>
  <c r="G29" i="2"/>
  <c r="G21" i="2"/>
  <c r="G23" i="2" s="1"/>
  <c r="F29" i="2"/>
  <c r="F21" i="2"/>
  <c r="F23" i="2" s="1"/>
  <c r="V21" i="2" l="1"/>
  <c r="V23" i="2" s="1"/>
  <c r="V29" i="2"/>
  <c r="U29" i="2"/>
  <c r="U21" i="2"/>
  <c r="U23" i="2" s="1"/>
  <c r="T29" i="2"/>
  <c r="T21" i="2"/>
  <c r="T23" i="2" s="1"/>
  <c r="J21" i="2"/>
  <c r="J23" i="2" s="1"/>
  <c r="I21" i="2"/>
  <c r="I23" i="2" s="1"/>
  <c r="I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  <author>tc={02328662-4D88-4BC8-91D8-F530CF00DD0F}</author>
  </authors>
  <commentList>
    <comment ref="D14" authorId="0" shapeId="0" xr:uid="{4511427A-6919-43BC-B48C-3A502B1E98A5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25 Impairment of Goodwill</t>
        </r>
      </text>
    </comment>
    <comment ref="M14" authorId="1" shapeId="0" xr:uid="{02328662-4D88-4BC8-91D8-F530CF00DD0F}">
      <text>
        <t>[Threaded comment]
Your version of Excel allows you to read this threaded comment; however, any edits to it will get removed if the file is opened in a newer version of Excel. Learn more: https://go.microsoft.com/fwlink/?linkid=870924
Comment:
    29 $ mio Godwill Impairment</t>
      </text>
    </comment>
  </commentList>
</comments>
</file>

<file path=xl/sharedStrings.xml><?xml version="1.0" encoding="utf-8"?>
<sst xmlns="http://schemas.openxmlformats.org/spreadsheetml/2006/main" count="65" uniqueCount="58">
  <si>
    <t>COLM</t>
  </si>
  <si>
    <t>IR</t>
  </si>
  <si>
    <t>Columbia Sportswear</t>
  </si>
  <si>
    <t>numbers in mio USD</t>
  </si>
  <si>
    <t>Price</t>
  </si>
  <si>
    <t>Shares</t>
  </si>
  <si>
    <t>MC</t>
  </si>
  <si>
    <t>Cash</t>
  </si>
  <si>
    <t>Debt</t>
  </si>
  <si>
    <t>EV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</si>
  <si>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</si>
  <si>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</si>
  <si>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</si>
  <si>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</si>
  <si>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</si>
  <si>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</si>
  <si>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</si>
  <si>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</si>
  <si>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</si>
  <si>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</si>
  <si>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COGS</t>
  </si>
  <si>
    <t>Gross Profit</t>
  </si>
  <si>
    <t>SGA</t>
  </si>
  <si>
    <t>Net Licensing Income</t>
  </si>
  <si>
    <t>Operating Income</t>
  </si>
  <si>
    <t>Interest Income</t>
  </si>
  <si>
    <t>Other Income</t>
  </si>
  <si>
    <t>Pretax Income</t>
  </si>
  <si>
    <t>Tax Expense</t>
  </si>
  <si>
    <t>Net Income</t>
  </si>
  <si>
    <t>EPS</t>
  </si>
  <si>
    <t>Revenue Growth</t>
  </si>
  <si>
    <t>Gross Margin</t>
  </si>
  <si>
    <t xml:space="preserve">Operating Margin </t>
  </si>
  <si>
    <t>Tax Rate</t>
  </si>
  <si>
    <t>Appereal, Accessoires etc</t>
  </si>
  <si>
    <t>Footwear</t>
  </si>
  <si>
    <t>Wholesale Revenue</t>
  </si>
  <si>
    <t>DTC Revenue</t>
  </si>
  <si>
    <t>Brands</t>
  </si>
  <si>
    <t>Columbia</t>
  </si>
  <si>
    <t>SOREL</t>
  </si>
  <si>
    <t>prAna</t>
  </si>
  <si>
    <t>Mountain Hardwear</t>
  </si>
  <si>
    <t>Q125</t>
  </si>
  <si>
    <t>Q225</t>
  </si>
  <si>
    <t>Q325</t>
  </si>
  <si>
    <t>Q425</t>
  </si>
  <si>
    <t>CEO:</t>
  </si>
  <si>
    <t>Timothy P. Boyle</t>
  </si>
  <si>
    <t>FY24</t>
  </si>
  <si>
    <t>FY25</t>
  </si>
  <si>
    <t>SHOREL</t>
  </si>
  <si>
    <t>FY23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</si>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</sst>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;\(#,##0.0\)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0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11" fillId="0" borderId="0" xfId="2" applyFont="1"/>
    <xf numFmtId="164" fontId="10" fillId="0" borderId="0" xfId="0" applyNumberFormat="1" applyFont="1"/>
    <xf numFmtId="4" fontId="5" fillId="0" borderId="0" xfId="0" applyNumberFormat="1" applyFont="1"/>
    <xf numFmtId="9" fontId="5" fillId="0" borderId="0" xfId="1" applyFont="1"/>
    <xf numFmtId="0" fontId="4" fillId="0" borderId="0" xfId="0" applyFont="1" applyAlignment="1">
      <alignment horizontal="right"/>
    </xf>
    <xf numFmtId="9" fontId="10" fillId="0" borderId="0" xfId="1" applyFont="1"/>
    <xf numFmtId="164" fontId="4" fillId="0" borderId="0" xfId="0" applyNumberFormat="1" applyFont="1"/>
    <xf numFmtId="165" fontId="5" fillId="0" borderId="0" xfId="0" applyNumberFormat="1" applyFont="1"/>
    <xf numFmtId="165" fontId="10" fillId="0" borderId="0" xfId="0" applyNumberFormat="1" applyFont="1"/>
    <xf numFmtId="0" fontId="1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1B5CE0B6-B2B8-49C3-A84C-CB0394E90054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4" dT="2025-12-14T11:31:57.34" personId="{1B5CE0B6-B2B8-49C3-A84C-CB0394E90054}" id="{02328662-4D88-4BC8-91D8-F530CF00DD0F}">
    <text>29 $ mio Godwill Impairment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6220-A4EA-40B8-B7BA-F22C5D1C362A}">
  <dimension ref="A1:J11"/>
  <sheetViews>
    <sheetView tabSelected="1" topLeftCell="B1" zoomScale="200" zoomScaleNormal="200" workbookViewId="0">
      <selection activeCell="F8" sqref="F8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0" x14ac:dyDescent="0.2">
      <c r="A1" s="1" t="s">
        <v>2</v>
      </c>
    </row>
    <row r="2" spans="1:10" x14ac:dyDescent="0.2">
      <c r="A2" s="2" t="s">
        <v>3</v>
      </c>
      <c r="H2" s="2" t="s">
        <v>4</v>
      </c>
      <c r="I2" s="2">
        <v>56.92</v>
      </c>
    </row>
    <row r="3" spans="1:10" x14ac:dyDescent="0.2">
      <c r="H3" s="2" t="s">
        <v>5</v>
      </c>
      <c r="I3" s="3">
        <v>51.193193999999998</v>
      </c>
      <c r="J3" s="18" t="s">
        <v>55</v>
      </c>
    </row>
    <row r="4" spans="1:10" x14ac:dyDescent="0.2">
      <c r="B4" s="2" t="s">
        <v>0</v>
      </c>
      <c r="H4" s="2" t="s">
        <v>6</v>
      </c>
      <c r="I4" s="3">
        <f>+I2*I3</f>
        <v>2913.9166024800002</v>
      </c>
    </row>
    <row r="5" spans="1:10" x14ac:dyDescent="0.2">
      <c r="B5" s="2" t="s">
        <v>1</v>
      </c>
      <c r="H5" s="2" t="s">
        <v>7</v>
      </c>
      <c r="I5" s="3">
        <f>532.305+92.296</f>
        <v>624.601</v>
      </c>
      <c r="J5" s="18" t="s">
        <v>55</v>
      </c>
    </row>
    <row r="6" spans="1:10" x14ac:dyDescent="0.2">
      <c r="H6" s="2" t="s">
        <v>8</v>
      </c>
      <c r="I6" s="3">
        <v>0</v>
      </c>
      <c r="J6" s="18" t="s">
        <v>55</v>
      </c>
    </row>
    <row r="7" spans="1:10" x14ac:dyDescent="0.2">
      <c r="B7" s="14" t="s">
        <v>39</v>
      </c>
      <c r="H7" s="2" t="s">
        <v>9</v>
      </c>
      <c r="I7" s="3">
        <f>+I4-I5+I6</f>
        <v>2289.3156024800001</v>
      </c>
    </row>
    <row r="8" spans="1:10" x14ac:dyDescent="0.2">
      <c r="B8" s="2" t="s">
        <v>40</v>
      </c>
    </row>
    <row r="9" spans="1:10" x14ac:dyDescent="0.2">
      <c r="B9" s="2" t="s">
        <v>41</v>
      </c>
      <c r="H9" s="16" t="s">
        <v>48</v>
      </c>
      <c r="I9" s="16" t="s">
        <v>49</v>
      </c>
    </row>
    <row r="10" spans="1:10" x14ac:dyDescent="0.2">
      <c r="B10" s="2" t="s">
        <v>42</v>
      </c>
    </row>
    <row r="11" spans="1:10" x14ac:dyDescent="0.2">
      <c r="B11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7C55-4E26-4518-8F85-A8F7E5C1C71D}">
  <dimension ref="A1:BB347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7" sqref="P7"/>
    </sheetView>
  </sheetViews>
  <sheetFormatPr defaultRowHeight="12.75" x14ac:dyDescent="0.2"/>
  <cols>
    <col min="1" max="1" width="5.42578125" style="2" bestFit="1" customWidth="1"/>
    <col min="2" max="2" width="26.5703125" style="2" customWidth="1"/>
    <col min="3" max="16384" width="9.140625" style="2"/>
  </cols>
  <sheetData>
    <row r="1" spans="1:54" x14ac:dyDescent="0.2">
      <c r="A1" s="5" t="s">
        <v>11</v>
      </c>
    </row>
    <row r="2" spans="1:54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18</v>
      </c>
      <c r="K2" s="9" t="s">
        <v>44</v>
      </c>
      <c r="L2" s="9" t="s">
        <v>45</v>
      </c>
      <c r="M2" s="9" t="s">
        <v>46</v>
      </c>
      <c r="N2" s="9" t="s">
        <v>47</v>
      </c>
      <c r="O2" s="17" t="s">
        <v>54</v>
      </c>
      <c r="P2" s="17" t="s">
        <v>55</v>
      </c>
      <c r="Q2" s="17" t="s">
        <v>56</v>
      </c>
      <c r="R2" s="17" t="s">
        <v>57</v>
      </c>
      <c r="T2" s="15" t="s">
        <v>53</v>
      </c>
      <c r="U2" s="15" t="s">
        <v>50</v>
      </c>
      <c r="V2" s="15" t="s">
        <v>51</v>
      </c>
    </row>
    <row r="3" spans="1:54" x14ac:dyDescent="0.2">
      <c r="B3" s="16" t="s">
        <v>40</v>
      </c>
      <c r="C3" s="12"/>
      <c r="D3" s="12"/>
      <c r="E3" s="12"/>
      <c r="F3" s="12"/>
      <c r="G3" s="12"/>
      <c r="H3" s="12"/>
      <c r="I3" s="12"/>
      <c r="J3" s="12"/>
      <c r="K3" s="12">
        <v>683.12099999999998</v>
      </c>
      <c r="L3" s="12"/>
      <c r="M3" s="12"/>
      <c r="N3" s="12"/>
      <c r="O3" s="12">
        <v>690.149</v>
      </c>
      <c r="P3" s="12">
        <v>556.226</v>
      </c>
      <c r="Q3" s="12"/>
      <c r="R3" s="12"/>
      <c r="S3" s="12"/>
      <c r="T3" s="12"/>
      <c r="U3" s="12">
        <v>2971.1979999999999</v>
      </c>
      <c r="V3" s="12">
        <v>2972.6149999999998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</row>
    <row r="4" spans="1:54" x14ac:dyDescent="0.2">
      <c r="B4" s="16" t="s">
        <v>52</v>
      </c>
      <c r="C4" s="12"/>
      <c r="D4" s="12"/>
      <c r="E4" s="12"/>
      <c r="F4" s="12"/>
      <c r="G4" s="12"/>
      <c r="H4" s="12"/>
      <c r="I4" s="12"/>
      <c r="J4" s="12"/>
      <c r="K4" s="12">
        <v>42.204999999999998</v>
      </c>
      <c r="L4" s="12"/>
      <c r="M4" s="12"/>
      <c r="N4" s="12"/>
      <c r="O4" s="12">
        <v>37.162999999999997</v>
      </c>
      <c r="P4" s="12">
        <v>16.282</v>
      </c>
      <c r="Q4" s="12"/>
      <c r="R4" s="12"/>
      <c r="S4" s="12"/>
      <c r="T4" s="12"/>
      <c r="U4" s="12">
        <v>221.14099999999999</v>
      </c>
      <c r="V4" s="12">
        <v>221.7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</row>
    <row r="5" spans="1:54" x14ac:dyDescent="0.2">
      <c r="B5" s="16" t="s">
        <v>42</v>
      </c>
      <c r="C5" s="12"/>
      <c r="D5" s="12"/>
      <c r="E5" s="12"/>
      <c r="F5" s="12"/>
      <c r="G5" s="12"/>
      <c r="H5" s="12"/>
      <c r="I5" s="12"/>
      <c r="J5" s="12"/>
      <c r="K5" s="12">
        <v>28.114000000000001</v>
      </c>
      <c r="L5" s="12"/>
      <c r="M5" s="12"/>
      <c r="N5" s="12"/>
      <c r="O5" s="12">
        <v>26.661000000000001</v>
      </c>
      <c r="P5" s="12">
        <v>23.324999999999999</v>
      </c>
      <c r="Q5" s="12"/>
      <c r="R5" s="12"/>
      <c r="S5" s="12"/>
      <c r="T5" s="12"/>
      <c r="U5" s="12">
        <v>102.81</v>
      </c>
      <c r="V5" s="12">
        <v>102.79600000000001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</row>
    <row r="6" spans="1:54" x14ac:dyDescent="0.2">
      <c r="B6" s="16" t="s">
        <v>43</v>
      </c>
      <c r="C6" s="12"/>
      <c r="D6" s="12"/>
      <c r="E6" s="12"/>
      <c r="F6" s="12"/>
      <c r="G6" s="12"/>
      <c r="H6" s="12"/>
      <c r="I6" s="12"/>
      <c r="J6" s="12"/>
      <c r="K6" s="12">
        <v>25.012</v>
      </c>
      <c r="L6" s="12"/>
      <c r="M6" s="12"/>
      <c r="N6" s="12"/>
      <c r="O6" s="12">
        <v>25.04</v>
      </c>
      <c r="P6" s="12">
        <v>18.529</v>
      </c>
      <c r="Q6" s="12"/>
      <c r="R6" s="12"/>
      <c r="S6" s="12"/>
      <c r="T6" s="12"/>
      <c r="U6" s="12">
        <v>100.593</v>
      </c>
      <c r="V6" s="12">
        <v>100.24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</row>
    <row r="7" spans="1:54" s="12" customFormat="1" x14ac:dyDescent="0.2">
      <c r="A7" s="2"/>
      <c r="B7" s="2" t="s">
        <v>35</v>
      </c>
      <c r="D7" s="12">
        <v>823.36500000000001</v>
      </c>
      <c r="E7" s="12">
        <v>1853.232</v>
      </c>
      <c r="G7" s="12">
        <v>619.05399999999997</v>
      </c>
      <c r="H7" s="12">
        <v>463.94</v>
      </c>
      <c r="I7" s="12">
        <v>1818.35</v>
      </c>
      <c r="J7" s="12">
        <v>868.82299999999998</v>
      </c>
      <c r="K7" s="12">
        <v>628.82000000000005</v>
      </c>
      <c r="L7" s="12">
        <v>494.30200000000002</v>
      </c>
      <c r="M7" s="12">
        <v>734.31500000000005</v>
      </c>
      <c r="O7" s="12">
        <v>623.09299999999996</v>
      </c>
      <c r="P7" s="12">
        <v>497.36799999999999</v>
      </c>
      <c r="U7" s="12">
        <v>2712.7539999999999</v>
      </c>
      <c r="V7" s="12">
        <v>2712.39</v>
      </c>
    </row>
    <row r="8" spans="1:54" s="12" customFormat="1" x14ac:dyDescent="0.2">
      <c r="A8" s="2"/>
      <c r="B8" s="2" t="s">
        <v>36</v>
      </c>
      <c r="D8" s="12">
        <v>236.66900000000001</v>
      </c>
      <c r="E8" s="12">
        <v>573.97699999999998</v>
      </c>
      <c r="G8" s="12">
        <v>150.928</v>
      </c>
      <c r="H8" s="12">
        <v>106.304</v>
      </c>
      <c r="I8" s="12">
        <v>453.64400000000001</v>
      </c>
      <c r="J8" s="12">
        <v>227.76400000000001</v>
      </c>
      <c r="K8" s="12">
        <v>149.63200000000001</v>
      </c>
      <c r="L8" s="12">
        <v>110.944</v>
      </c>
      <c r="M8" s="12">
        <v>209.11</v>
      </c>
      <c r="O8" s="12">
        <v>155.91999999999999</v>
      </c>
      <c r="P8" s="12">
        <v>116.994</v>
      </c>
      <c r="U8" s="12">
        <v>682.98800000000006</v>
      </c>
      <c r="V8" s="12">
        <v>684.96100000000001</v>
      </c>
    </row>
    <row r="9" spans="1:54" s="12" customFormat="1" x14ac:dyDescent="0.2">
      <c r="A9" s="2"/>
      <c r="B9" s="2" t="s">
        <v>37</v>
      </c>
      <c r="D9" s="12">
        <v>456.4</v>
      </c>
      <c r="E9" s="12">
        <v>1445.13</v>
      </c>
      <c r="G9" s="12">
        <v>390.89699999999999</v>
      </c>
      <c r="H9" s="12">
        <v>278.38400000000001</v>
      </c>
      <c r="I9" s="12">
        <v>1274.498</v>
      </c>
      <c r="J9" s="12">
        <v>459.85899999999998</v>
      </c>
      <c r="K9" s="12">
        <v>399.76900000000001</v>
      </c>
      <c r="L9" s="12">
        <v>317.21800000000002</v>
      </c>
      <c r="M9" s="12">
        <v>605.21699999999998</v>
      </c>
      <c r="O9" s="12">
        <v>401.072</v>
      </c>
      <c r="P9" s="12">
        <v>318.35300000000001</v>
      </c>
      <c r="U9" s="12">
        <v>1777.0930000000001</v>
      </c>
      <c r="V9" s="12">
        <v>1780.5540000000001</v>
      </c>
    </row>
    <row r="10" spans="1:54" s="12" customFormat="1" x14ac:dyDescent="0.2">
      <c r="A10" s="2"/>
      <c r="B10" s="2" t="s">
        <v>38</v>
      </c>
      <c r="D10" s="12">
        <v>636.66099999999994</v>
      </c>
      <c r="E10" s="12">
        <v>982.07899999999995</v>
      </c>
      <c r="G10" s="12">
        <v>379.08499999999998</v>
      </c>
      <c r="H10" s="12">
        <v>291.86</v>
      </c>
      <c r="I10" s="12">
        <v>997.49599999999998</v>
      </c>
      <c r="J10" s="12">
        <v>636.72799999999995</v>
      </c>
      <c r="K10" s="12">
        <v>378.68299999999999</v>
      </c>
      <c r="L10" s="12">
        <v>288.02800000000002</v>
      </c>
      <c r="M10" s="12">
        <v>326.55099999999999</v>
      </c>
      <c r="O10" s="12">
        <v>377.94099999999997</v>
      </c>
      <c r="P10" s="12">
        <v>296.09989999999999</v>
      </c>
      <c r="U10" s="12">
        <v>1618.6489999999999</v>
      </c>
      <c r="V10" s="12">
        <v>1616.797</v>
      </c>
    </row>
    <row r="11" spans="1:54" s="12" customFormat="1" x14ac:dyDescent="0.2">
      <c r="A11" s="2"/>
      <c r="B11" s="1" t="s">
        <v>19</v>
      </c>
      <c r="C11" s="13"/>
      <c r="D11" s="13">
        <v>1059.9939999999999</v>
      </c>
      <c r="E11" s="13">
        <v>985.68299999999999</v>
      </c>
      <c r="F11" s="13"/>
      <c r="G11" s="13">
        <v>769.98199999999997</v>
      </c>
      <c r="H11" s="13">
        <v>570.24400000000003</v>
      </c>
      <c r="I11" s="13">
        <v>931.76800000000003</v>
      </c>
      <c r="J11" s="13">
        <v>1096.587</v>
      </c>
      <c r="K11" s="13">
        <v>778.452</v>
      </c>
      <c r="L11" s="13">
        <v>605.24599999999998</v>
      </c>
      <c r="M11" s="13">
        <v>943.42499999999995</v>
      </c>
      <c r="O11" s="13">
        <v>779.01300000000003</v>
      </c>
      <c r="P11" s="13">
        <v>614.36199999999997</v>
      </c>
      <c r="T11" s="13">
        <v>3487.203</v>
      </c>
      <c r="U11" s="13">
        <v>3368.5819999999999</v>
      </c>
      <c r="V11" s="13">
        <v>3397.3510000000001</v>
      </c>
    </row>
    <row r="12" spans="1:54" s="12" customFormat="1" x14ac:dyDescent="0.2">
      <c r="A12" s="2"/>
      <c r="B12" s="2" t="s">
        <v>20</v>
      </c>
      <c r="D12" s="12">
        <v>523.80399999999997</v>
      </c>
      <c r="E12" s="12">
        <v>505.48599999999999</v>
      </c>
      <c r="G12" s="12">
        <v>380.423</v>
      </c>
      <c r="H12" s="12">
        <v>296.82499999999999</v>
      </c>
      <c r="I12" s="12">
        <v>464.209</v>
      </c>
      <c r="J12" s="12">
        <v>536.03899999999999</v>
      </c>
      <c r="K12" s="12">
        <v>382.39499999999998</v>
      </c>
      <c r="L12" s="12">
        <v>308.13799999999998</v>
      </c>
      <c r="M12" s="12">
        <v>471.60700000000003</v>
      </c>
      <c r="O12" s="12">
        <v>384.05099999999999</v>
      </c>
      <c r="P12" s="12">
        <v>255.93</v>
      </c>
      <c r="T12" s="12">
        <v>1757.271</v>
      </c>
      <c r="U12" s="12">
        <v>1677.4970000000001</v>
      </c>
      <c r="V12" s="12">
        <v>1680.6289999999999</v>
      </c>
    </row>
    <row r="13" spans="1:54" s="12" customFormat="1" x14ac:dyDescent="0.2">
      <c r="A13" s="2"/>
      <c r="B13" s="2" t="s">
        <v>21</v>
      </c>
      <c r="C13" s="12">
        <f t="shared" ref="C13:H13" si="0">+C11-C12</f>
        <v>0</v>
      </c>
      <c r="D13" s="12">
        <f t="shared" si="0"/>
        <v>536.18999999999994</v>
      </c>
      <c r="E13" s="12">
        <f t="shared" si="0"/>
        <v>480.197</v>
      </c>
      <c r="F13" s="12">
        <f t="shared" si="0"/>
        <v>0</v>
      </c>
      <c r="G13" s="12">
        <f t="shared" si="0"/>
        <v>389.55899999999997</v>
      </c>
      <c r="H13" s="12">
        <f t="shared" si="0"/>
        <v>273.41900000000004</v>
      </c>
      <c r="I13" s="12">
        <f>+I11-I12</f>
        <v>467.55900000000003</v>
      </c>
      <c r="J13" s="12">
        <f t="shared" ref="J13:V13" si="1">+J11-J12</f>
        <v>560.548</v>
      </c>
      <c r="K13" s="12">
        <f t="shared" si="1"/>
        <v>396.05700000000002</v>
      </c>
      <c r="L13" s="12">
        <f t="shared" si="1"/>
        <v>297.108</v>
      </c>
      <c r="M13" s="12">
        <f t="shared" si="1"/>
        <v>471.81799999999993</v>
      </c>
      <c r="N13" s="12">
        <f t="shared" si="1"/>
        <v>0</v>
      </c>
      <c r="O13" s="12">
        <f t="shared" si="1"/>
        <v>394.96200000000005</v>
      </c>
      <c r="P13" s="12">
        <f t="shared" si="1"/>
        <v>358.43199999999996</v>
      </c>
      <c r="T13" s="12">
        <f t="shared" si="1"/>
        <v>1729.932</v>
      </c>
      <c r="U13" s="12">
        <f t="shared" si="1"/>
        <v>1691.0849999999998</v>
      </c>
      <c r="V13" s="12">
        <f t="shared" si="1"/>
        <v>1716.7220000000002</v>
      </c>
    </row>
    <row r="14" spans="1:54" s="12" customFormat="1" x14ac:dyDescent="0.2">
      <c r="A14" s="2"/>
      <c r="B14" s="2" t="s">
        <v>22</v>
      </c>
      <c r="D14" s="12">
        <f>404.823+25</f>
        <v>429.82299999999998</v>
      </c>
      <c r="E14" s="12">
        <v>351.56299999999999</v>
      </c>
      <c r="G14" s="12">
        <v>349.27</v>
      </c>
      <c r="H14" s="12">
        <v>302.74900000000002</v>
      </c>
      <c r="I14" s="12">
        <v>361.24299999999999</v>
      </c>
      <c r="J14" s="12">
        <v>430.64499999999998</v>
      </c>
      <c r="K14" s="12">
        <v>354.471</v>
      </c>
      <c r="L14" s="12">
        <v>325.62799999999999</v>
      </c>
      <c r="M14" s="12">
        <f>380.892+29</f>
        <v>409.892</v>
      </c>
      <c r="O14" s="12">
        <v>357.137</v>
      </c>
      <c r="P14" s="12">
        <v>332.19099999999997</v>
      </c>
      <c r="T14" s="12">
        <f>1416.313+25</f>
        <v>1441.3130000000001</v>
      </c>
      <c r="U14" s="12">
        <v>1443.9059999999999</v>
      </c>
      <c r="V14" s="12">
        <f>1502.506+29</f>
        <v>1531.5060000000001</v>
      </c>
    </row>
    <row r="15" spans="1:54" s="12" customFormat="1" x14ac:dyDescent="0.2">
      <c r="A15" s="2"/>
      <c r="B15" s="2" t="s">
        <v>23</v>
      </c>
      <c r="D15" s="12">
        <v>6.7069999999999999</v>
      </c>
      <c r="E15" s="12">
        <v>5.92</v>
      </c>
      <c r="G15" s="12">
        <v>4.3920000000000003</v>
      </c>
      <c r="H15" s="12">
        <v>5.5279999999999996</v>
      </c>
      <c r="I15" s="12">
        <v>6.2249999999999996</v>
      </c>
      <c r="J15" s="12">
        <v>7.4180000000000001</v>
      </c>
      <c r="K15" s="12">
        <v>4.9219999999999997</v>
      </c>
      <c r="L15" s="12">
        <v>4.9290000000000003</v>
      </c>
      <c r="M15" s="12">
        <v>5.46</v>
      </c>
      <c r="O15" s="12">
        <v>4.1680000000000001</v>
      </c>
      <c r="P15" s="12">
        <v>4.6429999999999998</v>
      </c>
      <c r="T15" s="12">
        <v>21.664999999999999</v>
      </c>
      <c r="U15" s="12">
        <v>23.562000000000001</v>
      </c>
      <c r="V15" s="12">
        <v>21.823</v>
      </c>
    </row>
    <row r="16" spans="1:54" s="12" customFormat="1" x14ac:dyDescent="0.2">
      <c r="A16" s="2"/>
      <c r="B16" s="2" t="s">
        <v>24</v>
      </c>
      <c r="C16" s="12">
        <f t="shared" ref="C16:H16" si="2">+C13-C14+C15</f>
        <v>0</v>
      </c>
      <c r="D16" s="12">
        <f t="shared" si="2"/>
        <v>113.07399999999996</v>
      </c>
      <c r="E16" s="12">
        <f t="shared" si="2"/>
        <v>134.554</v>
      </c>
      <c r="F16" s="12">
        <f t="shared" si="2"/>
        <v>0</v>
      </c>
      <c r="G16" s="12">
        <f t="shared" si="2"/>
        <v>44.68099999999999</v>
      </c>
      <c r="H16" s="12">
        <f t="shared" si="2"/>
        <v>-23.801999999999985</v>
      </c>
      <c r="I16" s="12">
        <f>+I13-I14+I15</f>
        <v>112.54100000000003</v>
      </c>
      <c r="J16" s="12">
        <f t="shared" ref="J16:V16" si="3">+J13-J14+J15</f>
        <v>137.32100000000003</v>
      </c>
      <c r="K16" s="12">
        <f t="shared" si="3"/>
        <v>46.50800000000001</v>
      </c>
      <c r="L16" s="12">
        <f t="shared" si="3"/>
        <v>-23.59099999999998</v>
      </c>
      <c r="M16" s="12">
        <f t="shared" si="3"/>
        <v>67.385999999999925</v>
      </c>
      <c r="N16" s="12">
        <f t="shared" si="3"/>
        <v>0</v>
      </c>
      <c r="O16" s="12">
        <f t="shared" si="3"/>
        <v>41.993000000000045</v>
      </c>
      <c r="P16" s="12">
        <f t="shared" si="3"/>
        <v>30.883999999999986</v>
      </c>
      <c r="T16" s="12">
        <f t="shared" si="3"/>
        <v>310.28399999999993</v>
      </c>
      <c r="U16" s="12">
        <f t="shared" si="3"/>
        <v>270.74099999999987</v>
      </c>
      <c r="V16" s="12">
        <f t="shared" si="3"/>
        <v>207.03900000000013</v>
      </c>
    </row>
    <row r="17" spans="1:54" s="12" customFormat="1" x14ac:dyDescent="0.2">
      <c r="A17" s="2"/>
      <c r="B17" s="2" t="s">
        <v>25</v>
      </c>
      <c r="D17" s="12">
        <v>5.0279999999999996</v>
      </c>
      <c r="E17" s="12">
        <v>1.87</v>
      </c>
      <c r="G17" s="12">
        <v>9.1969999999999992</v>
      </c>
      <c r="H17" s="12">
        <v>8.3439999999999994</v>
      </c>
      <c r="I17" s="12">
        <v>5.3639999999999999</v>
      </c>
      <c r="J17" s="12">
        <v>4.7969999999999997</v>
      </c>
      <c r="K17" s="12">
        <v>6.8170000000000002</v>
      </c>
      <c r="L17" s="12">
        <v>4.8380000000000001</v>
      </c>
      <c r="M17" s="12">
        <v>2.87</v>
      </c>
      <c r="O17" s="12">
        <v>4.883</v>
      </c>
      <c r="P17" s="12">
        <v>6.2160000000000002</v>
      </c>
      <c r="T17" s="12">
        <v>13.686999999999999</v>
      </c>
      <c r="U17" s="12">
        <v>27.702999999999999</v>
      </c>
      <c r="V17" s="12">
        <v>17.867000000000001</v>
      </c>
    </row>
    <row r="18" spans="1:54" s="12" customFormat="1" x14ac:dyDescent="0.2">
      <c r="A18" s="2"/>
      <c r="B18" s="2" t="s">
        <v>26</v>
      </c>
      <c r="D18" s="12">
        <v>1.867</v>
      </c>
      <c r="E18" s="12">
        <v>-0.311</v>
      </c>
      <c r="G18" s="12">
        <v>0.27100000000000002</v>
      </c>
      <c r="H18" s="12">
        <v>0.47599999999999998</v>
      </c>
      <c r="I18" s="12">
        <v>1.2829999999999999</v>
      </c>
      <c r="J18" s="12">
        <v>-2.2869999999999999</v>
      </c>
      <c r="K18" s="12">
        <v>1.5509999999999999</v>
      </c>
      <c r="L18" s="12">
        <v>2.1640000000000001</v>
      </c>
      <c r="M18" s="12">
        <v>0.73199999999999998</v>
      </c>
      <c r="O18" s="12">
        <v>0.39700000000000002</v>
      </c>
      <c r="P18" s="12">
        <v>-0.81499999999999995</v>
      </c>
      <c r="T18" s="12">
        <v>2.2210000000000001</v>
      </c>
      <c r="U18" s="12">
        <v>-0.25700000000000001</v>
      </c>
      <c r="V18" s="12">
        <v>4.718</v>
      </c>
    </row>
    <row r="19" spans="1:54" s="12" customFormat="1" x14ac:dyDescent="0.2">
      <c r="A19" s="2"/>
      <c r="B19" s="2" t="s">
        <v>27</v>
      </c>
      <c r="C19" s="12">
        <f t="shared" ref="C19:H19" si="4">+C16+SUM(C17:C18)</f>
        <v>0</v>
      </c>
      <c r="D19" s="12">
        <f t="shared" si="4"/>
        <v>119.96899999999995</v>
      </c>
      <c r="E19" s="12">
        <f t="shared" si="4"/>
        <v>136.113</v>
      </c>
      <c r="F19" s="12">
        <f t="shared" si="4"/>
        <v>0</v>
      </c>
      <c r="G19" s="12">
        <f t="shared" si="4"/>
        <v>54.148999999999987</v>
      </c>
      <c r="H19" s="12">
        <f t="shared" si="4"/>
        <v>-14.981999999999985</v>
      </c>
      <c r="I19" s="12">
        <f>+I16+SUM(I17:I18)</f>
        <v>119.18800000000003</v>
      </c>
      <c r="J19" s="12">
        <f t="shared" ref="J19:V19" si="5">+J16+SUM(J17:J18)</f>
        <v>139.83100000000002</v>
      </c>
      <c r="K19" s="12">
        <f t="shared" si="5"/>
        <v>54.876000000000012</v>
      </c>
      <c r="L19" s="12">
        <f t="shared" si="5"/>
        <v>-16.588999999999977</v>
      </c>
      <c r="M19" s="12">
        <f t="shared" si="5"/>
        <v>70.987999999999928</v>
      </c>
      <c r="N19" s="12">
        <f t="shared" si="5"/>
        <v>0</v>
      </c>
      <c r="O19" s="12">
        <f t="shared" si="5"/>
        <v>47.273000000000046</v>
      </c>
      <c r="P19" s="12">
        <f t="shared" si="5"/>
        <v>36.284999999999982</v>
      </c>
      <c r="T19" s="12">
        <f t="shared" si="5"/>
        <v>326.19199999999995</v>
      </c>
      <c r="U19" s="12">
        <f t="shared" si="5"/>
        <v>298.1869999999999</v>
      </c>
      <c r="V19" s="12">
        <f t="shared" si="5"/>
        <v>229.62400000000014</v>
      </c>
    </row>
    <row r="20" spans="1:54" s="12" customFormat="1" x14ac:dyDescent="0.2">
      <c r="A20" s="2"/>
      <c r="B20" s="2" t="s">
        <v>28</v>
      </c>
      <c r="D20" s="12">
        <v>26.629000000000001</v>
      </c>
      <c r="E20" s="12">
        <v>32.604999999999997</v>
      </c>
      <c r="G20" s="12">
        <v>11.849</v>
      </c>
      <c r="H20" s="12">
        <v>-3.2410000000000001</v>
      </c>
      <c r="I20" s="12">
        <v>29.030999999999999</v>
      </c>
      <c r="J20" s="12">
        <v>37.274000000000001</v>
      </c>
      <c r="K20" s="12">
        <v>12.628</v>
      </c>
      <c r="L20" s="12">
        <v>-6.3929999999999998</v>
      </c>
      <c r="M20" s="12">
        <v>18.983000000000001</v>
      </c>
      <c r="O20" s="12">
        <v>12.965</v>
      </c>
      <c r="P20" s="12">
        <v>9.7319999999999993</v>
      </c>
      <c r="T20" s="12">
        <v>74.792000000000002</v>
      </c>
      <c r="U20" s="12">
        <v>74.914000000000001</v>
      </c>
      <c r="V20" s="12">
        <v>52.4</v>
      </c>
    </row>
    <row r="21" spans="1:54" s="12" customFormat="1" x14ac:dyDescent="0.2">
      <c r="A21" s="2"/>
      <c r="B21" s="2" t="s">
        <v>29</v>
      </c>
      <c r="C21" s="12">
        <f t="shared" ref="C21:H21" si="6">+C19-C20</f>
        <v>0</v>
      </c>
      <c r="D21" s="12">
        <f t="shared" si="6"/>
        <v>93.339999999999947</v>
      </c>
      <c r="E21" s="12">
        <f t="shared" si="6"/>
        <v>103.50800000000001</v>
      </c>
      <c r="F21" s="12">
        <f t="shared" si="6"/>
        <v>0</v>
      </c>
      <c r="G21" s="12">
        <f t="shared" si="6"/>
        <v>42.299999999999983</v>
      </c>
      <c r="H21" s="12">
        <f t="shared" si="6"/>
        <v>-11.740999999999985</v>
      </c>
      <c r="I21" s="12">
        <f>+I19-I20</f>
        <v>90.157000000000039</v>
      </c>
      <c r="J21" s="12">
        <f t="shared" ref="J21:V21" si="7">+J19-J20</f>
        <v>102.55700000000002</v>
      </c>
      <c r="K21" s="12">
        <f t="shared" si="7"/>
        <v>42.248000000000012</v>
      </c>
      <c r="L21" s="12">
        <f t="shared" si="7"/>
        <v>-10.195999999999977</v>
      </c>
      <c r="M21" s="12">
        <f t="shared" si="7"/>
        <v>52.004999999999924</v>
      </c>
      <c r="N21" s="12">
        <f t="shared" si="7"/>
        <v>0</v>
      </c>
      <c r="O21" s="12">
        <f t="shared" si="7"/>
        <v>34.30800000000005</v>
      </c>
      <c r="P21" s="12">
        <f t="shared" si="7"/>
        <v>26.552999999999983</v>
      </c>
      <c r="T21" s="12">
        <f t="shared" si="7"/>
        <v>251.39999999999995</v>
      </c>
      <c r="U21" s="12">
        <f t="shared" si="7"/>
        <v>223.27299999999991</v>
      </c>
      <c r="V21" s="12">
        <f t="shared" si="7"/>
        <v>177.22400000000013</v>
      </c>
    </row>
    <row r="22" spans="1:54" s="12" customFormat="1" x14ac:dyDescent="0.2">
      <c r="A22" s="2"/>
      <c r="B22" s="2"/>
    </row>
    <row r="23" spans="1:54" x14ac:dyDescent="0.2">
      <c r="B23" s="2" t="s">
        <v>30</v>
      </c>
      <c r="C23" s="7" t="e">
        <f t="shared" ref="C23:I23" si="8">+C21/C24</f>
        <v>#DIV/0!</v>
      </c>
      <c r="D23" s="7">
        <f t="shared" si="8"/>
        <v>1.5501378416979432</v>
      </c>
      <c r="E23" s="7">
        <f t="shared" si="8"/>
        <v>1.7012030767207942</v>
      </c>
      <c r="F23" s="7" t="e">
        <f t="shared" si="8"/>
        <v>#DIV/0!</v>
      </c>
      <c r="G23" s="7">
        <f t="shared" si="8"/>
        <v>0.70708590341507416</v>
      </c>
      <c r="H23" s="7">
        <f t="shared" si="8"/>
        <v>-0.19868681569729046</v>
      </c>
      <c r="I23" s="7">
        <f t="shared" si="8"/>
        <v>1.5602145885610461</v>
      </c>
      <c r="J23" s="7">
        <f t="shared" ref="J23:V23" si="9">+J21/J24</f>
        <v>1.8101701496752334</v>
      </c>
      <c r="K23" s="7">
        <f t="shared" si="9"/>
        <v>0.75802921017691194</v>
      </c>
      <c r="L23" s="7">
        <f t="shared" si="9"/>
        <v>-0.1861365171513587</v>
      </c>
      <c r="M23" s="7">
        <f t="shared" si="9"/>
        <v>0.95352035203520213</v>
      </c>
      <c r="N23" s="7" t="e">
        <f t="shared" si="9"/>
        <v>#DIV/0!</v>
      </c>
      <c r="O23" s="7">
        <f t="shared" si="9"/>
        <v>0.65190871605829803</v>
      </c>
      <c r="P23" s="7">
        <f t="shared" si="9"/>
        <v>0.51891733437561038</v>
      </c>
      <c r="Q23" s="7"/>
      <c r="R23" s="7"/>
      <c r="S23" s="3"/>
      <c r="T23" s="7">
        <f t="shared" si="9"/>
        <v>4.105696367912202</v>
      </c>
      <c r="U23" s="7">
        <f t="shared" si="9"/>
        <v>3.8275590146229392</v>
      </c>
      <c r="V23" s="7">
        <f t="shared" si="9"/>
        <v>3.2412304766085107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1:54" x14ac:dyDescent="0.2">
      <c r="B24" s="2" t="s">
        <v>5</v>
      </c>
      <c r="C24" s="3"/>
      <c r="D24" s="3">
        <v>60.213999999999999</v>
      </c>
      <c r="E24" s="3">
        <v>60.844000000000001</v>
      </c>
      <c r="F24" s="3"/>
      <c r="G24" s="3">
        <v>59.823</v>
      </c>
      <c r="H24" s="3">
        <v>59.093000000000004</v>
      </c>
      <c r="I24" s="3">
        <v>57.784999999999997</v>
      </c>
      <c r="J24" s="3">
        <v>56.655999999999999</v>
      </c>
      <c r="K24" s="11">
        <v>55.734000000000002</v>
      </c>
      <c r="L24" s="3">
        <v>54.777000000000001</v>
      </c>
      <c r="M24" s="3">
        <v>54.54</v>
      </c>
      <c r="N24" s="3"/>
      <c r="O24" s="3">
        <v>52.627000000000002</v>
      </c>
      <c r="P24" s="3">
        <v>51.17</v>
      </c>
      <c r="Q24" s="3"/>
      <c r="R24" s="3"/>
      <c r="S24" s="3"/>
      <c r="T24" s="3">
        <v>61.231999999999999</v>
      </c>
      <c r="U24" s="3">
        <v>58.332999999999998</v>
      </c>
      <c r="V24" s="3">
        <v>54.677999999999997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1:54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1:54" x14ac:dyDescent="0.2">
      <c r="B26" s="1" t="s">
        <v>31</v>
      </c>
      <c r="C26" s="6"/>
      <c r="D26" s="6"/>
      <c r="E26" s="6"/>
      <c r="F26" s="6"/>
      <c r="G26" s="10" t="e">
        <f t="shared" ref="G26:H26" si="10">+G11/C11-1</f>
        <v>#DIV/0!</v>
      </c>
      <c r="H26" s="10">
        <f t="shared" si="10"/>
        <v>-0.46203091715613476</v>
      </c>
      <c r="I26" s="10">
        <f>+I11/E11-1</f>
        <v>-5.4698112882133443E-2</v>
      </c>
      <c r="J26" s="10" t="e">
        <f t="shared" ref="J26" si="11">+J11/F11-1</f>
        <v>#DIV/0!</v>
      </c>
      <c r="K26" s="10">
        <f t="shared" ref="K26" si="12">+K11/G11-1</f>
        <v>1.1000257148868542E-2</v>
      </c>
      <c r="L26" s="10">
        <f t="shared" ref="L26" si="13">+L11/H11-1</f>
        <v>6.1380742278743794E-2</v>
      </c>
      <c r="M26" s="10">
        <f t="shared" ref="M26" si="14">+M11/I11-1</f>
        <v>1.2510624962436934E-2</v>
      </c>
      <c r="N26" s="10">
        <f t="shared" ref="N26:P26" si="15">+N11/J11-1</f>
        <v>-1</v>
      </c>
      <c r="O26" s="10">
        <f t="shared" si="15"/>
        <v>7.2066100414680534E-4</v>
      </c>
      <c r="P26" s="10">
        <f t="shared" si="15"/>
        <v>1.5061644356179071E-2</v>
      </c>
      <c r="Q26" s="10"/>
      <c r="R26" s="10"/>
      <c r="S26" s="3"/>
      <c r="T26" s="3"/>
      <c r="U26" s="10">
        <f t="shared" ref="U26" si="16">+U11/T11-1</f>
        <v>-3.4016086818002833E-2</v>
      </c>
      <c r="V26" s="10">
        <f>+V11/U11-1</f>
        <v>8.5403888045474385E-3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1:54" x14ac:dyDescent="0.2">
      <c r="B27" s="2" t="s">
        <v>32</v>
      </c>
      <c r="C27" s="8" t="e">
        <f t="shared" ref="C27:H27" si="17">+C13/C11</f>
        <v>#DIV/0!</v>
      </c>
      <c r="D27" s="8">
        <f t="shared" si="17"/>
        <v>0.50584248590086356</v>
      </c>
      <c r="E27" s="8">
        <f t="shared" si="17"/>
        <v>0.48717183922214341</v>
      </c>
      <c r="F27" s="8" t="e">
        <f t="shared" si="17"/>
        <v>#DIV/0!</v>
      </c>
      <c r="G27" s="8">
        <f t="shared" si="17"/>
        <v>0.50593260621676872</v>
      </c>
      <c r="H27" s="8">
        <f t="shared" si="17"/>
        <v>0.47947720624855328</v>
      </c>
      <c r="I27" s="8">
        <f>+I13/I11</f>
        <v>0.50179765778605834</v>
      </c>
      <c r="J27" s="8">
        <f t="shared" ref="J27:N27" si="18">+J13/J11</f>
        <v>0.51117512791962705</v>
      </c>
      <c r="K27" s="8">
        <f t="shared" si="18"/>
        <v>0.50877510752108035</v>
      </c>
      <c r="L27" s="8">
        <f t="shared" si="18"/>
        <v>0.49088800256424664</v>
      </c>
      <c r="M27" s="8">
        <f t="shared" si="18"/>
        <v>0.50011182658928899</v>
      </c>
      <c r="N27" s="8" t="e">
        <f t="shared" si="18"/>
        <v>#DIV/0!</v>
      </c>
      <c r="O27" s="8">
        <f t="shared" ref="O27:P27" si="19">+O13/O11</f>
        <v>0.50700309237458174</v>
      </c>
      <c r="P27" s="8">
        <f t="shared" si="19"/>
        <v>0.58342150067875287</v>
      </c>
      <c r="Q27" s="8"/>
      <c r="R27" s="8"/>
      <c r="S27" s="3"/>
      <c r="T27" s="8">
        <f t="shared" ref="T27:V27" si="20">+T13/T11</f>
        <v>0.49608009628346844</v>
      </c>
      <c r="U27" s="8">
        <f t="shared" si="20"/>
        <v>0.50201687238131654</v>
      </c>
      <c r="V27" s="8">
        <f t="shared" si="20"/>
        <v>0.50531193273818342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54" x14ac:dyDescent="0.2">
      <c r="B28" s="2" t="s">
        <v>33</v>
      </c>
      <c r="C28" s="8" t="e">
        <f t="shared" ref="C28:H28" si="21">+C16/C11</f>
        <v>#DIV/0!</v>
      </c>
      <c r="D28" s="8">
        <f t="shared" si="21"/>
        <v>0.10667418872182292</v>
      </c>
      <c r="E28" s="8">
        <f t="shared" si="21"/>
        <v>0.1365083906286301</v>
      </c>
      <c r="F28" s="8" t="e">
        <f t="shared" si="21"/>
        <v>#DIV/0!</v>
      </c>
      <c r="G28" s="8">
        <f t="shared" si="21"/>
        <v>5.8028629240683541E-2</v>
      </c>
      <c r="H28" s="8">
        <f t="shared" si="21"/>
        <v>-4.174002707612879E-2</v>
      </c>
      <c r="I28" s="8">
        <f>+I16/I11</f>
        <v>0.12078221188106913</v>
      </c>
      <c r="J28" s="8">
        <f t="shared" ref="J28:N28" si="22">+J16/J11</f>
        <v>0.12522581427647786</v>
      </c>
      <c r="K28" s="8">
        <f t="shared" si="22"/>
        <v>5.9744210304553153E-2</v>
      </c>
      <c r="L28" s="8">
        <f t="shared" si="22"/>
        <v>-3.8977539711125692E-2</v>
      </c>
      <c r="M28" s="8">
        <f t="shared" si="22"/>
        <v>7.1426981477064874E-2</v>
      </c>
      <c r="N28" s="8" t="e">
        <f t="shared" si="22"/>
        <v>#DIV/0!</v>
      </c>
      <c r="O28" s="8">
        <f t="shared" ref="O28:P28" si="23">+O16/O11</f>
        <v>5.3905390539053959E-2</v>
      </c>
      <c r="P28" s="8">
        <f t="shared" si="23"/>
        <v>5.0270036232709689E-2</v>
      </c>
      <c r="Q28" s="8"/>
      <c r="R28" s="8"/>
      <c r="S28" s="3"/>
      <c r="T28" s="8">
        <f t="shared" ref="T28:V28" si="24">+T16/T11</f>
        <v>8.8977900053423889E-2</v>
      </c>
      <c r="U28" s="8">
        <f t="shared" si="24"/>
        <v>8.0372394081545256E-2</v>
      </c>
      <c r="V28" s="8">
        <f t="shared" si="24"/>
        <v>6.094130397477332E-2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54" x14ac:dyDescent="0.2">
      <c r="B29" s="2" t="s">
        <v>34</v>
      </c>
      <c r="C29" s="8" t="e">
        <f t="shared" ref="C29:H29" si="25">+C20/C19</f>
        <v>#DIV/0!</v>
      </c>
      <c r="D29" s="8">
        <f t="shared" si="25"/>
        <v>0.22196567446590379</v>
      </c>
      <c r="E29" s="8">
        <f t="shared" si="25"/>
        <v>0.23954361449677838</v>
      </c>
      <c r="F29" s="8" t="e">
        <f t="shared" si="25"/>
        <v>#DIV/0!</v>
      </c>
      <c r="G29" s="8">
        <f t="shared" si="25"/>
        <v>0.21882213891299937</v>
      </c>
      <c r="H29" s="8">
        <f t="shared" si="25"/>
        <v>0.21632625817647866</v>
      </c>
      <c r="I29" s="8">
        <f>+I20/I19</f>
        <v>0.24357317850790342</v>
      </c>
      <c r="J29" s="8">
        <f t="shared" ref="J29:N29" si="26">+J20/J19</f>
        <v>0.26656463874248199</v>
      </c>
      <c r="K29" s="8">
        <f t="shared" si="26"/>
        <v>0.23011881332458628</v>
      </c>
      <c r="L29" s="8">
        <f t="shared" si="26"/>
        <v>0.38537585146784065</v>
      </c>
      <c r="M29" s="8">
        <f t="shared" si="26"/>
        <v>0.2674113934749538</v>
      </c>
      <c r="N29" s="8" t="e">
        <f t="shared" si="26"/>
        <v>#DIV/0!</v>
      </c>
      <c r="O29" s="8">
        <f t="shared" ref="O29:P29" si="27">+O20/O19</f>
        <v>0.27425803312673169</v>
      </c>
      <c r="P29" s="8">
        <f t="shared" si="27"/>
        <v>0.26821000413393975</v>
      </c>
      <c r="Q29" s="8"/>
      <c r="R29" s="8"/>
      <c r="S29" s="3"/>
      <c r="T29" s="8">
        <f t="shared" ref="T29:V29" si="28">+T20/T19</f>
        <v>0.22928827193799975</v>
      </c>
      <c r="U29" s="8">
        <f t="shared" si="28"/>
        <v>0.25123160969458774</v>
      </c>
      <c r="V29" s="8">
        <f t="shared" si="28"/>
        <v>0.22819914294673016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1:54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1:54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1:54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3:54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3:54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3:54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3:54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3:54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3:54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3:54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3:54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3:54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3:54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3:54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3:54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3:54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3:54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3:54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3:54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3:54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3:54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3:54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3:54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3:54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3:54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3:54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3:54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3:54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3:54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3:54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3:54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3:54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3:54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3:54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3:54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3:54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3:54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3:54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3:54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3:54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3:54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3:54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3:54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3:54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3:54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3:54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3:54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3:54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3:54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3:54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3:54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3:54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3:54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3:54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3:54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3:54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3:54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3:54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3:54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3:54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3:54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3:54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3:54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3:54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3:54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3:54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3:54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3:54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3:54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3:54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3:54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3:54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3:54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3:54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3:54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3:54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3:54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3:54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3:54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3:54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3:54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3:54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3:54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3:54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3:54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3:54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3:54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3:54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3:54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3:54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3:54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3:54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3:54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3:54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3:54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3:54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3:54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3:54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3:54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3:54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3:54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3:54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3:54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3:54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3:54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3:54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3:54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3:54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3:54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3:54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3:54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3:54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3:54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3:54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3:54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3:54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3:54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3:54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3:54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3:54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3:54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3:54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3:54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3:54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3:54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3:54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3:54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3:54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3:54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3:54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3:54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3:54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3:54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3:54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3:54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3:54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3:54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3:54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3:54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3:54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3:54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3:54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3:54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3:54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3:54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3:54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3:54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3:54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3:54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3:54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3:54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3:54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3:54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3:54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3:54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3:54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3:54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3:54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3:54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3:54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3:54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3:54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3:54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3:54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3:54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3:54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3:54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3:54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3:54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3:54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3:54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3:54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3:54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3:54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3:54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3:54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3:54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3:54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3:54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3:54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3:54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3:54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3:54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3:54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3:54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3:54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3:54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3:54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3:54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3:54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3:54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3:54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3:54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3:54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3:54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3:54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3:54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3:54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3:54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3:54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3:54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3:54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3:54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3:54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3:54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3:54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3:54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3:54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3:54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3:54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3:54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3:54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3:54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3:54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3:54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3:54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3:54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3:54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3:54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3:54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3:54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3:54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3:54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3:54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3:54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3:54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3:54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3:54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3:54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3:54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3:54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3:54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3:54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3:54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3:54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3:54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3:54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3:54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3:54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3:54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3:54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3:54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3:54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3:54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3:54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3:54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3:54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3:54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3:54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3:54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3:54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3:54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3:54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3:54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3:54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3:54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3:54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3:54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3:54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3:54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3:54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3:54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3:54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3:54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3:54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3:54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3:54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3:54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3:54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3:54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3:54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3:54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3:54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spans="3:54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spans="3:54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spans="3:54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spans="3:54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spans="3:54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spans="3:54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spans="3:54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spans="3:54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spans="3:54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spans="3:54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spans="3:54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spans="3:54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spans="3:54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spans="3:54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spans="3:54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spans="3:54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spans="3:54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spans="3:54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spans="3:54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spans="3:54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spans="3:54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spans="3:54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spans="3:54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spans="3:54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spans="3:54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spans="3:54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spans="3:54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spans="3:54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spans="3:54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spans="3:54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spans="3:54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spans="3:54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spans="3:54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spans="3:54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spans="3:54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spans="3:54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spans="3:54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spans="3:54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spans="3:54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spans="3:54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spans="3:54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spans="3:54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spans="3:54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spans="3:54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spans="3:54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</sheetData>
  <hyperlinks>
    <hyperlink ref="A1" location="Main!A1" display="Main" xr:uid="{58E36728-A6A6-45EA-A9B9-57D79EA830A5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2025-02-01T13:04:24Z</dcterms:created>
  <dcterms:modified xsi:type="dcterms:W3CDTF">2026-09-14T08:56:37Z</dcterms:modified>
</cp:coreProperties>
</file>