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0E53BADD-5C5E-44C8-ABB1-90EE3BB85203}" xr6:coauthVersionLast="47" xr6:coauthVersionMax="47" xr10:uidLastSave="{00000000-0000-0000-0000-000000000000}"/>
  <bookViews>
    <workbookView xWindow="19095" yWindow="0" windowWidth="19410" windowHeight="20925" xr2:uid="{A6951A8C-99BB-4886-819E-09AAB4EBDA6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5" i="2" l="1"/>
  <c r="E35" i="2"/>
  <c r="D35" i="2"/>
  <c r="C35" i="2"/>
  <c r="F34" i="2"/>
  <c r="E34" i="2"/>
  <c r="D34" i="2"/>
  <c r="C34" i="2"/>
  <c r="F33" i="2"/>
  <c r="E33" i="2"/>
  <c r="D33" i="2"/>
  <c r="C33" i="2"/>
  <c r="G35" i="2"/>
  <c r="G34" i="2"/>
  <c r="G33" i="2"/>
  <c r="G32" i="2"/>
  <c r="F19" i="2"/>
  <c r="F22" i="2" s="1"/>
  <c r="F25" i="2" s="1"/>
  <c r="F27" i="2" s="1"/>
  <c r="F29" i="2" s="1"/>
  <c r="E19" i="2"/>
  <c r="E22" i="2" s="1"/>
  <c r="E25" i="2" s="1"/>
  <c r="E27" i="2" s="1"/>
  <c r="E29" i="2" s="1"/>
  <c r="D19" i="2"/>
  <c r="D22" i="2" s="1"/>
  <c r="D25" i="2" s="1"/>
  <c r="D27" i="2" s="1"/>
  <c r="D29" i="2" s="1"/>
  <c r="C19" i="2"/>
  <c r="C22" i="2" s="1"/>
  <c r="C25" i="2" s="1"/>
  <c r="C27" i="2" s="1"/>
  <c r="C29" i="2" s="1"/>
  <c r="G24" i="2"/>
  <c r="G19" i="2"/>
  <c r="G22" i="2" s="1"/>
  <c r="G25" i="2" s="1"/>
  <c r="G27" i="2" s="1"/>
  <c r="G29" i="2" s="1"/>
  <c r="I7" i="1"/>
  <c r="I6" i="1"/>
  <c r="I4" i="1"/>
</calcChain>
</file>

<file path=xl/sharedStrings.xml><?xml version="1.0" encoding="utf-8"?>
<sst xmlns="http://schemas.openxmlformats.org/spreadsheetml/2006/main" count="53" uniqueCount="48">
  <si>
    <t>Churchill Downs</t>
  </si>
  <si>
    <t>numbers in mio USD</t>
  </si>
  <si>
    <t>IR</t>
  </si>
  <si>
    <t>CHDN</t>
  </si>
  <si>
    <t>Price</t>
  </si>
  <si>
    <t>Shares</t>
  </si>
  <si>
    <t>MC</t>
  </si>
  <si>
    <t>Cash</t>
  </si>
  <si>
    <t>Debt</t>
  </si>
  <si>
    <t>EV</t>
  </si>
  <si>
    <t>Q126</t>
  </si>
  <si>
    <t>Main</t>
  </si>
  <si>
    <t>Q125</t>
  </si>
  <si>
    <t>Q225</t>
  </si>
  <si>
    <t>Q325</t>
  </si>
  <si>
    <t>Q425</t>
  </si>
  <si>
    <t>Q226</t>
  </si>
  <si>
    <t>Q326</t>
  </si>
  <si>
    <t>Q426</t>
  </si>
  <si>
    <t>EPS</t>
  </si>
  <si>
    <t>Revenue</t>
  </si>
  <si>
    <t>Live&amp;Historical Racing</t>
  </si>
  <si>
    <t>Wagering Services</t>
  </si>
  <si>
    <t>Gaming</t>
  </si>
  <si>
    <t>Other</t>
  </si>
  <si>
    <t>Racing COGS</t>
  </si>
  <si>
    <t>Wagering COGS</t>
  </si>
  <si>
    <t>Gaming COGS</t>
  </si>
  <si>
    <t>Other COGS</t>
  </si>
  <si>
    <t>Gross Profit</t>
  </si>
  <si>
    <t>SG&amp;A</t>
  </si>
  <si>
    <t>Transaction Expense</t>
  </si>
  <si>
    <t>Operating Income</t>
  </si>
  <si>
    <t>Interest Expense</t>
  </si>
  <si>
    <t>Pretax Income</t>
  </si>
  <si>
    <t>Tax Expense</t>
  </si>
  <si>
    <t>Net Income</t>
  </si>
  <si>
    <t>Churchill Downs Racetrack</t>
  </si>
  <si>
    <t>Louisville</t>
  </si>
  <si>
    <t>Northern Kentucky</t>
  </si>
  <si>
    <t>Southwestern Kentucky</t>
  </si>
  <si>
    <t>Western Kentucky</t>
  </si>
  <si>
    <t>Virginia</t>
  </si>
  <si>
    <t>New Hampshire</t>
  </si>
  <si>
    <t>Revenue Growth</t>
  </si>
  <si>
    <t>Gross Margin</t>
  </si>
  <si>
    <t>Operating Margin</t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</si>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</sst>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"/>
    <numFmt numFmtId="165" formatCode="#,##0.00;\(#,##0.00\)"/>
    <numFmt numFmtId="166" formatCode="#,##0;\(#,##0\)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0" fontId="3" fillId="0" borderId="0" xfId="2"/>
    <xf numFmtId="166" fontId="2" fillId="0" borderId="0" xfId="0" applyNumberFormat="1" applyFont="1"/>
    <xf numFmtId="9" fontId="0" fillId="0" borderId="0" xfId="1" applyFont="1"/>
    <xf numFmtId="9" fontId="2" fillId="0" borderId="0" xfId="1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9ACD-BD57-4F9C-82D9-92EF37CB3946}">
  <dimension ref="A1:J7"/>
  <sheetViews>
    <sheetView tabSelected="1" topLeftCell="B1" zoomScale="200" zoomScaleNormal="200" workbookViewId="0">
      <selection activeCell="I5" sqref="I5"/>
    </sheetView>
  </sheetViews>
  <sheetFormatPr defaultRowHeight="12.75" x14ac:dyDescent="0.2"/>
  <cols>
    <col min="1" max="1" width="4.42578125" customWidth="1"/>
  </cols>
  <sheetData>
    <row r="1" spans="1:10" x14ac:dyDescent="0.2">
      <c r="A1" s="1" t="s">
        <v>0</v>
      </c>
    </row>
    <row r="2" spans="1:10" x14ac:dyDescent="0.2">
      <c r="A2" t="s">
        <v>1</v>
      </c>
      <c r="H2" t="s">
        <v>4</v>
      </c>
      <c r="I2" s="2">
        <v>84.96</v>
      </c>
    </row>
    <row r="3" spans="1:10" x14ac:dyDescent="0.2">
      <c r="H3" t="s">
        <v>5</v>
      </c>
      <c r="I3" s="5">
        <v>69.696907999999993</v>
      </c>
      <c r="J3" s="3" t="s">
        <v>10</v>
      </c>
    </row>
    <row r="4" spans="1:10" x14ac:dyDescent="0.2">
      <c r="B4" t="s">
        <v>2</v>
      </c>
      <c r="H4" t="s">
        <v>6</v>
      </c>
      <c r="I4" s="5">
        <f>+I2*I3</f>
        <v>5921.4493036799986</v>
      </c>
    </row>
    <row r="5" spans="1:10" x14ac:dyDescent="0.2">
      <c r="B5" t="s">
        <v>3</v>
      </c>
      <c r="H5" t="s">
        <v>7</v>
      </c>
      <c r="I5" s="5">
        <v>200</v>
      </c>
      <c r="J5" s="3" t="s">
        <v>10</v>
      </c>
    </row>
    <row r="6" spans="1:10" x14ac:dyDescent="0.2">
      <c r="H6" t="s">
        <v>8</v>
      </c>
      <c r="I6" s="5">
        <f>1783+63</f>
        <v>1846</v>
      </c>
      <c r="J6" s="3" t="s">
        <v>10</v>
      </c>
    </row>
    <row r="7" spans="1:10" x14ac:dyDescent="0.2">
      <c r="H7" t="s">
        <v>9</v>
      </c>
      <c r="I7" s="5">
        <f>+I4-I5+I6</f>
        <v>7567.4493036799986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138D-51CD-40AB-9DFD-3A32A1B3C73B}">
  <dimension ref="A1:AC992"/>
  <sheetViews>
    <sheetView zoomScale="200" zoomScaleNormal="200" workbookViewId="0">
      <pane xSplit="2" ySplit="2" topLeftCell="C8" activePane="bottomRight" state="frozen"/>
      <selection pane="topRight" activeCell="C1" sqref="C1"/>
      <selection pane="bottomLeft" activeCell="A3" sqref="A3"/>
      <selection pane="bottomRight" activeCell="G27" sqref="G27"/>
    </sheetView>
  </sheetViews>
  <sheetFormatPr defaultRowHeight="12.75" x14ac:dyDescent="0.2"/>
  <cols>
    <col min="1" max="1" width="5" bestFit="1" customWidth="1"/>
    <col min="2" max="2" width="24" customWidth="1"/>
  </cols>
  <sheetData>
    <row r="1" spans="1:29" x14ac:dyDescent="0.2">
      <c r="A1" s="6" t="s">
        <v>11</v>
      </c>
    </row>
    <row r="2" spans="1:29" x14ac:dyDescent="0.2">
      <c r="C2" s="3" t="s">
        <v>12</v>
      </c>
      <c r="D2" s="3" t="s">
        <v>13</v>
      </c>
      <c r="E2" s="3" t="s">
        <v>14</v>
      </c>
      <c r="F2" s="3" t="s">
        <v>15</v>
      </c>
      <c r="G2" s="3" t="s">
        <v>10</v>
      </c>
      <c r="H2" s="3" t="s">
        <v>16</v>
      </c>
      <c r="I2" s="3" t="s">
        <v>17</v>
      </c>
      <c r="J2" s="3" t="s">
        <v>18</v>
      </c>
    </row>
    <row r="3" spans="1:29" x14ac:dyDescent="0.2">
      <c r="B3" t="s">
        <v>37</v>
      </c>
      <c r="C3" s="5">
        <v>4</v>
      </c>
      <c r="D3" s="5"/>
      <c r="E3" s="5"/>
      <c r="F3" s="5"/>
      <c r="G3" s="5">
        <v>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9" x14ac:dyDescent="0.2">
      <c r="B4" t="s">
        <v>38</v>
      </c>
      <c r="C4" s="5">
        <v>62</v>
      </c>
      <c r="D4" s="5"/>
      <c r="E4" s="5"/>
      <c r="F4" s="5"/>
      <c r="G4" s="5">
        <v>55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9" x14ac:dyDescent="0.2">
      <c r="B5" t="s">
        <v>39</v>
      </c>
      <c r="C5" s="5">
        <v>31</v>
      </c>
      <c r="D5" s="5"/>
      <c r="E5" s="5"/>
      <c r="F5" s="5"/>
      <c r="G5" s="5">
        <v>36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9" x14ac:dyDescent="0.2">
      <c r="B6" t="s">
        <v>40</v>
      </c>
      <c r="C6" s="5">
        <v>41</v>
      </c>
      <c r="D6" s="5"/>
      <c r="E6" s="5"/>
      <c r="F6" s="5"/>
      <c r="G6" s="5">
        <v>44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9" x14ac:dyDescent="0.2">
      <c r="B7" t="s">
        <v>41</v>
      </c>
      <c r="C7" s="5">
        <v>12</v>
      </c>
      <c r="D7" s="5"/>
      <c r="E7" s="5"/>
      <c r="F7" s="5"/>
      <c r="G7" s="5">
        <v>19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9" x14ac:dyDescent="0.2">
      <c r="B8" t="s">
        <v>42</v>
      </c>
      <c r="C8" s="5">
        <v>130</v>
      </c>
      <c r="D8" s="5"/>
      <c r="E8" s="5"/>
      <c r="F8" s="5"/>
      <c r="G8" s="5">
        <v>133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9" x14ac:dyDescent="0.2">
      <c r="B9" t="s">
        <v>43</v>
      </c>
      <c r="C9" s="5">
        <v>3</v>
      </c>
      <c r="D9" s="5"/>
      <c r="E9" s="5"/>
      <c r="F9" s="5"/>
      <c r="G9" s="5">
        <v>7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9" x14ac:dyDescent="0.2">
      <c r="B10" t="s">
        <v>21</v>
      </c>
      <c r="C10" s="5">
        <v>273</v>
      </c>
      <c r="D10" s="5"/>
      <c r="E10" s="5"/>
      <c r="F10" s="5"/>
      <c r="G10" s="5">
        <v>297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 spans="1:29" x14ac:dyDescent="0.2">
      <c r="B11" t="s">
        <v>22</v>
      </c>
      <c r="C11" s="5">
        <v>107</v>
      </c>
      <c r="D11" s="5"/>
      <c r="E11" s="5"/>
      <c r="F11" s="5"/>
      <c r="G11" s="5">
        <v>109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x14ac:dyDescent="0.2">
      <c r="B12" t="s">
        <v>23</v>
      </c>
      <c r="C12" s="5">
        <v>263</v>
      </c>
      <c r="D12" s="5"/>
      <c r="E12" s="5"/>
      <c r="F12" s="5"/>
      <c r="G12" s="5">
        <v>257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x14ac:dyDescent="0.2">
      <c r="B13" t="s">
        <v>24</v>
      </c>
      <c r="C13" s="5">
        <v>0</v>
      </c>
      <c r="D13" s="5"/>
      <c r="E13" s="5"/>
      <c r="F13" s="5"/>
      <c r="G13" s="5"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x14ac:dyDescent="0.2">
      <c r="B14" s="1" t="s">
        <v>20</v>
      </c>
      <c r="C14" s="7">
        <v>643</v>
      </c>
      <c r="D14" s="5"/>
      <c r="E14" s="5"/>
      <c r="F14" s="5"/>
      <c r="G14" s="7">
        <v>663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x14ac:dyDescent="0.2">
      <c r="B15" t="s">
        <v>25</v>
      </c>
      <c r="C15" s="5">
        <v>190</v>
      </c>
      <c r="D15" s="5"/>
      <c r="E15" s="5"/>
      <c r="F15" s="5"/>
      <c r="G15" s="5">
        <v>199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x14ac:dyDescent="0.2">
      <c r="B16" t="s">
        <v>26</v>
      </c>
      <c r="C16" s="5">
        <v>67</v>
      </c>
      <c r="D16" s="5"/>
      <c r="E16" s="5"/>
      <c r="F16" s="5"/>
      <c r="G16" s="5">
        <v>68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2:29" x14ac:dyDescent="0.2">
      <c r="B17" t="s">
        <v>27</v>
      </c>
      <c r="C17" s="5">
        <v>192</v>
      </c>
      <c r="D17" s="5"/>
      <c r="E17" s="5"/>
      <c r="F17" s="5"/>
      <c r="G17" s="5">
        <v>188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2:29" x14ac:dyDescent="0.2">
      <c r="B18" t="s">
        <v>28</v>
      </c>
      <c r="C18" s="5">
        <v>4</v>
      </c>
      <c r="D18" s="5"/>
      <c r="E18" s="5"/>
      <c r="F18" s="5"/>
      <c r="G18" s="5">
        <v>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2:29" x14ac:dyDescent="0.2">
      <c r="B19" t="s">
        <v>29</v>
      </c>
      <c r="C19" s="5">
        <f t="shared" ref="C19:F19" si="0">+C14-SUM(C15:C18)</f>
        <v>190</v>
      </c>
      <c r="D19" s="5">
        <f t="shared" si="0"/>
        <v>0</v>
      </c>
      <c r="E19" s="5">
        <f t="shared" si="0"/>
        <v>0</v>
      </c>
      <c r="F19" s="5">
        <f t="shared" si="0"/>
        <v>0</v>
      </c>
      <c r="G19" s="5">
        <f>+G14-SUM(G15:G18)</f>
        <v>203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2:29" x14ac:dyDescent="0.2">
      <c r="B20" t="s">
        <v>30</v>
      </c>
      <c r="C20" s="5">
        <v>55</v>
      </c>
      <c r="D20" s="5"/>
      <c r="E20" s="5"/>
      <c r="F20" s="5"/>
      <c r="G20" s="5">
        <v>59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2:29" x14ac:dyDescent="0.2">
      <c r="B21" t="s">
        <v>31</v>
      </c>
      <c r="C21" s="5">
        <v>0</v>
      </c>
      <c r="D21" s="5"/>
      <c r="E21" s="5"/>
      <c r="F21" s="5"/>
      <c r="G21" s="5">
        <v>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2:29" x14ac:dyDescent="0.2">
      <c r="B22" t="s">
        <v>32</v>
      </c>
      <c r="C22" s="5">
        <f t="shared" ref="C22:F22" si="1">+C19-C20-C21</f>
        <v>135</v>
      </c>
      <c r="D22" s="5">
        <f t="shared" si="1"/>
        <v>0</v>
      </c>
      <c r="E22" s="5">
        <f t="shared" si="1"/>
        <v>0</v>
      </c>
      <c r="F22" s="5">
        <f t="shared" si="1"/>
        <v>0</v>
      </c>
      <c r="G22" s="5">
        <f>+G19-G20-G21</f>
        <v>143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2:29" x14ac:dyDescent="0.2">
      <c r="B23" t="s">
        <v>33</v>
      </c>
      <c r="C23" s="5">
        <v>72</v>
      </c>
      <c r="D23" s="5"/>
      <c r="E23" s="5"/>
      <c r="F23" s="5"/>
      <c r="G23" s="5">
        <v>72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2:29" x14ac:dyDescent="0.2">
      <c r="B24" t="s">
        <v>24</v>
      </c>
      <c r="C24" s="5">
        <v>33</v>
      </c>
      <c r="D24" s="5"/>
      <c r="E24" s="5"/>
      <c r="F24" s="5"/>
      <c r="G24" s="5">
        <f>36+6</f>
        <v>42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2:29" x14ac:dyDescent="0.2">
      <c r="B25" t="s">
        <v>34</v>
      </c>
      <c r="C25" s="5">
        <f t="shared" ref="C25:F25" si="2">+C22-C23+C24</f>
        <v>96</v>
      </c>
      <c r="D25" s="5">
        <f t="shared" si="2"/>
        <v>0</v>
      </c>
      <c r="E25" s="5">
        <f t="shared" si="2"/>
        <v>0</v>
      </c>
      <c r="F25" s="5">
        <f t="shared" si="2"/>
        <v>0</v>
      </c>
      <c r="G25" s="5">
        <f>+G22-G23+G24</f>
        <v>113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2:29" x14ac:dyDescent="0.2">
      <c r="B26" t="s">
        <v>35</v>
      </c>
      <c r="C26" s="5">
        <v>19</v>
      </c>
      <c r="D26" s="5"/>
      <c r="E26" s="5"/>
      <c r="F26" s="5"/>
      <c r="G26" s="5">
        <v>30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2:29" x14ac:dyDescent="0.2">
      <c r="B27" t="s">
        <v>36</v>
      </c>
      <c r="C27" s="5">
        <f t="shared" ref="C27:F27" si="3">+C25-C26</f>
        <v>77</v>
      </c>
      <c r="D27" s="5">
        <f t="shared" si="3"/>
        <v>0</v>
      </c>
      <c r="E27" s="5">
        <f t="shared" si="3"/>
        <v>0</v>
      </c>
      <c r="F27" s="5">
        <f t="shared" si="3"/>
        <v>0</v>
      </c>
      <c r="G27" s="5">
        <f>+G25-G26</f>
        <v>83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2:29" x14ac:dyDescent="0.2"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2:29" x14ac:dyDescent="0.2">
      <c r="B29" t="s">
        <v>19</v>
      </c>
      <c r="C29" s="4">
        <f t="shared" ref="C29:F29" si="4">+C27/C30</f>
        <v>1.0405405405405406</v>
      </c>
      <c r="D29" s="4" t="e">
        <f t="shared" si="4"/>
        <v>#DIV/0!</v>
      </c>
      <c r="E29" s="4" t="e">
        <f t="shared" si="4"/>
        <v>#DIV/0!</v>
      </c>
      <c r="F29" s="4" t="e">
        <f t="shared" si="4"/>
        <v>#DIV/0!</v>
      </c>
      <c r="G29" s="4">
        <f>+G27/G30</f>
        <v>1.1857142857142857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2:29" x14ac:dyDescent="0.2">
      <c r="B30" t="s">
        <v>5</v>
      </c>
      <c r="C30" s="5">
        <v>74</v>
      </c>
      <c r="D30" s="5"/>
      <c r="E30" s="5"/>
      <c r="F30" s="5"/>
      <c r="G30" s="5">
        <v>70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2:29" x14ac:dyDescent="0.2"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2:29" x14ac:dyDescent="0.2">
      <c r="B32" s="1" t="s">
        <v>44</v>
      </c>
      <c r="C32" s="7"/>
      <c r="D32" s="7"/>
      <c r="E32" s="7"/>
      <c r="F32" s="7"/>
      <c r="G32" s="9">
        <f>+G14/C14-1</f>
        <v>3.1104199066874116E-2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2:29" x14ac:dyDescent="0.2">
      <c r="B33" t="s">
        <v>45</v>
      </c>
      <c r="C33" s="8">
        <f t="shared" ref="C33:G33" si="5">+C19/C14</f>
        <v>0.29548989113530327</v>
      </c>
      <c r="D33" s="8" t="e">
        <f t="shared" si="5"/>
        <v>#DIV/0!</v>
      </c>
      <c r="E33" s="8" t="e">
        <f t="shared" si="5"/>
        <v>#DIV/0!</v>
      </c>
      <c r="F33" s="8" t="e">
        <f t="shared" si="5"/>
        <v>#DIV/0!</v>
      </c>
      <c r="G33" s="8">
        <f>+G19/G14</f>
        <v>0.30618401206636503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2:29" x14ac:dyDescent="0.2">
      <c r="B34" t="s">
        <v>46</v>
      </c>
      <c r="C34" s="8">
        <f t="shared" ref="C34:G34" si="6">+C22/C14</f>
        <v>0.2099533437013997</v>
      </c>
      <c r="D34" s="8" t="e">
        <f t="shared" si="6"/>
        <v>#DIV/0!</v>
      </c>
      <c r="E34" s="8" t="e">
        <f t="shared" si="6"/>
        <v>#DIV/0!</v>
      </c>
      <c r="F34" s="8" t="e">
        <f t="shared" si="6"/>
        <v>#DIV/0!</v>
      </c>
      <c r="G34" s="8">
        <f>+G22/G14</f>
        <v>0.21568627450980393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2:29" x14ac:dyDescent="0.2">
      <c r="B35" t="s">
        <v>47</v>
      </c>
      <c r="C35" s="8">
        <f t="shared" ref="C35:G35" si="7">+C26/C25</f>
        <v>0.19791666666666666</v>
      </c>
      <c r="D35" s="8" t="e">
        <f t="shared" si="7"/>
        <v>#DIV/0!</v>
      </c>
      <c r="E35" s="8" t="e">
        <f t="shared" si="7"/>
        <v>#DIV/0!</v>
      </c>
      <c r="F35" s="8" t="e">
        <f t="shared" si="7"/>
        <v>#DIV/0!</v>
      </c>
      <c r="G35" s="8">
        <f>+G26/G25</f>
        <v>0.26548672566371684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2:29" x14ac:dyDescent="0.2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2:29" x14ac:dyDescent="0.2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2:29" x14ac:dyDescent="0.2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2:29" x14ac:dyDescent="0.2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2:29" x14ac:dyDescent="0.2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2:29" x14ac:dyDescent="0.2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2:29" x14ac:dyDescent="0.2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2:29" x14ac:dyDescent="0.2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2:29" x14ac:dyDescent="0.2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2:29" x14ac:dyDescent="0.2"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2:29" x14ac:dyDescent="0.2"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2:29" x14ac:dyDescent="0.2"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2:29" x14ac:dyDescent="0.2"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3:29" x14ac:dyDescent="0.2"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3:29" x14ac:dyDescent="0.2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3:29" x14ac:dyDescent="0.2"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3:29" x14ac:dyDescent="0.2"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3:29" x14ac:dyDescent="0.2"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3:29" x14ac:dyDescent="0.2"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3:29" x14ac:dyDescent="0.2"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3:29" x14ac:dyDescent="0.2"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3:29" x14ac:dyDescent="0.2"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3:29" x14ac:dyDescent="0.2"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3:29" x14ac:dyDescent="0.2"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3:29" x14ac:dyDescent="0.2"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3:29" x14ac:dyDescent="0.2"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3:29" x14ac:dyDescent="0.2"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3:29" x14ac:dyDescent="0.2"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3:29" x14ac:dyDescent="0.2"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3:29" x14ac:dyDescent="0.2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3:29" x14ac:dyDescent="0.2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3:29" x14ac:dyDescent="0.2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3:29" x14ac:dyDescent="0.2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3:29" x14ac:dyDescent="0.2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3:29" x14ac:dyDescent="0.2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3:29" x14ac:dyDescent="0.2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3:29" x14ac:dyDescent="0.2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3:29" x14ac:dyDescent="0.2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3:29" x14ac:dyDescent="0.2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3:29" x14ac:dyDescent="0.2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3:29" x14ac:dyDescent="0.2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3:29" x14ac:dyDescent="0.2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3:29" x14ac:dyDescent="0.2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3:29" x14ac:dyDescent="0.2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3:29" x14ac:dyDescent="0.2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3:29" x14ac:dyDescent="0.2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3:29" x14ac:dyDescent="0.2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3:29" x14ac:dyDescent="0.2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3:29" x14ac:dyDescent="0.2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3:29" x14ac:dyDescent="0.2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3:29" x14ac:dyDescent="0.2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3:29" x14ac:dyDescent="0.2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3:29" x14ac:dyDescent="0.2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3:29" x14ac:dyDescent="0.2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3:29" x14ac:dyDescent="0.2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3:29" x14ac:dyDescent="0.2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3:29" x14ac:dyDescent="0.2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3:29" x14ac:dyDescent="0.2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3:29" x14ac:dyDescent="0.2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3:29" x14ac:dyDescent="0.2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3:29" x14ac:dyDescent="0.2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3:29" x14ac:dyDescent="0.2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3:29" x14ac:dyDescent="0.2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3:29" x14ac:dyDescent="0.2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3:29" x14ac:dyDescent="0.2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3:29" x14ac:dyDescent="0.2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3:29" x14ac:dyDescent="0.2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3:29" x14ac:dyDescent="0.2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3:29" x14ac:dyDescent="0.2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3:29" x14ac:dyDescent="0.2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3:29" x14ac:dyDescent="0.2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3:29" x14ac:dyDescent="0.2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3:29" x14ac:dyDescent="0.2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3:29" x14ac:dyDescent="0.2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3:29" x14ac:dyDescent="0.2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3:29" x14ac:dyDescent="0.2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3:29" x14ac:dyDescent="0.2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3:29" x14ac:dyDescent="0.2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3:29" x14ac:dyDescent="0.2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3:29" x14ac:dyDescent="0.2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3:29" x14ac:dyDescent="0.2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3:29" x14ac:dyDescent="0.2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3:29" x14ac:dyDescent="0.2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3:29" x14ac:dyDescent="0.2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3:29" x14ac:dyDescent="0.2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3:29" x14ac:dyDescent="0.2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3:29" x14ac:dyDescent="0.2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3:29" x14ac:dyDescent="0.2"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3:29" x14ac:dyDescent="0.2"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3:29" x14ac:dyDescent="0.2"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3:29" x14ac:dyDescent="0.2"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3:29" x14ac:dyDescent="0.2"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3:29" x14ac:dyDescent="0.2"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3:29" x14ac:dyDescent="0.2"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3:29" x14ac:dyDescent="0.2"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3:29" x14ac:dyDescent="0.2"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3:29" x14ac:dyDescent="0.2"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3:29" x14ac:dyDescent="0.2"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3:29" x14ac:dyDescent="0.2"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3:29" x14ac:dyDescent="0.2"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3:29" x14ac:dyDescent="0.2"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3:29" x14ac:dyDescent="0.2"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3:29" x14ac:dyDescent="0.2"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3:29" x14ac:dyDescent="0.2"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3:29" x14ac:dyDescent="0.2"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3:29" x14ac:dyDescent="0.2"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3:29" x14ac:dyDescent="0.2"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3:29" x14ac:dyDescent="0.2"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3:29" x14ac:dyDescent="0.2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3:29" x14ac:dyDescent="0.2"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3:29" x14ac:dyDescent="0.2"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3:29" x14ac:dyDescent="0.2"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3:29" x14ac:dyDescent="0.2"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3:29" x14ac:dyDescent="0.2"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3:29" x14ac:dyDescent="0.2"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3:29" x14ac:dyDescent="0.2"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3:29" x14ac:dyDescent="0.2"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3:29" x14ac:dyDescent="0.2"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3:29" x14ac:dyDescent="0.2"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3:29" x14ac:dyDescent="0.2"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3:29" x14ac:dyDescent="0.2"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3:29" x14ac:dyDescent="0.2"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3:29" x14ac:dyDescent="0.2"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3:29" x14ac:dyDescent="0.2"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3:29" x14ac:dyDescent="0.2"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3:29" x14ac:dyDescent="0.2"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3:29" x14ac:dyDescent="0.2"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3:29" x14ac:dyDescent="0.2"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3:29" x14ac:dyDescent="0.2"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3:29" x14ac:dyDescent="0.2"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3:29" x14ac:dyDescent="0.2"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3:29" x14ac:dyDescent="0.2"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3:29" x14ac:dyDescent="0.2"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3:29" x14ac:dyDescent="0.2"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3:29" x14ac:dyDescent="0.2"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3:29" x14ac:dyDescent="0.2"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3:29" x14ac:dyDescent="0.2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3:29" x14ac:dyDescent="0.2"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3:29" x14ac:dyDescent="0.2"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3:29" x14ac:dyDescent="0.2"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3:29" x14ac:dyDescent="0.2"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3:29" x14ac:dyDescent="0.2"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3:29" x14ac:dyDescent="0.2"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3:29" x14ac:dyDescent="0.2"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3:29" x14ac:dyDescent="0.2"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3:29" x14ac:dyDescent="0.2"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3:29" x14ac:dyDescent="0.2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3:29" x14ac:dyDescent="0.2"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3:29" x14ac:dyDescent="0.2"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3:29" x14ac:dyDescent="0.2"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3:29" x14ac:dyDescent="0.2"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3:29" x14ac:dyDescent="0.2"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3:29" x14ac:dyDescent="0.2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3:29" x14ac:dyDescent="0.2"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3:29" x14ac:dyDescent="0.2"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3:29" x14ac:dyDescent="0.2"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3:29" x14ac:dyDescent="0.2"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3:29" x14ac:dyDescent="0.2"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3:29" x14ac:dyDescent="0.2"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3:29" x14ac:dyDescent="0.2"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3:29" x14ac:dyDescent="0.2"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3:29" x14ac:dyDescent="0.2"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3:29" x14ac:dyDescent="0.2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3:29" x14ac:dyDescent="0.2"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3:29" x14ac:dyDescent="0.2"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3:29" x14ac:dyDescent="0.2"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3:29" x14ac:dyDescent="0.2"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3:29" x14ac:dyDescent="0.2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3:29" x14ac:dyDescent="0.2"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3:29" x14ac:dyDescent="0.2"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3:29" x14ac:dyDescent="0.2"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3:29" x14ac:dyDescent="0.2"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3:29" x14ac:dyDescent="0.2"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3:29" x14ac:dyDescent="0.2"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3:29" x14ac:dyDescent="0.2"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3:29" x14ac:dyDescent="0.2"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3:29" x14ac:dyDescent="0.2"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3:29" x14ac:dyDescent="0.2"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3:29" x14ac:dyDescent="0.2"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3:29" x14ac:dyDescent="0.2"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3:29" x14ac:dyDescent="0.2"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3:29" x14ac:dyDescent="0.2"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3:29" x14ac:dyDescent="0.2"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3:29" x14ac:dyDescent="0.2"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3:29" x14ac:dyDescent="0.2"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3:29" x14ac:dyDescent="0.2"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3:29" x14ac:dyDescent="0.2"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3:29" x14ac:dyDescent="0.2"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3:29" x14ac:dyDescent="0.2"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3:29" x14ac:dyDescent="0.2"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3:29" x14ac:dyDescent="0.2"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3:29" x14ac:dyDescent="0.2"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3:29" x14ac:dyDescent="0.2"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3:29" x14ac:dyDescent="0.2"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3:29" x14ac:dyDescent="0.2"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3:29" x14ac:dyDescent="0.2"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3:29" x14ac:dyDescent="0.2"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3:29" x14ac:dyDescent="0.2"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3:29" x14ac:dyDescent="0.2"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3:29" x14ac:dyDescent="0.2"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3:29" x14ac:dyDescent="0.2"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3:29" x14ac:dyDescent="0.2"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3:29" x14ac:dyDescent="0.2"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3:29" x14ac:dyDescent="0.2"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3:29" x14ac:dyDescent="0.2"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3:29" x14ac:dyDescent="0.2"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3:29" x14ac:dyDescent="0.2"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3:29" x14ac:dyDescent="0.2"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3:29" x14ac:dyDescent="0.2"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3:29" x14ac:dyDescent="0.2"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3:29" x14ac:dyDescent="0.2"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3:29" x14ac:dyDescent="0.2"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3:29" x14ac:dyDescent="0.2"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3:29" x14ac:dyDescent="0.2"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3:29" x14ac:dyDescent="0.2"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3:29" x14ac:dyDescent="0.2"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3:29" x14ac:dyDescent="0.2"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3:29" x14ac:dyDescent="0.2"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3:29" x14ac:dyDescent="0.2"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3:29" x14ac:dyDescent="0.2"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3:29" x14ac:dyDescent="0.2"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3:29" x14ac:dyDescent="0.2"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3:29" x14ac:dyDescent="0.2"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3:29" x14ac:dyDescent="0.2"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3:29" x14ac:dyDescent="0.2"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3:29" x14ac:dyDescent="0.2"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3:29" x14ac:dyDescent="0.2"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3:29" x14ac:dyDescent="0.2"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3:29" x14ac:dyDescent="0.2"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3:29" x14ac:dyDescent="0.2"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3:29" x14ac:dyDescent="0.2"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3:29" x14ac:dyDescent="0.2"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3:29" x14ac:dyDescent="0.2"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3:29" x14ac:dyDescent="0.2"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3:29" x14ac:dyDescent="0.2"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3:29" x14ac:dyDescent="0.2"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3:29" x14ac:dyDescent="0.2"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3:29" x14ac:dyDescent="0.2"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3:29" x14ac:dyDescent="0.2"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3:29" x14ac:dyDescent="0.2"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3:29" x14ac:dyDescent="0.2"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3:29" x14ac:dyDescent="0.2"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3:29" x14ac:dyDescent="0.2"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3:29" x14ac:dyDescent="0.2"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3:29" x14ac:dyDescent="0.2"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3:29" x14ac:dyDescent="0.2"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3:29" x14ac:dyDescent="0.2"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3:29" x14ac:dyDescent="0.2"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3:29" x14ac:dyDescent="0.2"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3:29" x14ac:dyDescent="0.2"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3:29" x14ac:dyDescent="0.2"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3:29" x14ac:dyDescent="0.2"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3:29" x14ac:dyDescent="0.2"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3:29" x14ac:dyDescent="0.2"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3:29" x14ac:dyDescent="0.2"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3:29" x14ac:dyDescent="0.2"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3:29" x14ac:dyDescent="0.2"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3:29" x14ac:dyDescent="0.2"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3:29" x14ac:dyDescent="0.2"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3:29" x14ac:dyDescent="0.2"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3:29" x14ac:dyDescent="0.2"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3:29" x14ac:dyDescent="0.2"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3:29" x14ac:dyDescent="0.2"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3:29" x14ac:dyDescent="0.2"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3:29" x14ac:dyDescent="0.2"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3:29" x14ac:dyDescent="0.2"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3:29" x14ac:dyDescent="0.2"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3:29" x14ac:dyDescent="0.2"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3:29" x14ac:dyDescent="0.2"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3:29" x14ac:dyDescent="0.2"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3:29" x14ac:dyDescent="0.2"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3:29" x14ac:dyDescent="0.2"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3:29" x14ac:dyDescent="0.2"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3:29" x14ac:dyDescent="0.2"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3:29" x14ac:dyDescent="0.2"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3:29" x14ac:dyDescent="0.2"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3:29" x14ac:dyDescent="0.2"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3:29" x14ac:dyDescent="0.2"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3:29" x14ac:dyDescent="0.2"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3:29" x14ac:dyDescent="0.2"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3:29" x14ac:dyDescent="0.2"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3:29" x14ac:dyDescent="0.2"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3:29" x14ac:dyDescent="0.2"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3:29" x14ac:dyDescent="0.2"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3:29" x14ac:dyDescent="0.2"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3:29" x14ac:dyDescent="0.2"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3:29" x14ac:dyDescent="0.2"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3:29" x14ac:dyDescent="0.2"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3:29" x14ac:dyDescent="0.2"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3:29" x14ac:dyDescent="0.2"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3:29" x14ac:dyDescent="0.2"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3:29" x14ac:dyDescent="0.2"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3:29" x14ac:dyDescent="0.2"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3:29" x14ac:dyDescent="0.2"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3:29" x14ac:dyDescent="0.2"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3:29" x14ac:dyDescent="0.2"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3:29" x14ac:dyDescent="0.2"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3:29" x14ac:dyDescent="0.2"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3:29" x14ac:dyDescent="0.2"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3:29" x14ac:dyDescent="0.2"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3:29" x14ac:dyDescent="0.2"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3:29" x14ac:dyDescent="0.2"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3:29" x14ac:dyDescent="0.2"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3:29" x14ac:dyDescent="0.2"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3:29" x14ac:dyDescent="0.2"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3:29" x14ac:dyDescent="0.2"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3:29" x14ac:dyDescent="0.2"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3:29" x14ac:dyDescent="0.2"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3:29" x14ac:dyDescent="0.2"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3:29" x14ac:dyDescent="0.2"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3:29" x14ac:dyDescent="0.2"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3:29" x14ac:dyDescent="0.2"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3:29" x14ac:dyDescent="0.2"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3:29" x14ac:dyDescent="0.2"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3:29" x14ac:dyDescent="0.2"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3:29" x14ac:dyDescent="0.2"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3:29" x14ac:dyDescent="0.2"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3:29" x14ac:dyDescent="0.2"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3:29" x14ac:dyDescent="0.2"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3:29" x14ac:dyDescent="0.2"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3:29" x14ac:dyDescent="0.2"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3:29" x14ac:dyDescent="0.2"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3:29" x14ac:dyDescent="0.2"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3:29" x14ac:dyDescent="0.2"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3:29" x14ac:dyDescent="0.2"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3:29" x14ac:dyDescent="0.2"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3:29" x14ac:dyDescent="0.2"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3:29" x14ac:dyDescent="0.2"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3:29" x14ac:dyDescent="0.2"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3:29" x14ac:dyDescent="0.2"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3:29" x14ac:dyDescent="0.2"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3:29" x14ac:dyDescent="0.2"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3:29" x14ac:dyDescent="0.2"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3:29" x14ac:dyDescent="0.2"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3:29" x14ac:dyDescent="0.2"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3:29" x14ac:dyDescent="0.2"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3:29" x14ac:dyDescent="0.2"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3:29" x14ac:dyDescent="0.2"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3:29" x14ac:dyDescent="0.2"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3:29" x14ac:dyDescent="0.2"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3:29" x14ac:dyDescent="0.2"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3:29" x14ac:dyDescent="0.2"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3:29" x14ac:dyDescent="0.2"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3:29" x14ac:dyDescent="0.2"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3:29" x14ac:dyDescent="0.2"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3:29" x14ac:dyDescent="0.2"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3:29" x14ac:dyDescent="0.2"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3:29" x14ac:dyDescent="0.2"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3:29" x14ac:dyDescent="0.2"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3:29" x14ac:dyDescent="0.2"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3:29" x14ac:dyDescent="0.2"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3:29" x14ac:dyDescent="0.2"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3:29" x14ac:dyDescent="0.2"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3:29" x14ac:dyDescent="0.2"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3:29" x14ac:dyDescent="0.2"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3:29" x14ac:dyDescent="0.2"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3:29" x14ac:dyDescent="0.2"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3:29" x14ac:dyDescent="0.2"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3:29" x14ac:dyDescent="0.2"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3:29" x14ac:dyDescent="0.2"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3:29" x14ac:dyDescent="0.2"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3:29" x14ac:dyDescent="0.2"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3:29" x14ac:dyDescent="0.2"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3:29" x14ac:dyDescent="0.2"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3:29" x14ac:dyDescent="0.2"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3:29" x14ac:dyDescent="0.2"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3:29" x14ac:dyDescent="0.2"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3:29" x14ac:dyDescent="0.2"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3:29" x14ac:dyDescent="0.2"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3:29" x14ac:dyDescent="0.2"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3:29" x14ac:dyDescent="0.2"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3:29" x14ac:dyDescent="0.2"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3:29" x14ac:dyDescent="0.2"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3:29" x14ac:dyDescent="0.2"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3:29" x14ac:dyDescent="0.2"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3:29" x14ac:dyDescent="0.2"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3:29" x14ac:dyDescent="0.2"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3:29" x14ac:dyDescent="0.2"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3:29" x14ac:dyDescent="0.2"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3:29" x14ac:dyDescent="0.2"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3:29" x14ac:dyDescent="0.2"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3:29" x14ac:dyDescent="0.2"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3:29" x14ac:dyDescent="0.2"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3:29" x14ac:dyDescent="0.2"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3:29" x14ac:dyDescent="0.2"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3:29" x14ac:dyDescent="0.2"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3:29" x14ac:dyDescent="0.2"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3:29" x14ac:dyDescent="0.2"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3:29" x14ac:dyDescent="0.2"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3:29" x14ac:dyDescent="0.2"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3:29" x14ac:dyDescent="0.2"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3:29" x14ac:dyDescent="0.2"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3:29" x14ac:dyDescent="0.2"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3:29" x14ac:dyDescent="0.2"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3:29" x14ac:dyDescent="0.2"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3:29" x14ac:dyDescent="0.2"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3:29" x14ac:dyDescent="0.2"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3:29" x14ac:dyDescent="0.2"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3:29" x14ac:dyDescent="0.2"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3:29" x14ac:dyDescent="0.2"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3:29" x14ac:dyDescent="0.2"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3:29" x14ac:dyDescent="0.2"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3:29" x14ac:dyDescent="0.2"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3:29" x14ac:dyDescent="0.2"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3:29" x14ac:dyDescent="0.2"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3:29" x14ac:dyDescent="0.2"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3:29" x14ac:dyDescent="0.2"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3:29" x14ac:dyDescent="0.2"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3:29" x14ac:dyDescent="0.2"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3:29" x14ac:dyDescent="0.2"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3:29" x14ac:dyDescent="0.2"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3:29" x14ac:dyDescent="0.2"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3:29" x14ac:dyDescent="0.2"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3:29" x14ac:dyDescent="0.2"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3:29" x14ac:dyDescent="0.2"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3:29" x14ac:dyDescent="0.2"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3:29" x14ac:dyDescent="0.2"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3:29" x14ac:dyDescent="0.2"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3:29" x14ac:dyDescent="0.2"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3:29" x14ac:dyDescent="0.2"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3:29" x14ac:dyDescent="0.2"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3:29" x14ac:dyDescent="0.2"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3:29" x14ac:dyDescent="0.2"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3:29" x14ac:dyDescent="0.2"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3:29" x14ac:dyDescent="0.2"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3:29" x14ac:dyDescent="0.2"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3:29" x14ac:dyDescent="0.2"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3:29" x14ac:dyDescent="0.2"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3:29" x14ac:dyDescent="0.2"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3:29" x14ac:dyDescent="0.2"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3:29" x14ac:dyDescent="0.2"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3:29" x14ac:dyDescent="0.2"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3:29" x14ac:dyDescent="0.2"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3:29" x14ac:dyDescent="0.2"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3:29" x14ac:dyDescent="0.2"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3:29" x14ac:dyDescent="0.2"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3:29" x14ac:dyDescent="0.2"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3:29" x14ac:dyDescent="0.2"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3:29" x14ac:dyDescent="0.2"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3:29" x14ac:dyDescent="0.2"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3:29" x14ac:dyDescent="0.2"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3:29" x14ac:dyDescent="0.2"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3:29" x14ac:dyDescent="0.2"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3:29" x14ac:dyDescent="0.2"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3:29" x14ac:dyDescent="0.2"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3:29" x14ac:dyDescent="0.2"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3:29" x14ac:dyDescent="0.2"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3:29" x14ac:dyDescent="0.2"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3:29" x14ac:dyDescent="0.2"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3:29" x14ac:dyDescent="0.2"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3:29" x14ac:dyDescent="0.2"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3:29" x14ac:dyDescent="0.2"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3:29" x14ac:dyDescent="0.2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3:29" x14ac:dyDescent="0.2"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3:29" x14ac:dyDescent="0.2"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3:29" x14ac:dyDescent="0.2"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3:29" x14ac:dyDescent="0.2"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3:29" x14ac:dyDescent="0.2"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3:29" x14ac:dyDescent="0.2"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3:29" x14ac:dyDescent="0.2"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3:29" x14ac:dyDescent="0.2"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3:29" x14ac:dyDescent="0.2"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3:29" x14ac:dyDescent="0.2"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3:29" x14ac:dyDescent="0.2"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3:29" x14ac:dyDescent="0.2"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3:29" x14ac:dyDescent="0.2"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3:29" x14ac:dyDescent="0.2"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3:29" x14ac:dyDescent="0.2"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3:29" x14ac:dyDescent="0.2"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3:29" x14ac:dyDescent="0.2"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3:29" x14ac:dyDescent="0.2"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3:29" x14ac:dyDescent="0.2"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3:29" x14ac:dyDescent="0.2"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3:29" x14ac:dyDescent="0.2"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3:29" x14ac:dyDescent="0.2"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3:29" x14ac:dyDescent="0.2"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3:29" x14ac:dyDescent="0.2"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3:29" x14ac:dyDescent="0.2"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3:29" x14ac:dyDescent="0.2"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3:29" x14ac:dyDescent="0.2"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3:29" x14ac:dyDescent="0.2"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3:29" x14ac:dyDescent="0.2"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3:29" x14ac:dyDescent="0.2"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3:29" x14ac:dyDescent="0.2"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3:29" x14ac:dyDescent="0.2"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3:29" x14ac:dyDescent="0.2"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3:29" x14ac:dyDescent="0.2"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3:29" x14ac:dyDescent="0.2"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3:29" x14ac:dyDescent="0.2"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3:29" x14ac:dyDescent="0.2"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3:29" x14ac:dyDescent="0.2"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3:29" x14ac:dyDescent="0.2"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3:29" x14ac:dyDescent="0.2"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3:29" x14ac:dyDescent="0.2"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3:29" x14ac:dyDescent="0.2"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3:29" x14ac:dyDescent="0.2"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3:29" x14ac:dyDescent="0.2"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3:29" x14ac:dyDescent="0.2"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3:29" x14ac:dyDescent="0.2"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3:29" x14ac:dyDescent="0.2"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3:29" x14ac:dyDescent="0.2"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3:29" x14ac:dyDescent="0.2"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3:29" x14ac:dyDescent="0.2"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3:29" x14ac:dyDescent="0.2"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3:29" x14ac:dyDescent="0.2"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3:29" x14ac:dyDescent="0.2"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3:29" x14ac:dyDescent="0.2"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3:29" x14ac:dyDescent="0.2"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3:29" x14ac:dyDescent="0.2"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3:29" x14ac:dyDescent="0.2"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3:29" x14ac:dyDescent="0.2"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3:29" x14ac:dyDescent="0.2"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3:29" x14ac:dyDescent="0.2"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3:29" x14ac:dyDescent="0.2"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3:29" x14ac:dyDescent="0.2"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3:29" x14ac:dyDescent="0.2"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3:29" x14ac:dyDescent="0.2"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3:29" x14ac:dyDescent="0.2"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3:29" x14ac:dyDescent="0.2"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3:29" x14ac:dyDescent="0.2"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3:29" x14ac:dyDescent="0.2"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3:29" x14ac:dyDescent="0.2"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3:29" x14ac:dyDescent="0.2"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3:29" x14ac:dyDescent="0.2"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3:29" x14ac:dyDescent="0.2"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3:29" x14ac:dyDescent="0.2"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3:29" x14ac:dyDescent="0.2"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3:29" x14ac:dyDescent="0.2"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3:29" x14ac:dyDescent="0.2"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3:29" x14ac:dyDescent="0.2"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3:29" x14ac:dyDescent="0.2"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3:29" x14ac:dyDescent="0.2"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3:29" x14ac:dyDescent="0.2"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3:29" x14ac:dyDescent="0.2"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3:29" x14ac:dyDescent="0.2"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3:29" x14ac:dyDescent="0.2"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3:29" x14ac:dyDescent="0.2"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3:29" x14ac:dyDescent="0.2"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3:29" x14ac:dyDescent="0.2"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3:29" x14ac:dyDescent="0.2"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3:29" x14ac:dyDescent="0.2"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3:29" x14ac:dyDescent="0.2"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3:29" x14ac:dyDescent="0.2"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3:29" x14ac:dyDescent="0.2"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3:29" x14ac:dyDescent="0.2"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3:29" x14ac:dyDescent="0.2"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3:29" x14ac:dyDescent="0.2"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3:29" x14ac:dyDescent="0.2"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3:29" x14ac:dyDescent="0.2"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3:29" x14ac:dyDescent="0.2"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3:29" x14ac:dyDescent="0.2"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3:29" x14ac:dyDescent="0.2"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3:29" x14ac:dyDescent="0.2"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3:29" x14ac:dyDescent="0.2"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3:29" x14ac:dyDescent="0.2"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3:29" x14ac:dyDescent="0.2"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3:29" x14ac:dyDescent="0.2"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3:29" x14ac:dyDescent="0.2"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3:29" x14ac:dyDescent="0.2"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3:29" x14ac:dyDescent="0.2"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3:29" x14ac:dyDescent="0.2"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3:29" x14ac:dyDescent="0.2"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3:29" x14ac:dyDescent="0.2"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3:29" x14ac:dyDescent="0.2"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3:29" x14ac:dyDescent="0.2"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3:29" x14ac:dyDescent="0.2"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3:29" x14ac:dyDescent="0.2"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3:29" x14ac:dyDescent="0.2"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3:29" x14ac:dyDescent="0.2"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3:29" x14ac:dyDescent="0.2"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3:29" x14ac:dyDescent="0.2"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3:29" x14ac:dyDescent="0.2"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3:29" x14ac:dyDescent="0.2"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3:29" x14ac:dyDescent="0.2"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3:29" x14ac:dyDescent="0.2"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3:29" x14ac:dyDescent="0.2"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3:29" x14ac:dyDescent="0.2"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3:29" x14ac:dyDescent="0.2"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3:29" x14ac:dyDescent="0.2"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3:29" x14ac:dyDescent="0.2"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3:29" x14ac:dyDescent="0.2"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3:29" x14ac:dyDescent="0.2"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3:29" x14ac:dyDescent="0.2"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3:29" x14ac:dyDescent="0.2"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3:29" x14ac:dyDescent="0.2"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3:29" x14ac:dyDescent="0.2"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3:29" x14ac:dyDescent="0.2"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3:29" x14ac:dyDescent="0.2"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3:29" x14ac:dyDescent="0.2"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3:29" x14ac:dyDescent="0.2"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3:29" x14ac:dyDescent="0.2"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3:29" x14ac:dyDescent="0.2"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3:29" x14ac:dyDescent="0.2"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3:29" x14ac:dyDescent="0.2"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3:29" x14ac:dyDescent="0.2"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3:29" x14ac:dyDescent="0.2"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3:29" x14ac:dyDescent="0.2"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3:29" x14ac:dyDescent="0.2"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3:29" x14ac:dyDescent="0.2"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3:29" x14ac:dyDescent="0.2"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3:29" x14ac:dyDescent="0.2"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3:29" x14ac:dyDescent="0.2"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3:29" x14ac:dyDescent="0.2"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3:29" x14ac:dyDescent="0.2"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3:29" x14ac:dyDescent="0.2"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3:29" x14ac:dyDescent="0.2"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3:29" x14ac:dyDescent="0.2"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3:29" x14ac:dyDescent="0.2"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3:29" x14ac:dyDescent="0.2"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3:29" x14ac:dyDescent="0.2"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3:29" x14ac:dyDescent="0.2"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3:29" x14ac:dyDescent="0.2"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3:29" x14ac:dyDescent="0.2"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3:29" x14ac:dyDescent="0.2"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3:29" x14ac:dyDescent="0.2"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3:29" x14ac:dyDescent="0.2"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3:29" x14ac:dyDescent="0.2"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3:29" x14ac:dyDescent="0.2"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3:29" x14ac:dyDescent="0.2"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3:29" x14ac:dyDescent="0.2"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3:29" x14ac:dyDescent="0.2"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3:29" x14ac:dyDescent="0.2"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3:29" x14ac:dyDescent="0.2"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3:29" x14ac:dyDescent="0.2"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3:29" x14ac:dyDescent="0.2"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3:29" x14ac:dyDescent="0.2"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3:29" x14ac:dyDescent="0.2"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3:29" x14ac:dyDescent="0.2"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3:29" x14ac:dyDescent="0.2"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3:29" x14ac:dyDescent="0.2"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3:29" x14ac:dyDescent="0.2"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3:29" x14ac:dyDescent="0.2"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3:29" x14ac:dyDescent="0.2"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3:29" x14ac:dyDescent="0.2"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3:29" x14ac:dyDescent="0.2"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3:29" x14ac:dyDescent="0.2"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3:29" x14ac:dyDescent="0.2"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3:29" x14ac:dyDescent="0.2"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3:29" x14ac:dyDescent="0.2"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3:29" x14ac:dyDescent="0.2"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3:29" x14ac:dyDescent="0.2"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3:29" x14ac:dyDescent="0.2"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3:29" x14ac:dyDescent="0.2"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3:29" x14ac:dyDescent="0.2"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3:29" x14ac:dyDescent="0.2"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3:29" x14ac:dyDescent="0.2"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3:29" x14ac:dyDescent="0.2"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3:29" x14ac:dyDescent="0.2"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3:29" x14ac:dyDescent="0.2"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3:29" x14ac:dyDescent="0.2"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3:29" x14ac:dyDescent="0.2"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3:29" x14ac:dyDescent="0.2"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3:29" x14ac:dyDescent="0.2"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3:29" x14ac:dyDescent="0.2"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3:29" x14ac:dyDescent="0.2"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3:29" x14ac:dyDescent="0.2"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3:29" x14ac:dyDescent="0.2"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3:29" x14ac:dyDescent="0.2"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3:29" x14ac:dyDescent="0.2"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3:29" x14ac:dyDescent="0.2"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3:29" x14ac:dyDescent="0.2"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3:29" x14ac:dyDescent="0.2"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3:29" x14ac:dyDescent="0.2"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3:29" x14ac:dyDescent="0.2"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3:29" x14ac:dyDescent="0.2"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3:29" x14ac:dyDescent="0.2"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3:29" x14ac:dyDescent="0.2"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3:29" x14ac:dyDescent="0.2"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3:29" x14ac:dyDescent="0.2"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3:29" x14ac:dyDescent="0.2"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3:29" x14ac:dyDescent="0.2"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3:29" x14ac:dyDescent="0.2"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3:29" x14ac:dyDescent="0.2"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3:29" x14ac:dyDescent="0.2"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3:29" x14ac:dyDescent="0.2"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3:29" x14ac:dyDescent="0.2"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3:29" x14ac:dyDescent="0.2"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3:29" x14ac:dyDescent="0.2"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3:29" x14ac:dyDescent="0.2"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3:29" x14ac:dyDescent="0.2"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3:29" x14ac:dyDescent="0.2"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3:29" x14ac:dyDescent="0.2"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3:29" x14ac:dyDescent="0.2"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3:29" x14ac:dyDescent="0.2"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3:29" x14ac:dyDescent="0.2"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3:29" x14ac:dyDescent="0.2"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3:29" x14ac:dyDescent="0.2"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3:29" x14ac:dyDescent="0.2"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3:29" x14ac:dyDescent="0.2"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3:29" x14ac:dyDescent="0.2"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3:29" x14ac:dyDescent="0.2"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3:29" x14ac:dyDescent="0.2"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3:29" x14ac:dyDescent="0.2"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3:29" x14ac:dyDescent="0.2"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3:29" x14ac:dyDescent="0.2"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3:29" x14ac:dyDescent="0.2"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3:29" x14ac:dyDescent="0.2"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3:29" x14ac:dyDescent="0.2"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3:29" x14ac:dyDescent="0.2"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3:29" x14ac:dyDescent="0.2"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3:29" x14ac:dyDescent="0.2"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3:29" x14ac:dyDescent="0.2"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3:29" x14ac:dyDescent="0.2"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3:29" x14ac:dyDescent="0.2"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3:29" x14ac:dyDescent="0.2"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3:29" x14ac:dyDescent="0.2"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3:29" x14ac:dyDescent="0.2"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3:29" x14ac:dyDescent="0.2"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3:29" x14ac:dyDescent="0.2"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3:29" x14ac:dyDescent="0.2"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3:29" x14ac:dyDescent="0.2"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3:29" x14ac:dyDescent="0.2"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3:29" x14ac:dyDescent="0.2"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3:29" x14ac:dyDescent="0.2"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3:29" x14ac:dyDescent="0.2"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3:29" x14ac:dyDescent="0.2"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3:29" x14ac:dyDescent="0.2"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3:29" x14ac:dyDescent="0.2"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3:29" x14ac:dyDescent="0.2"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3:29" x14ac:dyDescent="0.2"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3:29" x14ac:dyDescent="0.2"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3:29" x14ac:dyDescent="0.2"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3:29" x14ac:dyDescent="0.2"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3:29" x14ac:dyDescent="0.2"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3:29" x14ac:dyDescent="0.2"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3:29" x14ac:dyDescent="0.2"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3:29" x14ac:dyDescent="0.2"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3:29" x14ac:dyDescent="0.2"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3:29" x14ac:dyDescent="0.2"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3:29" x14ac:dyDescent="0.2"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3:29" x14ac:dyDescent="0.2"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3:29" x14ac:dyDescent="0.2"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3:29" x14ac:dyDescent="0.2"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3:29" x14ac:dyDescent="0.2"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3:29" x14ac:dyDescent="0.2"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3:29" x14ac:dyDescent="0.2"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3:29" x14ac:dyDescent="0.2"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3:29" x14ac:dyDescent="0.2"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3:29" x14ac:dyDescent="0.2"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3:29" x14ac:dyDescent="0.2"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3:29" x14ac:dyDescent="0.2"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3:29" x14ac:dyDescent="0.2"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3:29" x14ac:dyDescent="0.2"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3:29" x14ac:dyDescent="0.2"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3:29" x14ac:dyDescent="0.2"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3:29" x14ac:dyDescent="0.2"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3:29" x14ac:dyDescent="0.2"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3:29" x14ac:dyDescent="0.2"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3:29" x14ac:dyDescent="0.2"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3:29" x14ac:dyDescent="0.2"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3:29" x14ac:dyDescent="0.2"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3:29" x14ac:dyDescent="0.2"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3:29" x14ac:dyDescent="0.2"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3:29" x14ac:dyDescent="0.2"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3:29" x14ac:dyDescent="0.2"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3:29" x14ac:dyDescent="0.2"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3:29" x14ac:dyDescent="0.2"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3:29" x14ac:dyDescent="0.2"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3:29" x14ac:dyDescent="0.2"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3:29" x14ac:dyDescent="0.2"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3:29" x14ac:dyDescent="0.2"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3:29" x14ac:dyDescent="0.2"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3:29" x14ac:dyDescent="0.2"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3:29" x14ac:dyDescent="0.2"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3:29" x14ac:dyDescent="0.2"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3:29" x14ac:dyDescent="0.2"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3:29" x14ac:dyDescent="0.2"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3:29" x14ac:dyDescent="0.2"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3:29" x14ac:dyDescent="0.2"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3:29" x14ac:dyDescent="0.2"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3:29" x14ac:dyDescent="0.2"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3:29" x14ac:dyDescent="0.2"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3:29" x14ac:dyDescent="0.2"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3:29" x14ac:dyDescent="0.2"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3:29" x14ac:dyDescent="0.2"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3:29" x14ac:dyDescent="0.2"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3:29" x14ac:dyDescent="0.2"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3:29" x14ac:dyDescent="0.2"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3:29" x14ac:dyDescent="0.2"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3:29" x14ac:dyDescent="0.2"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3:29" x14ac:dyDescent="0.2"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3:29" x14ac:dyDescent="0.2"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3:29" x14ac:dyDescent="0.2"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3:29" x14ac:dyDescent="0.2"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3:29" x14ac:dyDescent="0.2"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3:29" x14ac:dyDescent="0.2"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3:29" x14ac:dyDescent="0.2"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3:29" x14ac:dyDescent="0.2"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3:29" x14ac:dyDescent="0.2"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3:29" x14ac:dyDescent="0.2"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3:29" x14ac:dyDescent="0.2"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3:29" x14ac:dyDescent="0.2"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3:29" x14ac:dyDescent="0.2"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3:29" x14ac:dyDescent="0.2"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3:29" x14ac:dyDescent="0.2"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3:29" x14ac:dyDescent="0.2"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3:29" x14ac:dyDescent="0.2"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3:29" x14ac:dyDescent="0.2"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3:29" x14ac:dyDescent="0.2"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3:29" x14ac:dyDescent="0.2"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3:29" x14ac:dyDescent="0.2"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3:29" x14ac:dyDescent="0.2"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3:29" x14ac:dyDescent="0.2"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3:29" x14ac:dyDescent="0.2"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3:29" x14ac:dyDescent="0.2"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3:29" x14ac:dyDescent="0.2"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3:29" x14ac:dyDescent="0.2"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3:29" x14ac:dyDescent="0.2"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3:29" x14ac:dyDescent="0.2"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3:29" x14ac:dyDescent="0.2"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3:29" x14ac:dyDescent="0.2"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3:29" x14ac:dyDescent="0.2"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3:29" x14ac:dyDescent="0.2"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3:29" x14ac:dyDescent="0.2"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3:29" x14ac:dyDescent="0.2"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3:29" x14ac:dyDescent="0.2"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3:29" x14ac:dyDescent="0.2"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3:29" x14ac:dyDescent="0.2"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3:29" x14ac:dyDescent="0.2"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3:29" x14ac:dyDescent="0.2"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3:29" x14ac:dyDescent="0.2"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3:29" x14ac:dyDescent="0.2"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3:29" x14ac:dyDescent="0.2"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3:29" x14ac:dyDescent="0.2"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3:29" x14ac:dyDescent="0.2"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3:29" x14ac:dyDescent="0.2"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3:29" x14ac:dyDescent="0.2"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3:29" x14ac:dyDescent="0.2"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3:29" x14ac:dyDescent="0.2"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3:29" x14ac:dyDescent="0.2"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3:29" x14ac:dyDescent="0.2"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3:29" x14ac:dyDescent="0.2"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3:29" x14ac:dyDescent="0.2"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3:29" x14ac:dyDescent="0.2"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3:29" x14ac:dyDescent="0.2"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3:29" x14ac:dyDescent="0.2"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3:29" x14ac:dyDescent="0.2"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3:29" x14ac:dyDescent="0.2"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3:29" x14ac:dyDescent="0.2"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3:29" x14ac:dyDescent="0.2"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3:29" x14ac:dyDescent="0.2"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3:29" x14ac:dyDescent="0.2"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3:29" x14ac:dyDescent="0.2"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3:29" x14ac:dyDescent="0.2"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3:29" x14ac:dyDescent="0.2"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3:29" x14ac:dyDescent="0.2"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3:29" x14ac:dyDescent="0.2"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3:29" x14ac:dyDescent="0.2"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3:29" x14ac:dyDescent="0.2"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3:29" x14ac:dyDescent="0.2"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3:29" x14ac:dyDescent="0.2"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3:29" x14ac:dyDescent="0.2"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3:29" x14ac:dyDescent="0.2"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3:29" x14ac:dyDescent="0.2"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3:29" x14ac:dyDescent="0.2"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3:29" x14ac:dyDescent="0.2"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3:29" x14ac:dyDescent="0.2"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3:29" x14ac:dyDescent="0.2"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3:29" x14ac:dyDescent="0.2"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3:29" x14ac:dyDescent="0.2"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3:29" x14ac:dyDescent="0.2"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3:29" x14ac:dyDescent="0.2"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3:29" x14ac:dyDescent="0.2"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3:29" x14ac:dyDescent="0.2"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3:29" x14ac:dyDescent="0.2"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3:29" x14ac:dyDescent="0.2"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3:29" x14ac:dyDescent="0.2"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3:29" x14ac:dyDescent="0.2"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3:29" x14ac:dyDescent="0.2"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3:29" x14ac:dyDescent="0.2"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3:29" x14ac:dyDescent="0.2"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3:29" x14ac:dyDescent="0.2"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3:29" x14ac:dyDescent="0.2"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3:29" x14ac:dyDescent="0.2"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3:29" x14ac:dyDescent="0.2"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3:29" x14ac:dyDescent="0.2"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3:29" x14ac:dyDescent="0.2"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3:29" x14ac:dyDescent="0.2"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3:29" x14ac:dyDescent="0.2"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3:29" x14ac:dyDescent="0.2"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3:29" x14ac:dyDescent="0.2"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3:29" x14ac:dyDescent="0.2"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3:29" x14ac:dyDescent="0.2"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3:29" x14ac:dyDescent="0.2"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3:29" x14ac:dyDescent="0.2"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3:29" x14ac:dyDescent="0.2"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3:29" x14ac:dyDescent="0.2"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3:29" x14ac:dyDescent="0.2"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3:29" x14ac:dyDescent="0.2"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3:29" x14ac:dyDescent="0.2"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3:29" x14ac:dyDescent="0.2"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3:29" x14ac:dyDescent="0.2"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3:29" x14ac:dyDescent="0.2"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3:29" x14ac:dyDescent="0.2"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3:29" x14ac:dyDescent="0.2"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3:29" x14ac:dyDescent="0.2"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3:29" x14ac:dyDescent="0.2"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3:29" x14ac:dyDescent="0.2"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3:29" x14ac:dyDescent="0.2"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3:29" x14ac:dyDescent="0.2"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3:29" x14ac:dyDescent="0.2"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3:29" x14ac:dyDescent="0.2"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3:29" x14ac:dyDescent="0.2"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3:29" x14ac:dyDescent="0.2"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3:29" x14ac:dyDescent="0.2"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3:29" x14ac:dyDescent="0.2"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3:29" x14ac:dyDescent="0.2"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3:29" x14ac:dyDescent="0.2"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3:29" x14ac:dyDescent="0.2"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3:29" x14ac:dyDescent="0.2"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3:29" x14ac:dyDescent="0.2"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3:29" x14ac:dyDescent="0.2"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3:29" x14ac:dyDescent="0.2"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3:29" x14ac:dyDescent="0.2"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3:29" x14ac:dyDescent="0.2"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3:29" x14ac:dyDescent="0.2"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3:29" x14ac:dyDescent="0.2"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3:29" x14ac:dyDescent="0.2"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3:29" x14ac:dyDescent="0.2"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3:29" x14ac:dyDescent="0.2"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3:29" x14ac:dyDescent="0.2"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3:29" x14ac:dyDescent="0.2"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3:29" x14ac:dyDescent="0.2"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3:29" x14ac:dyDescent="0.2"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3:29" x14ac:dyDescent="0.2"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3:29" x14ac:dyDescent="0.2"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3:29" x14ac:dyDescent="0.2"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3:29" x14ac:dyDescent="0.2"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3:29" x14ac:dyDescent="0.2"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3:29" x14ac:dyDescent="0.2"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3:29" x14ac:dyDescent="0.2"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3:29" x14ac:dyDescent="0.2"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3:29" x14ac:dyDescent="0.2"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3:29" x14ac:dyDescent="0.2"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3:29" x14ac:dyDescent="0.2"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3:29" x14ac:dyDescent="0.2"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3:29" x14ac:dyDescent="0.2"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3:29" x14ac:dyDescent="0.2"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3:29" x14ac:dyDescent="0.2"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3:29" x14ac:dyDescent="0.2"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3:29" x14ac:dyDescent="0.2"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3:29" x14ac:dyDescent="0.2"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3:29" x14ac:dyDescent="0.2"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3:29" x14ac:dyDescent="0.2"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3:29" x14ac:dyDescent="0.2"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3:29" x14ac:dyDescent="0.2"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3:29" x14ac:dyDescent="0.2"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3:29" x14ac:dyDescent="0.2"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3:29" x14ac:dyDescent="0.2"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3:29" x14ac:dyDescent="0.2"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3:29" x14ac:dyDescent="0.2"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3:29" x14ac:dyDescent="0.2"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3:29" x14ac:dyDescent="0.2"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3:29" x14ac:dyDescent="0.2"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3:29" x14ac:dyDescent="0.2"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3:29" x14ac:dyDescent="0.2"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3:29" x14ac:dyDescent="0.2"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</sheetData>
  <hyperlinks>
    <hyperlink ref="A1" location="Main!A1" display="Main" xr:uid="{3096ED8A-4F55-4530-A411-EB497997B9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2026-06-26T13:25:36Z</dcterms:created>
  <dcterms:modified xsi:type="dcterms:W3CDTF">2026-06-26T14:07:21Z</dcterms:modified>
</cp:coreProperties>
</file>