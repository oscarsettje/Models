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AE594FA-39BE-4EED-A319-58780E59A771}" xr6:coauthVersionLast="47" xr6:coauthVersionMax="47" xr10:uidLastSave="{00000000-0000-0000-0000-000000000000}"/>
  <bookViews>
    <workbookView xWindow="19095" yWindow="0" windowWidth="19410" windowHeight="20985" xr2:uid="{018E0477-05D3-47A6-BBAA-907DACD6F8C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21" i="2"/>
  <c r="J21" i="2"/>
  <c r="K19" i="2"/>
  <c r="J19" i="2"/>
  <c r="K17" i="2"/>
  <c r="J17" i="2"/>
  <c r="K13" i="2"/>
  <c r="J13" i="2"/>
  <c r="K9" i="2"/>
  <c r="J9" i="2"/>
  <c r="J26" i="2" s="1"/>
  <c r="K28" i="2"/>
  <c r="J28" i="2"/>
  <c r="K27" i="2"/>
  <c r="J27" i="2"/>
  <c r="K26" i="2"/>
  <c r="K25" i="2"/>
  <c r="J25" i="2"/>
  <c r="E28" i="2"/>
  <c r="F28" i="2"/>
  <c r="G28" i="2"/>
  <c r="H28" i="2"/>
  <c r="E27" i="2"/>
  <c r="F27" i="2"/>
  <c r="G27" i="2"/>
  <c r="H27" i="2"/>
  <c r="I27" i="2"/>
  <c r="E26" i="2"/>
  <c r="F26" i="2"/>
  <c r="G26" i="2"/>
  <c r="H26" i="2"/>
  <c r="I26" i="2"/>
  <c r="E25" i="2"/>
  <c r="F25" i="2"/>
  <c r="G25" i="2"/>
  <c r="H25" i="2"/>
  <c r="I25" i="2"/>
  <c r="E19" i="1"/>
  <c r="E18" i="1"/>
  <c r="E17" i="1"/>
  <c r="E16" i="1"/>
  <c r="E15" i="1"/>
  <c r="D19" i="1"/>
  <c r="I13" i="2"/>
  <c r="I17" i="2" s="1"/>
  <c r="I9" i="2"/>
  <c r="J3" i="1"/>
  <c r="J5" i="1" s="1"/>
  <c r="H21" i="2"/>
  <c r="G21" i="2"/>
  <c r="F21" i="2"/>
  <c r="D21" i="2"/>
  <c r="C21" i="2"/>
  <c r="E21" i="2"/>
  <c r="H19" i="2"/>
  <c r="F19" i="2"/>
  <c r="E19" i="2"/>
  <c r="D19" i="2"/>
  <c r="C19" i="2"/>
  <c r="H17" i="2"/>
  <c r="F17" i="2"/>
  <c r="E17" i="2"/>
  <c r="D17" i="2"/>
  <c r="C17" i="2"/>
  <c r="H13" i="2"/>
  <c r="F13" i="2"/>
  <c r="E13" i="2"/>
  <c r="D13" i="2"/>
  <c r="C13" i="2"/>
  <c r="H9" i="2"/>
  <c r="F9" i="2"/>
  <c r="E9" i="2"/>
  <c r="D9" i="2"/>
  <c r="C9" i="2"/>
  <c r="G13" i="2"/>
  <c r="G17" i="2" s="1"/>
  <c r="G19" i="2" s="1"/>
  <c r="G9" i="2"/>
  <c r="H7" i="2"/>
  <c r="F7" i="2"/>
  <c r="E7" i="2"/>
  <c r="D7" i="2"/>
  <c r="C7" i="2"/>
  <c r="G7" i="2"/>
  <c r="I28" i="2" l="1"/>
  <c r="I19" i="2"/>
  <c r="I21" i="2" s="1"/>
  <c r="J8" i="1"/>
</calcChain>
</file>

<file path=xl/sharedStrings.xml><?xml version="1.0" encoding="utf-8"?>
<sst xmlns="http://schemas.openxmlformats.org/spreadsheetml/2006/main" count="67" uniqueCount="63">
  <si>
    <t>Shenzou International</t>
  </si>
  <si>
    <t>Main</t>
  </si>
  <si>
    <t>IR</t>
  </si>
  <si>
    <t>numbers in mio RMB</t>
  </si>
  <si>
    <t>2313.HK</t>
  </si>
  <si>
    <t>H122</t>
  </si>
  <si>
    <t>H222</t>
  </si>
  <si>
    <t>H123</t>
  </si>
  <si>
    <t>H223</t>
  </si>
  <si>
    <t>H124</t>
  </si>
  <si>
    <t>H224</t>
  </si>
  <si>
    <t>Shares</t>
  </si>
  <si>
    <t>MC</t>
  </si>
  <si>
    <t>Cash</t>
  </si>
  <si>
    <t>Debt</t>
  </si>
  <si>
    <t>EV</t>
  </si>
  <si>
    <t>Sportswear</t>
  </si>
  <si>
    <t>Casual wear</t>
  </si>
  <si>
    <t>Lingerie wear</t>
  </si>
  <si>
    <t>Other knitwear</t>
  </si>
  <si>
    <t>Revenue</t>
  </si>
  <si>
    <t>COGS</t>
  </si>
  <si>
    <t>Gross Profit</t>
  </si>
  <si>
    <t>Other Income</t>
  </si>
  <si>
    <t>Selling &amp; Distrinution</t>
  </si>
  <si>
    <t>Administrative Expenses</t>
  </si>
  <si>
    <t>Operating Income</t>
  </si>
  <si>
    <t>Finance cost</t>
  </si>
  <si>
    <t>Other gains net</t>
  </si>
  <si>
    <t>earning of subsidaries</t>
  </si>
  <si>
    <t>Pretax Income</t>
  </si>
  <si>
    <t>Tax Expense</t>
  </si>
  <si>
    <t>Net Income</t>
  </si>
  <si>
    <t>EPS</t>
  </si>
  <si>
    <t>Price RMB</t>
  </si>
  <si>
    <t>Price HKD</t>
  </si>
  <si>
    <t>HKD/RMB</t>
  </si>
  <si>
    <t>H125</t>
  </si>
  <si>
    <t>H225</t>
  </si>
  <si>
    <t>Notes</t>
  </si>
  <si>
    <t>4 Big Costumers:</t>
  </si>
  <si>
    <t>Costumer A</t>
  </si>
  <si>
    <t>Costumer B</t>
  </si>
  <si>
    <t>Costumer C</t>
  </si>
  <si>
    <t>Costumer D</t>
  </si>
  <si>
    <t>Total</t>
  </si>
  <si>
    <t>% of Rev</t>
  </si>
  <si>
    <t>Uniqlo</t>
  </si>
  <si>
    <t>Nike</t>
  </si>
  <si>
    <t xml:space="preserve">Adidas </t>
  </si>
  <si>
    <t>Puma</t>
  </si>
  <si>
    <t>Guess</t>
  </si>
  <si>
    <t>Workforce</t>
  </si>
  <si>
    <t>Revenue Growth</t>
  </si>
  <si>
    <t>Gross Margin</t>
  </si>
  <si>
    <t>Operating Margin</t>
  </si>
  <si>
    <t>Tax Rate</t>
  </si>
  <si>
    <t xml:space="preserve">Produce Apparel and knit wear </t>
  </si>
  <si>
    <t>produce finished products based on designs by costumers</t>
  </si>
  <si>
    <t>and specialized components e.g. for Nike</t>
  </si>
  <si>
    <t>H126</t>
  </si>
  <si>
    <t>H226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</si>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</sst>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5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1" applyFont="1"/>
    <xf numFmtId="0" fontId="5" fillId="0" borderId="0" xfId="0" applyFont="1" applyAlignment="1">
      <alignment horizontal="center"/>
    </xf>
    <xf numFmtId="3" fontId="7" fillId="0" borderId="0" xfId="0" applyNumberFormat="1" applyFont="1"/>
    <xf numFmtId="4" fontId="5" fillId="0" borderId="0" xfId="0" applyNumberFormat="1" applyFont="1"/>
    <xf numFmtId="0" fontId="4" fillId="0" borderId="0" xfId="0" applyFont="1"/>
    <xf numFmtId="2" fontId="5" fillId="0" borderId="0" xfId="0" applyNumberFormat="1" applyFont="1"/>
    <xf numFmtId="0" fontId="4" fillId="0" borderId="0" xfId="0" applyFont="1" applyAlignment="1">
      <alignment horizontal="right"/>
    </xf>
    <xf numFmtId="0" fontId="10" fillId="0" borderId="0" xfId="0" applyFont="1"/>
    <xf numFmtId="164" fontId="5" fillId="0" borderId="0" xfId="0" applyNumberFormat="1" applyFont="1"/>
    <xf numFmtId="9" fontId="5" fillId="0" borderId="0" xfId="2" applyFont="1"/>
    <xf numFmtId="0" fontId="3" fillId="0" borderId="0" xfId="0" applyFont="1"/>
    <xf numFmtId="9" fontId="7" fillId="0" borderId="0" xfId="2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enzhouintl.com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586-6FF6-4399-B76F-E69240B75FAF}">
  <dimension ref="A1:K19"/>
  <sheetViews>
    <sheetView tabSelected="1" topLeftCell="C1" zoomScale="200" zoomScaleNormal="200" workbookViewId="0">
      <selection activeCell="J4" sqref="J4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3</v>
      </c>
      <c r="I2" s="9" t="s">
        <v>35</v>
      </c>
      <c r="J2" s="2">
        <v>35.46</v>
      </c>
    </row>
    <row r="3" spans="1:11" x14ac:dyDescent="0.2">
      <c r="I3" s="9" t="s">
        <v>34</v>
      </c>
      <c r="J3" s="10">
        <f>+J2*J10</f>
        <v>31.204800000000002</v>
      </c>
    </row>
    <row r="4" spans="1:11" x14ac:dyDescent="0.2">
      <c r="I4" s="2" t="s">
        <v>11</v>
      </c>
      <c r="J4" s="3">
        <v>1503.222397</v>
      </c>
      <c r="K4" s="18" t="s">
        <v>62</v>
      </c>
    </row>
    <row r="5" spans="1:11" x14ac:dyDescent="0.2">
      <c r="B5" s="5" t="s">
        <v>2</v>
      </c>
      <c r="I5" s="2" t="s">
        <v>12</v>
      </c>
      <c r="J5" s="3">
        <f>+J3*J4</f>
        <v>46907.754253905601</v>
      </c>
    </row>
    <row r="6" spans="1:11" x14ac:dyDescent="0.2">
      <c r="B6" s="2" t="s">
        <v>4</v>
      </c>
      <c r="I6" s="2" t="s">
        <v>13</v>
      </c>
      <c r="J6" s="3">
        <f>202.802+15279.98+11297.186</f>
        <v>26779.968000000001</v>
      </c>
      <c r="K6" s="18" t="s">
        <v>62</v>
      </c>
    </row>
    <row r="7" spans="1:11" x14ac:dyDescent="0.2">
      <c r="I7" s="2" t="s">
        <v>14</v>
      </c>
      <c r="J7" s="3">
        <v>197</v>
      </c>
      <c r="K7" s="18" t="s">
        <v>62</v>
      </c>
    </row>
    <row r="8" spans="1:11" x14ac:dyDescent="0.2">
      <c r="I8" s="2" t="s">
        <v>15</v>
      </c>
      <c r="J8" s="3">
        <f>+J5-J6+J7</f>
        <v>20324.7862539056</v>
      </c>
    </row>
    <row r="9" spans="1:11" x14ac:dyDescent="0.2">
      <c r="B9" s="12" t="s">
        <v>39</v>
      </c>
    </row>
    <row r="10" spans="1:11" x14ac:dyDescent="0.2">
      <c r="B10" s="17" t="s">
        <v>57</v>
      </c>
      <c r="I10" s="9" t="s">
        <v>36</v>
      </c>
      <c r="J10" s="2">
        <v>0.88</v>
      </c>
    </row>
    <row r="11" spans="1:11" x14ac:dyDescent="0.2">
      <c r="B11" s="17" t="s">
        <v>58</v>
      </c>
      <c r="H11" s="3"/>
    </row>
    <row r="12" spans="1:11" x14ac:dyDescent="0.2">
      <c r="B12" s="17" t="s">
        <v>59</v>
      </c>
      <c r="I12" s="15" t="s">
        <v>52</v>
      </c>
      <c r="J12" s="3">
        <v>101720</v>
      </c>
    </row>
    <row r="14" spans="1:11" x14ac:dyDescent="0.2">
      <c r="B14" s="9" t="s">
        <v>40</v>
      </c>
      <c r="D14" s="9" t="s">
        <v>20</v>
      </c>
      <c r="E14" s="9" t="s">
        <v>46</v>
      </c>
      <c r="F14" s="9" t="s">
        <v>51</v>
      </c>
    </row>
    <row r="15" spans="1:11" x14ac:dyDescent="0.2">
      <c r="B15" s="9" t="s">
        <v>41</v>
      </c>
      <c r="D15" s="8">
        <v>4333.0709999999999</v>
      </c>
      <c r="E15" s="14">
        <f>+D15/Model!$I$7</f>
        <v>0.28952023414607025</v>
      </c>
      <c r="F15" s="9" t="s">
        <v>47</v>
      </c>
    </row>
    <row r="16" spans="1:11" x14ac:dyDescent="0.2">
      <c r="B16" s="9" t="s">
        <v>42</v>
      </c>
      <c r="D16" s="8">
        <v>3435.558</v>
      </c>
      <c r="E16" s="14">
        <f>+D16/Model!$I$7</f>
        <v>0.22955164052987015</v>
      </c>
      <c r="F16" s="9" t="s">
        <v>48</v>
      </c>
    </row>
    <row r="17" spans="2:6" x14ac:dyDescent="0.2">
      <c r="B17" s="9" t="s">
        <v>43</v>
      </c>
      <c r="D17" s="8">
        <v>2992.45</v>
      </c>
      <c r="E17" s="14">
        <f>+D17/Model!$I$7</f>
        <v>0.19994475619494995</v>
      </c>
      <c r="F17" s="9" t="s">
        <v>49</v>
      </c>
    </row>
    <row r="18" spans="2:6" x14ac:dyDescent="0.2">
      <c r="B18" s="9" t="s">
        <v>44</v>
      </c>
      <c r="D18" s="8">
        <v>1532.2090000000001</v>
      </c>
      <c r="E18" s="14">
        <f>+D18/Model!$I$7</f>
        <v>0.10237669967575334</v>
      </c>
      <c r="F18" s="9" t="s">
        <v>50</v>
      </c>
    </row>
    <row r="19" spans="2:6" x14ac:dyDescent="0.2">
      <c r="B19" s="9" t="s">
        <v>45</v>
      </c>
      <c r="D19" s="13">
        <f>+SUM(D15:D18)</f>
        <v>12293.288</v>
      </c>
      <c r="E19" s="14">
        <f>+D19/Model!$I$7</f>
        <v>0.82139333054664376</v>
      </c>
    </row>
  </sheetData>
  <hyperlinks>
    <hyperlink ref="B5" r:id="rId1" xr:uid="{5E987129-716B-43D3-B1A1-37FFB3CF7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CA26-0522-4AAD-91CE-26CB3C60CDF1}">
  <dimension ref="A1:AD419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K22" sqref="K22"/>
    </sheetView>
  </sheetViews>
  <sheetFormatPr defaultRowHeight="12.75" x14ac:dyDescent="0.2"/>
  <cols>
    <col min="1" max="1" width="4.7109375" style="2" bestFit="1" customWidth="1"/>
    <col min="2" max="2" width="22.5703125" style="2" customWidth="1"/>
    <col min="3" max="16384" width="9.140625" style="2"/>
  </cols>
  <sheetData>
    <row r="1" spans="1:30" x14ac:dyDescent="0.2">
      <c r="A1" s="5" t="s">
        <v>1</v>
      </c>
    </row>
    <row r="2" spans="1:30" x14ac:dyDescent="0.2"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11" t="s">
        <v>37</v>
      </c>
      <c r="J2" s="11" t="s">
        <v>38</v>
      </c>
      <c r="K2" s="18" t="s">
        <v>60</v>
      </c>
      <c r="L2" s="18" t="s">
        <v>61</v>
      </c>
    </row>
    <row r="3" spans="1:30" x14ac:dyDescent="0.2">
      <c r="A3" s="6"/>
      <c r="B3" s="2" t="s">
        <v>16</v>
      </c>
      <c r="C3" s="3"/>
      <c r="D3" s="3"/>
      <c r="E3" s="3">
        <v>8560.723</v>
      </c>
      <c r="F3" s="3"/>
      <c r="G3" s="3">
        <v>9212.5460000000003</v>
      </c>
      <c r="H3" s="3"/>
      <c r="I3" s="3">
        <v>10128.585999999999</v>
      </c>
      <c r="J3" s="3"/>
      <c r="K3" s="3">
        <v>9041.8330000000005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">
      <c r="B4" s="2" t="s">
        <v>17</v>
      </c>
      <c r="C4" s="3"/>
      <c r="D4" s="3"/>
      <c r="E4" s="3">
        <v>2299.7660000000001</v>
      </c>
      <c r="F4" s="3"/>
      <c r="G4" s="3">
        <v>2760.739</v>
      </c>
      <c r="H4" s="3"/>
      <c r="I4" s="3">
        <v>3792.1329999999998</v>
      </c>
      <c r="J4" s="3"/>
      <c r="K4" s="3">
        <v>3962.8629999999998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">
      <c r="B5" s="2" t="s">
        <v>18</v>
      </c>
      <c r="C5" s="3"/>
      <c r="D5" s="3"/>
      <c r="E5" s="3">
        <v>612.78399999999999</v>
      </c>
      <c r="F5" s="3"/>
      <c r="G5" s="3">
        <v>903.18200000000002</v>
      </c>
      <c r="H5" s="3"/>
      <c r="I5" s="3">
        <v>940.21100000000001</v>
      </c>
      <c r="J5" s="3"/>
      <c r="K5" s="3">
        <v>997.75199999999995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">
      <c r="B6" s="2" t="s">
        <v>19</v>
      </c>
      <c r="C6" s="3"/>
      <c r="D6" s="3"/>
      <c r="E6" s="3">
        <v>88.688999999999993</v>
      </c>
      <c r="F6" s="3"/>
      <c r="G6" s="3">
        <v>99.504000000000005</v>
      </c>
      <c r="H6" s="3"/>
      <c r="I6" s="3">
        <v>105.45399999999999</v>
      </c>
      <c r="J6" s="3"/>
      <c r="K6" s="3">
        <v>176.72900000000001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">
      <c r="B7" s="1" t="s">
        <v>20</v>
      </c>
      <c r="C7" s="7">
        <f t="shared" ref="C7:F7" si="0">+SUM(C3:C6)</f>
        <v>0</v>
      </c>
      <c r="D7" s="7">
        <f t="shared" si="0"/>
        <v>0</v>
      </c>
      <c r="E7" s="7">
        <f t="shared" si="0"/>
        <v>11561.962</v>
      </c>
      <c r="F7" s="7">
        <f t="shared" si="0"/>
        <v>0</v>
      </c>
      <c r="G7" s="7">
        <f>+SUM(G3:G6)</f>
        <v>12975.971000000001</v>
      </c>
      <c r="H7" s="7">
        <f t="shared" ref="H7" si="1">+SUM(H3:H6)</f>
        <v>0</v>
      </c>
      <c r="I7" s="7">
        <v>14966.384</v>
      </c>
      <c r="J7" s="7"/>
      <c r="K7" s="7">
        <v>14179.177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">
      <c r="B8" s="2" t="s">
        <v>21</v>
      </c>
      <c r="C8" s="3"/>
      <c r="D8" s="3"/>
      <c r="E8" s="3">
        <v>8967.0580000000009</v>
      </c>
      <c r="F8" s="3"/>
      <c r="G8" s="3">
        <v>9214.5020000000004</v>
      </c>
      <c r="H8" s="3"/>
      <c r="I8" s="3">
        <v>10908.366</v>
      </c>
      <c r="J8" s="3"/>
      <c r="K8" s="3">
        <v>10981.713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">
      <c r="B9" s="2" t="s">
        <v>22</v>
      </c>
      <c r="C9" s="3">
        <f t="shared" ref="C9:F9" si="2">+C7-C8</f>
        <v>0</v>
      </c>
      <c r="D9" s="3">
        <f t="shared" si="2"/>
        <v>0</v>
      </c>
      <c r="E9" s="3">
        <f t="shared" si="2"/>
        <v>2594.9039999999986</v>
      </c>
      <c r="F9" s="3">
        <f t="shared" si="2"/>
        <v>0</v>
      </c>
      <c r="G9" s="3">
        <f>+G7-G8</f>
        <v>3761.469000000001</v>
      </c>
      <c r="H9" s="3">
        <f t="shared" ref="H9:K9" si="3">+H7-H8</f>
        <v>0</v>
      </c>
      <c r="I9" s="3">
        <f t="shared" si="3"/>
        <v>4058.018</v>
      </c>
      <c r="J9" s="3">
        <f t="shared" si="3"/>
        <v>0</v>
      </c>
      <c r="K9" s="3">
        <f t="shared" si="3"/>
        <v>3197.4639999999999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">
      <c r="B10" s="2" t="s">
        <v>23</v>
      </c>
      <c r="C10" s="3"/>
      <c r="D10" s="3"/>
      <c r="E10" s="3">
        <v>507.38900000000001</v>
      </c>
      <c r="F10" s="3"/>
      <c r="G10" s="3">
        <v>635.46299999999997</v>
      </c>
      <c r="H10" s="3"/>
      <c r="I10" s="3">
        <v>799.39700000000005</v>
      </c>
      <c r="J10" s="3"/>
      <c r="K10" s="3">
        <v>681.35500000000002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">
      <c r="B11" s="2" t="s">
        <v>24</v>
      </c>
      <c r="C11" s="3"/>
      <c r="D11" s="3"/>
      <c r="E11" s="3">
        <v>81.135000000000005</v>
      </c>
      <c r="F11" s="3"/>
      <c r="G11" s="3">
        <v>84.837000000000003</v>
      </c>
      <c r="H11" s="3"/>
      <c r="I11" s="3">
        <v>108.75700000000001</v>
      </c>
      <c r="J11" s="3"/>
      <c r="K11" s="3">
        <v>123.086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B12" s="2" t="s">
        <v>25</v>
      </c>
      <c r="C12" s="3"/>
      <c r="D12" s="3"/>
      <c r="E12" s="3">
        <v>913.68799999999999</v>
      </c>
      <c r="F12" s="3"/>
      <c r="G12" s="3">
        <v>943.697</v>
      </c>
      <c r="H12" s="3"/>
      <c r="I12" s="3">
        <v>1081.8</v>
      </c>
      <c r="J12" s="3"/>
      <c r="K12" s="3">
        <v>1064.184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">
      <c r="B13" s="2" t="s">
        <v>26</v>
      </c>
      <c r="C13" s="3">
        <f t="shared" ref="C13:F13" si="4">+C9+C10-SUM(C11:C12)</f>
        <v>0</v>
      </c>
      <c r="D13" s="3">
        <f t="shared" si="4"/>
        <v>0</v>
      </c>
      <c r="E13" s="3">
        <f t="shared" si="4"/>
        <v>2107.4699999999989</v>
      </c>
      <c r="F13" s="3">
        <f t="shared" si="4"/>
        <v>0</v>
      </c>
      <c r="G13" s="3">
        <f>+G9+G10-SUM(G11:G12)</f>
        <v>3368.3980000000006</v>
      </c>
      <c r="H13" s="3">
        <f t="shared" ref="H13:K13" si="5">+H9+H10-SUM(H11:H12)</f>
        <v>0</v>
      </c>
      <c r="I13" s="3">
        <f t="shared" si="5"/>
        <v>3666.8580000000002</v>
      </c>
      <c r="J13" s="3">
        <f t="shared" si="5"/>
        <v>0</v>
      </c>
      <c r="K13" s="3">
        <f t="shared" si="5"/>
        <v>2691.549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">
      <c r="B14" s="2" t="s">
        <v>27</v>
      </c>
      <c r="C14" s="3"/>
      <c r="D14" s="3"/>
      <c r="E14" s="3">
        <v>146.25800000000001</v>
      </c>
      <c r="F14" s="3"/>
      <c r="G14" s="3">
        <v>191.38900000000001</v>
      </c>
      <c r="H14" s="3"/>
      <c r="I14" s="3">
        <v>175.886</v>
      </c>
      <c r="J14" s="3"/>
      <c r="K14" s="3">
        <v>156.01900000000001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">
      <c r="B15" s="2" t="s">
        <v>28</v>
      </c>
      <c r="C15" s="3"/>
      <c r="D15" s="3"/>
      <c r="E15" s="3">
        <v>376.65899999999999</v>
      </c>
      <c r="F15" s="3"/>
      <c r="G15" s="3">
        <v>69.64</v>
      </c>
      <c r="H15" s="3"/>
      <c r="I15" s="3">
        <v>139.196</v>
      </c>
      <c r="J15" s="3"/>
      <c r="K15" s="3">
        <v>-497.09500000000003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">
      <c r="B16" s="2" t="s">
        <v>29</v>
      </c>
      <c r="C16" s="3"/>
      <c r="D16" s="3"/>
      <c r="E16" s="3">
        <v>10.553000000000001</v>
      </c>
      <c r="F16" s="3"/>
      <c r="G16" s="3">
        <v>2.56</v>
      </c>
      <c r="H16" s="3"/>
      <c r="I16" s="3">
        <v>1.952</v>
      </c>
      <c r="J16" s="3"/>
      <c r="K16" s="3">
        <v>1.4390000000000001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2:30" x14ac:dyDescent="0.2">
      <c r="B17" s="2" t="s">
        <v>30</v>
      </c>
      <c r="C17" s="3">
        <f t="shared" ref="C17:F17" si="6">+C13-C14+C15+C16</f>
        <v>0</v>
      </c>
      <c r="D17" s="3">
        <f t="shared" si="6"/>
        <v>0</v>
      </c>
      <c r="E17" s="3">
        <f t="shared" si="6"/>
        <v>2348.4239999999986</v>
      </c>
      <c r="F17" s="3">
        <f t="shared" si="6"/>
        <v>0</v>
      </c>
      <c r="G17" s="3">
        <f>+G13-G14+G15+G16</f>
        <v>3249.2090000000003</v>
      </c>
      <c r="H17" s="3">
        <f t="shared" ref="H17:K17" si="7">+H13-H14+H15+H16</f>
        <v>0</v>
      </c>
      <c r="I17" s="3">
        <f t="shared" si="7"/>
        <v>3632.1200000000003</v>
      </c>
      <c r="J17" s="3">
        <f t="shared" si="7"/>
        <v>0</v>
      </c>
      <c r="K17" s="3">
        <f t="shared" si="7"/>
        <v>2039.8739999999998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2:30" x14ac:dyDescent="0.2">
      <c r="B18" s="2" t="s">
        <v>31</v>
      </c>
      <c r="C18" s="3"/>
      <c r="D18" s="3"/>
      <c r="E18" s="3">
        <v>221.595</v>
      </c>
      <c r="F18" s="3"/>
      <c r="G18" s="3">
        <v>318.18099999999998</v>
      </c>
      <c r="H18" s="3"/>
      <c r="I18" s="3">
        <v>455.28399999999999</v>
      </c>
      <c r="J18" s="3"/>
      <c r="K18" s="3">
        <v>135.31100000000001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2:30" x14ac:dyDescent="0.2">
      <c r="B19" s="2" t="s">
        <v>32</v>
      </c>
      <c r="C19" s="3">
        <f t="shared" ref="C19:F19" si="8">+C17-C18</f>
        <v>0</v>
      </c>
      <c r="D19" s="3">
        <f t="shared" si="8"/>
        <v>0</v>
      </c>
      <c r="E19" s="3">
        <f t="shared" si="8"/>
        <v>2126.8289999999988</v>
      </c>
      <c r="F19" s="3">
        <f t="shared" si="8"/>
        <v>0</v>
      </c>
      <c r="G19" s="3">
        <f>+G17-G18</f>
        <v>2931.0280000000002</v>
      </c>
      <c r="H19" s="3">
        <f t="shared" ref="H19:K19" si="9">+H17-H18</f>
        <v>0</v>
      </c>
      <c r="I19" s="3">
        <f t="shared" si="9"/>
        <v>3176.8360000000002</v>
      </c>
      <c r="J19" s="3">
        <f t="shared" si="9"/>
        <v>0</v>
      </c>
      <c r="K19" s="3">
        <f t="shared" si="9"/>
        <v>1904.5629999999999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2:30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2:30" x14ac:dyDescent="0.2">
      <c r="B21" s="2" t="s">
        <v>33</v>
      </c>
      <c r="C21" s="8" t="e">
        <f t="shared" ref="C21:D21" si="10">+C19/C22</f>
        <v>#DIV/0!</v>
      </c>
      <c r="D21" s="8" t="e">
        <f t="shared" si="10"/>
        <v>#DIV/0!</v>
      </c>
      <c r="E21" s="8">
        <f>+E19/E22</f>
        <v>1.4148465351797168</v>
      </c>
      <c r="F21" s="8" t="e">
        <f t="shared" ref="F21:K21" si="11">+F19/F22</f>
        <v>#DIV/0!</v>
      </c>
      <c r="G21" s="8">
        <f t="shared" si="11"/>
        <v>1.949829915952217</v>
      </c>
      <c r="H21" s="8" t="e">
        <f t="shared" si="11"/>
        <v>#DIV/0!</v>
      </c>
      <c r="I21" s="8">
        <f t="shared" si="11"/>
        <v>2.1133506301795744</v>
      </c>
      <c r="J21" s="8" t="e">
        <f t="shared" si="11"/>
        <v>#DIV/0!</v>
      </c>
      <c r="K21" s="8">
        <f t="shared" si="11"/>
        <v>1.2669868435974347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2:30" x14ac:dyDescent="0.2">
      <c r="B22" s="2" t="s">
        <v>11</v>
      </c>
      <c r="C22" s="3"/>
      <c r="D22" s="3"/>
      <c r="E22" s="3">
        <v>1503.222397</v>
      </c>
      <c r="F22" s="3"/>
      <c r="G22" s="3">
        <v>1503.222397</v>
      </c>
      <c r="H22" s="3"/>
      <c r="I22" s="3">
        <v>1503.222397</v>
      </c>
      <c r="J22" s="3"/>
      <c r="K22" s="3">
        <v>1503.222397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2:30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2:30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2:30" x14ac:dyDescent="0.2">
      <c r="B25" s="1" t="s">
        <v>53</v>
      </c>
      <c r="C25" s="3"/>
      <c r="D25" s="3"/>
      <c r="E25" s="16" t="e">
        <f>+E7/C7-1</f>
        <v>#DIV/0!</v>
      </c>
      <c r="F25" s="16" t="e">
        <f>+F7/D7-1</f>
        <v>#DIV/0!</v>
      </c>
      <c r="G25" s="16">
        <f>+G7/E7-1</f>
        <v>0.12229836077994394</v>
      </c>
      <c r="H25" s="16" t="e">
        <f>+H7/F7-1</f>
        <v>#DIV/0!</v>
      </c>
      <c r="I25" s="16">
        <f>+I7/G7-1</f>
        <v>0.15339222012749554</v>
      </c>
      <c r="J25" s="16" t="e">
        <f t="shared" ref="J25:K25" si="12">+J7/H7-1</f>
        <v>#DIV/0!</v>
      </c>
      <c r="K25" s="16">
        <f t="shared" si="12"/>
        <v>-5.2598343060020425E-2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2:30" x14ac:dyDescent="0.2">
      <c r="B26" s="15" t="s">
        <v>54</v>
      </c>
      <c r="C26" s="3"/>
      <c r="D26" s="3"/>
      <c r="E26" s="14">
        <f>+E9/E7</f>
        <v>0.22443457260973515</v>
      </c>
      <c r="F26" s="14" t="e">
        <f>+F9/F7</f>
        <v>#DIV/0!</v>
      </c>
      <c r="G26" s="14">
        <f>+G9/G7</f>
        <v>0.28987957818339766</v>
      </c>
      <c r="H26" s="14" t="e">
        <f>+H9/H7</f>
        <v>#DIV/0!</v>
      </c>
      <c r="I26" s="14">
        <f>+I9/I7</f>
        <v>0.27114218103718307</v>
      </c>
      <c r="J26" s="14" t="e">
        <f t="shared" ref="J26:K26" si="13">+J9/J7</f>
        <v>#DIV/0!</v>
      </c>
      <c r="K26" s="14">
        <f t="shared" si="13"/>
        <v>0.22550420239482163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2:30" x14ac:dyDescent="0.2">
      <c r="B27" s="15" t="s">
        <v>55</v>
      </c>
      <c r="C27" s="3"/>
      <c r="D27" s="3"/>
      <c r="E27" s="14">
        <f>+E13/E7</f>
        <v>0.182276156935994</v>
      </c>
      <c r="F27" s="14" t="e">
        <f>+F13/F7</f>
        <v>#DIV/0!</v>
      </c>
      <c r="G27" s="14">
        <f>+G13/G7</f>
        <v>0.25958735573622971</v>
      </c>
      <c r="H27" s="14" t="e">
        <f>+H13/H7</f>
        <v>#DIV/0!</v>
      </c>
      <c r="I27" s="14">
        <f>+I13/I7</f>
        <v>0.24500627539691619</v>
      </c>
      <c r="J27" s="14" t="e">
        <f t="shared" ref="J27:K27" si="14">+J13/J7</f>
        <v>#DIV/0!</v>
      </c>
      <c r="K27" s="14">
        <f t="shared" si="14"/>
        <v>0.18982406383670927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2:30" x14ac:dyDescent="0.2">
      <c r="B28" s="15" t="s">
        <v>56</v>
      </c>
      <c r="C28" s="3"/>
      <c r="D28" s="3"/>
      <c r="E28" s="14">
        <f>+E18/E17</f>
        <v>9.4359025457072546E-2</v>
      </c>
      <c r="F28" s="14" t="e">
        <f>+F18/F17</f>
        <v>#DIV/0!</v>
      </c>
      <c r="G28" s="14">
        <f>+G18/G17</f>
        <v>9.7925679757750253E-2</v>
      </c>
      <c r="H28" s="14" t="e">
        <f>+H18/H17</f>
        <v>#DIV/0!</v>
      </c>
      <c r="I28" s="14">
        <f>+I18/I17</f>
        <v>0.12534938272964549</v>
      </c>
      <c r="J28" s="14" t="e">
        <f t="shared" ref="J28:K28" si="15">+J18/J17</f>
        <v>#DIV/0!</v>
      </c>
      <c r="K28" s="14">
        <f t="shared" si="15"/>
        <v>6.6333018608012079E-2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2:30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2:30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2:30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2:30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3:30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3:3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3:30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3:30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3:30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3:30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3:30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3:30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3:30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3:3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3:30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3:3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3:30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3:3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3:30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3:3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3:3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3:30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3:3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3:30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3:3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3:3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3:3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3:3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3:3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3:3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3:3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3:3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3:3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3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3:30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3:3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3:3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3:30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3:3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3:30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3:30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3:30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3:3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3:3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3:3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3:3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3:3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3:3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3:30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3:30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3:3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3:30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3:30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3:30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3:30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3:30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3:30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3:30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3:3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3:30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3:3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3:30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3:30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3:30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3:3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3:30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3:30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3:30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3:30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3:3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3:30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3:30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3:30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3:30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3:3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3:3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3:30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3:3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3:30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3:30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3:30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3:30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3:30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3:30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3:30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3:30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3:30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3:30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3:30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3:30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3:30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3:3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3:30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3:30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3:30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3:30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3:30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3:30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3:30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3:30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3:3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3:30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3:3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3:30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3:3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3:3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3:30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3:30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3:30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3:3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3:30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3:3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3:30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3:3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3:30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3:3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3:3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3:3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3:3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3:3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3:3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3:3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3:3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3:3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3:30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3:30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3:30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3:30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3:30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3:30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3:30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3:30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3:30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3:30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3:30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3:30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3:30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3:30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3:30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3:30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3:30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3:30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3:30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3:30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3:30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3:30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3:30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3:30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3:30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3:30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3:30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3:30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3:30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3:30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3:30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3:30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3:30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3:30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3:30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3:30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3:30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3:30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3:30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3:30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3:30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3:30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3:30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3:30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3:30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3:30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3:30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3:30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3:30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3:30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3:30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3:30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3:30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3:30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3:30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3:30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3:30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3:30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3:30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3:30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3:30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3:30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3:30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3:30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3:30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3:30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3:30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3:30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3:30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3:30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3:30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3:30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3:30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3:30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3:30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3:30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3:30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3:30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3:30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3:30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3:30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3:30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3:30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3:30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3:30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3:30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3:30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3:30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3:30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3:30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3:30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3:30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3:30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3:30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3:30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3:30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3:30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3:30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3:30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3:30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3:30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3:30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3:30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3:30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3:30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3:30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3:30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3:30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3:30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3:30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3:30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3:30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3:30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3:30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3:30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3:30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3:30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3:30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3:30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3:30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3:30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3:30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3:30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3:30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3:30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3:30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3:30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3:30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3:30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3:30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3:30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3:30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3:30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3:30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3:30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3:30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3:30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3:30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3:30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3:30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3:30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3:30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3:30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3:30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3:30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3:30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3:30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3:30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3:30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3:30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3:30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3:30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3:30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3:30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3:30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3:30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3:30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3:30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3:30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3:30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3:30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3:30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3:30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3:30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3:30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3:30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3:30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3:30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3:30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3:30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3:30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3:30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3:30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3:30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3:30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3:30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3:30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3:30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3:30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3:30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3:30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3:30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3:30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3:30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3:30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3:30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3:30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3:30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3:30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3:30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3:30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3:30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3:30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3:30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3:30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3:30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3:30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3:30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3:30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3:30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3:30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3:30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3:30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3:30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3:30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3:30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3:30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3:30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3:30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3:30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3:30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3:30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3:30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3:30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3:30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3:30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3:30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3:30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3:30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3:30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3:30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3:30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3:30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3:30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3:30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3:30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3:30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3:30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3:30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3:30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3:30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3:30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3:30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3:30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3:30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3:30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3:30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3:30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3:30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3:30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3:30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3:30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3:30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3:30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3:30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3:30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3:30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3:30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3:30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3:30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3:30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3:30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3:30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3:30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3:30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3:30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3:30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3:30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3:30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</sheetData>
  <hyperlinks>
    <hyperlink ref="A1" location="Main!A1" display="Main" xr:uid="{7D747EBE-F817-4B0D-A151-862E6690E7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2024-06-24T17:37:38Z</dcterms:created>
  <dcterms:modified xsi:type="dcterms:W3CDTF">2026-09-14T08:43:15Z</dcterms:modified>
</cp:coreProperties>
</file>