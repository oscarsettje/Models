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9EACC33B-834C-4134-98C2-E2EB41460627}" xr6:coauthVersionLast="47" xr6:coauthVersionMax="47" xr10:uidLastSave="{00000000-0000-0000-0000-000000000000}"/>
  <bookViews>
    <workbookView xWindow="19095" yWindow="0" windowWidth="19410" windowHeight="20925" activeTab="1" xr2:uid="{D4E53C97-B5F0-4187-8ABA-7D06CADAD88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" i="2" l="1"/>
  <c r="S21" i="2"/>
  <c r="U21" i="2"/>
  <c r="S95" i="2"/>
  <c r="S96" i="2"/>
  <c r="T95" i="2"/>
  <c r="T94" i="2"/>
  <c r="S94" i="2"/>
  <c r="T96" i="2"/>
  <c r="U96" i="2"/>
  <c r="U94" i="2"/>
  <c r="T92" i="2"/>
  <c r="S92" i="2"/>
  <c r="U92" i="2"/>
  <c r="T85" i="2"/>
  <c r="S85" i="2"/>
  <c r="U85" i="2"/>
  <c r="S76" i="2"/>
  <c r="T76" i="2"/>
  <c r="T77" i="2"/>
  <c r="S77" i="2"/>
  <c r="U77" i="2"/>
  <c r="U76" i="2"/>
  <c r="I5" i="1"/>
  <c r="T54" i="2"/>
  <c r="T59" i="2"/>
  <c r="U61" i="2"/>
  <c r="U59" i="2"/>
  <c r="U54" i="2"/>
  <c r="T47" i="2"/>
  <c r="T40" i="2"/>
  <c r="T48" i="2"/>
  <c r="U47" i="2"/>
  <c r="U40" i="2"/>
  <c r="U11" i="2"/>
  <c r="U15" i="2" s="1"/>
  <c r="U17" i="2" s="1"/>
  <c r="U19" i="2" s="1"/>
  <c r="T11" i="2"/>
  <c r="T15" i="2" s="1"/>
  <c r="T17" i="2" s="1"/>
  <c r="T19" i="2" s="1"/>
  <c r="S11" i="2"/>
  <c r="S15" i="2" s="1"/>
  <c r="S17" i="2" s="1"/>
  <c r="S19" i="2" s="1"/>
  <c r="R11" i="2"/>
  <c r="R15" i="2" s="1"/>
  <c r="R17" i="2" s="1"/>
  <c r="R19" i="2" s="1"/>
  <c r="Q11" i="2"/>
  <c r="Q15" i="2" s="1"/>
  <c r="Q17" i="2" s="1"/>
  <c r="Q19" i="2" s="1"/>
  <c r="P11" i="2"/>
  <c r="P15" i="2" s="1"/>
  <c r="P17" i="2" s="1"/>
  <c r="P19" i="2" s="1"/>
  <c r="T8" i="2"/>
  <c r="U8" i="2"/>
  <c r="I3" i="1"/>
  <c r="M30" i="2"/>
  <c r="M28" i="2"/>
  <c r="M27" i="2"/>
  <c r="M26" i="2"/>
  <c r="M25" i="2"/>
  <c r="M24" i="2"/>
  <c r="M11" i="2"/>
  <c r="M31" i="2" s="1"/>
  <c r="L30" i="2"/>
  <c r="L28" i="2"/>
  <c r="L27" i="2"/>
  <c r="L26" i="2"/>
  <c r="L25" i="2"/>
  <c r="L24" i="2"/>
  <c r="L11" i="2"/>
  <c r="L15" i="2" s="1"/>
  <c r="L8" i="2"/>
  <c r="K30" i="2"/>
  <c r="K28" i="2"/>
  <c r="K27" i="2"/>
  <c r="K26" i="2"/>
  <c r="K25" i="2"/>
  <c r="K24" i="2"/>
  <c r="K8" i="2"/>
  <c r="K11" i="2"/>
  <c r="K15" i="2" s="1"/>
  <c r="I4" i="1"/>
  <c r="E31" i="2"/>
  <c r="C31" i="2"/>
  <c r="I30" i="2"/>
  <c r="H30" i="2"/>
  <c r="G30" i="2"/>
  <c r="G29" i="2"/>
  <c r="I28" i="2"/>
  <c r="H28" i="2"/>
  <c r="G28" i="2"/>
  <c r="I27" i="2"/>
  <c r="H27" i="2"/>
  <c r="G27" i="2"/>
  <c r="I26" i="2"/>
  <c r="H26" i="2"/>
  <c r="G26" i="2"/>
  <c r="I25" i="2"/>
  <c r="H25" i="2"/>
  <c r="G25" i="2"/>
  <c r="I24" i="2"/>
  <c r="H24" i="2"/>
  <c r="G24" i="2"/>
  <c r="J30" i="2"/>
  <c r="J28" i="2"/>
  <c r="J27" i="2"/>
  <c r="J26" i="2"/>
  <c r="J25" i="2"/>
  <c r="J24" i="2"/>
  <c r="G8" i="2"/>
  <c r="C8" i="2"/>
  <c r="E8" i="2"/>
  <c r="I8" i="2"/>
  <c r="I29" i="2" s="1"/>
  <c r="F8" i="2"/>
  <c r="J8" i="2"/>
  <c r="D8" i="2"/>
  <c r="H8" i="2"/>
  <c r="D11" i="2"/>
  <c r="D15" i="2" s="1"/>
  <c r="D17" i="2" s="1"/>
  <c r="D19" i="2" s="1"/>
  <c r="D21" i="2" s="1"/>
  <c r="J11" i="2"/>
  <c r="J15" i="2" s="1"/>
  <c r="J17" i="2" s="1"/>
  <c r="J19" i="2" s="1"/>
  <c r="J21" i="2" s="1"/>
  <c r="I11" i="2"/>
  <c r="I15" i="2" s="1"/>
  <c r="I17" i="2" s="1"/>
  <c r="I19" i="2" s="1"/>
  <c r="I21" i="2" s="1"/>
  <c r="H11" i="2"/>
  <c r="H15" i="2" s="1"/>
  <c r="H17" i="2" s="1"/>
  <c r="H19" i="2" s="1"/>
  <c r="H21" i="2" s="1"/>
  <c r="G11" i="2"/>
  <c r="G15" i="2" s="1"/>
  <c r="G17" i="2" s="1"/>
  <c r="G19" i="2" s="1"/>
  <c r="G21" i="2" s="1"/>
  <c r="F11" i="2"/>
  <c r="F15" i="2" s="1"/>
  <c r="F17" i="2" s="1"/>
  <c r="F19" i="2" s="1"/>
  <c r="F21" i="2" s="1"/>
  <c r="E11" i="2"/>
  <c r="E15" i="2" s="1"/>
  <c r="E17" i="2" s="1"/>
  <c r="E19" i="2" s="1"/>
  <c r="E21" i="2" s="1"/>
  <c r="C11" i="2"/>
  <c r="C15" i="2" s="1"/>
  <c r="C17" i="2" s="1"/>
  <c r="C19" i="2" s="1"/>
  <c r="C21" i="2" s="1"/>
  <c r="T61" i="2" l="1"/>
  <c r="U48" i="2"/>
  <c r="F31" i="2"/>
  <c r="G31" i="2"/>
  <c r="D31" i="2"/>
  <c r="K29" i="2"/>
  <c r="H29" i="2"/>
  <c r="M29" i="2"/>
  <c r="L29" i="2"/>
  <c r="J29" i="2"/>
  <c r="C32" i="2"/>
  <c r="C33" i="2"/>
  <c r="F33" i="2"/>
  <c r="L31" i="2"/>
  <c r="G33" i="2"/>
  <c r="L17" i="2"/>
  <c r="L32" i="2"/>
  <c r="K17" i="2"/>
  <c r="K32" i="2"/>
  <c r="H31" i="2"/>
  <c r="D32" i="2"/>
  <c r="E32" i="2"/>
  <c r="F32" i="2"/>
  <c r="K31" i="2"/>
  <c r="M15" i="2"/>
  <c r="G32" i="2"/>
  <c r="I31" i="2"/>
  <c r="H32" i="2"/>
  <c r="I32" i="2"/>
  <c r="D33" i="2"/>
  <c r="E33" i="2"/>
  <c r="H33" i="2"/>
  <c r="I33" i="2"/>
  <c r="J31" i="2"/>
  <c r="J32" i="2"/>
  <c r="J33" i="2"/>
  <c r="I7" i="1"/>
  <c r="M32" i="2" l="1"/>
  <c r="M17" i="2"/>
  <c r="K19" i="2"/>
  <c r="K21" i="2" s="1"/>
  <c r="K33" i="2"/>
  <c r="L19" i="2"/>
  <c r="L21" i="2" s="1"/>
  <c r="L33" i="2"/>
  <c r="M33" i="2" l="1"/>
  <c r="M19" i="2"/>
  <c r="M21" i="2" s="1"/>
</calcChain>
</file>

<file path=xl/sharedStrings.xml><?xml version="1.0" encoding="utf-8"?>
<sst xmlns="http://schemas.openxmlformats.org/spreadsheetml/2006/main" count="128" uniqueCount="118">
  <si>
    <t xml:space="preserve">Alpahbet </t>
  </si>
  <si>
    <t>numbers in mio USD</t>
  </si>
  <si>
    <t>SEC</t>
  </si>
  <si>
    <t>GOOG</t>
  </si>
  <si>
    <t>Price</t>
  </si>
  <si>
    <t>Shares</t>
  </si>
  <si>
    <t>MC</t>
  </si>
  <si>
    <t>Cash</t>
  </si>
  <si>
    <t>Debt</t>
  </si>
  <si>
    <t>EV</t>
  </si>
  <si>
    <t>Q224</t>
  </si>
  <si>
    <t>Main</t>
  </si>
  <si>
    <t>Q123</t>
  </si>
  <si>
    <t>Q223</t>
  </si>
  <si>
    <t>Q323</t>
  </si>
  <si>
    <t>Q423</t>
  </si>
  <si>
    <t>Q124</t>
  </si>
  <si>
    <t>Q424</t>
  </si>
  <si>
    <t>Revenue</t>
  </si>
  <si>
    <t>COGS</t>
  </si>
  <si>
    <t>Gross Profit</t>
  </si>
  <si>
    <t>R&amp;D</t>
  </si>
  <si>
    <t>Sales &amp; Marketing</t>
  </si>
  <si>
    <t>General &amp; Administrative</t>
  </si>
  <si>
    <t>Operating Income</t>
  </si>
  <si>
    <t>Other Income</t>
  </si>
  <si>
    <t>Pretax Income</t>
  </si>
  <si>
    <t>Income Tax Expesne</t>
  </si>
  <si>
    <t>Net Income</t>
  </si>
  <si>
    <t>EPS</t>
  </si>
  <si>
    <t>Google Search and other</t>
  </si>
  <si>
    <t>YouTube Ads</t>
  </si>
  <si>
    <t>Google Network</t>
  </si>
  <si>
    <t xml:space="preserve">Google Cloud </t>
  </si>
  <si>
    <t>Other bets</t>
  </si>
  <si>
    <t>Google Supscritions, devices etc</t>
  </si>
  <si>
    <t>IR</t>
  </si>
  <si>
    <t>Q324</t>
  </si>
  <si>
    <t>Google Search Growth</t>
  </si>
  <si>
    <t>YouTube Ads Growth</t>
  </si>
  <si>
    <t>Google Network Growth</t>
  </si>
  <si>
    <t>Google Subscription Growth</t>
  </si>
  <si>
    <t>Google Cloud Growth</t>
  </si>
  <si>
    <t>Other bets Growth</t>
  </si>
  <si>
    <t>Revenue Growth</t>
  </si>
  <si>
    <t xml:space="preserve">Gross Margin </t>
  </si>
  <si>
    <t xml:space="preserve">Operating Margin </t>
  </si>
  <si>
    <t>Tax Rate</t>
  </si>
  <si>
    <t>Notes</t>
  </si>
  <si>
    <t>18-03-25: Aqcuistion of Wiz for 32 billion USD</t>
  </si>
  <si>
    <t xml:space="preserve">CEO: </t>
  </si>
  <si>
    <t>Founded: 1998 by Larry Page and Sergey Brin</t>
  </si>
  <si>
    <t>Antitrust trial</t>
  </si>
  <si>
    <t>Q125</t>
  </si>
  <si>
    <t>Sundar Pichai (since 2015)</t>
  </si>
  <si>
    <t>Q225</t>
  </si>
  <si>
    <t>Q325</t>
  </si>
  <si>
    <t>Q425</t>
  </si>
  <si>
    <t>CFFO</t>
  </si>
  <si>
    <t>CapEx</t>
  </si>
  <si>
    <t>FY20</t>
  </si>
  <si>
    <t>FY21</t>
  </si>
  <si>
    <t>FY22</t>
  </si>
  <si>
    <t>FY23</t>
  </si>
  <si>
    <t>FY24</t>
  </si>
  <si>
    <t>FY25</t>
  </si>
  <si>
    <t>Cash &amp; Cash Equivalents</t>
  </si>
  <si>
    <t>Marketable securities</t>
  </si>
  <si>
    <t>Accounts Receivables</t>
  </si>
  <si>
    <t xml:space="preserve">Other </t>
  </si>
  <si>
    <t>Current Assets</t>
  </si>
  <si>
    <t>Non-marketable securities</t>
  </si>
  <si>
    <t>Deffered income tax</t>
  </si>
  <si>
    <t>PP&amp;E</t>
  </si>
  <si>
    <t>Leases</t>
  </si>
  <si>
    <t>Goodwill</t>
  </si>
  <si>
    <t>Non-current assets</t>
  </si>
  <si>
    <t>Total Assets</t>
  </si>
  <si>
    <t>Accounts Payables</t>
  </si>
  <si>
    <t>Accrued compensations</t>
  </si>
  <si>
    <t>Accrued expenses</t>
  </si>
  <si>
    <t>Deffered Revenue</t>
  </si>
  <si>
    <t>Current Liabilities</t>
  </si>
  <si>
    <t>Tax Payables</t>
  </si>
  <si>
    <t>Non-current liabilities</t>
  </si>
  <si>
    <t>Equity</t>
  </si>
  <si>
    <t>Total Equity &amp; Liabilities</t>
  </si>
  <si>
    <t>Accried Revenue Share</t>
  </si>
  <si>
    <t>Depreciation</t>
  </si>
  <si>
    <t>SBCs</t>
  </si>
  <si>
    <t>Deferred Income taxes</t>
  </si>
  <si>
    <t>Gain on equity Securities</t>
  </si>
  <si>
    <t>Other</t>
  </si>
  <si>
    <t>Change in AR</t>
  </si>
  <si>
    <t>Change in Income Taxes</t>
  </si>
  <si>
    <t>Change in other</t>
  </si>
  <si>
    <t>Change in AP</t>
  </si>
  <si>
    <t>Change in Accrued Expenses</t>
  </si>
  <si>
    <t>Change in Accrued Revenue</t>
  </si>
  <si>
    <t>Change in Deferred Revenue</t>
  </si>
  <si>
    <t>Change in WC</t>
  </si>
  <si>
    <t>CFFI</t>
  </si>
  <si>
    <t>Purchase of MS</t>
  </si>
  <si>
    <t>Purchase of non-mark. Sec.</t>
  </si>
  <si>
    <t>Sale of MS</t>
  </si>
  <si>
    <t>Sale of non-mark. Sec.</t>
  </si>
  <si>
    <t>Acquisitions</t>
  </si>
  <si>
    <t>CFFF</t>
  </si>
  <si>
    <t>Stock based award activities</t>
  </si>
  <si>
    <t>Repurchase of Stocks</t>
  </si>
  <si>
    <t>Dividend Payments</t>
  </si>
  <si>
    <t>Issuance of Debt</t>
  </si>
  <si>
    <t>Repayment of Debt</t>
  </si>
  <si>
    <t>Sale of interest in entities</t>
  </si>
  <si>
    <t>FX</t>
  </si>
  <si>
    <t xml:space="preserve">Change in Cash </t>
  </si>
  <si>
    <t>Cash BoP</t>
  </si>
  <si>
    <t>Cash EoP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</si>
</sst>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7">
    <xf numFmtId="0" fontId="0" fillId="0" borderId="0" xfId="0"/>
    <xf numFmtId="0" fontId="7" fillId="0" borderId="0" xfId="1" applyFont="1"/>
    <xf numFmtId="0" fontId="3" fillId="0" borderId="0" xfId="0" applyFont="1"/>
    <xf numFmtId="164" fontId="3" fillId="0" borderId="0" xfId="0" applyNumberFormat="1" applyFont="1"/>
    <xf numFmtId="0" fontId="6" fillId="0" borderId="0" xfId="0" applyFont="1"/>
    <xf numFmtId="164" fontId="6" fillId="0" borderId="0" xfId="0" applyNumberFormat="1" applyFont="1"/>
    <xf numFmtId="166" fontId="3" fillId="0" borderId="0" xfId="0" applyNumberFormat="1" applyFont="1"/>
    <xf numFmtId="9" fontId="3" fillId="0" borderId="0" xfId="2" applyFont="1"/>
    <xf numFmtId="9" fontId="6" fillId="0" borderId="0" xfId="2" applyFont="1"/>
    <xf numFmtId="165" fontId="3" fillId="0" borderId="0" xfId="0" applyNumberFormat="1" applyFont="1"/>
    <xf numFmtId="0" fontId="8" fillId="0" borderId="0" xfId="0" applyFont="1"/>
    <xf numFmtId="164" fontId="2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right"/>
    </xf>
    <xf numFmtId="3" fontId="3" fillId="0" borderId="0" xfId="0" applyNumberFormat="1" applyFont="1"/>
    <xf numFmtId="164" fontId="3" fillId="0" borderId="0" xfId="0" applyNumberFormat="1" applyFont="1" applyAlignment="1">
      <alignment horizontal="right"/>
    </xf>
    <xf numFmtId="164" fontId="1" fillId="0" borderId="0" xfId="0" applyNumberFormat="1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abc.xyz/investor/" TargetMode="External"/><Relationship Id="rId1" Type="http://schemas.openxmlformats.org/officeDocument/2006/relationships/hyperlink" Target="https://www.sec.gov/edgar/browse/?CIK=1652044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CFA51-5998-459C-9259-D851D24389D5}">
  <dimension ref="A1:J15"/>
  <sheetViews>
    <sheetView zoomScale="200" zoomScaleNormal="200" workbookViewId="0">
      <selection activeCell="I7" sqref="I7"/>
    </sheetView>
  </sheetViews>
  <sheetFormatPr defaultRowHeight="12.75" x14ac:dyDescent="0.2"/>
  <cols>
    <col min="1" max="1" width="4.5703125" style="2" customWidth="1"/>
    <col min="2" max="8" width="9.140625" style="2"/>
    <col min="9" max="9" width="10.140625" style="2" bestFit="1" customWidth="1"/>
    <col min="10" max="16384" width="9.140625" style="2"/>
  </cols>
  <sheetData>
    <row r="1" spans="1:10" x14ac:dyDescent="0.2">
      <c r="A1" s="4" t="s">
        <v>0</v>
      </c>
    </row>
    <row r="2" spans="1:10" x14ac:dyDescent="0.2">
      <c r="A2" s="2" t="s">
        <v>1</v>
      </c>
      <c r="H2" s="2" t="s">
        <v>4</v>
      </c>
      <c r="I2" s="9">
        <v>319.2</v>
      </c>
    </row>
    <row r="3" spans="1:10" x14ac:dyDescent="0.2">
      <c r="H3" s="2" t="s">
        <v>5</v>
      </c>
      <c r="I3" s="3">
        <f>5822+837+5438</f>
        <v>12097</v>
      </c>
      <c r="J3" s="13" t="s">
        <v>57</v>
      </c>
    </row>
    <row r="4" spans="1:10" x14ac:dyDescent="0.2">
      <c r="B4" s="1" t="s">
        <v>2</v>
      </c>
      <c r="H4" s="2" t="s">
        <v>6</v>
      </c>
      <c r="I4" s="3">
        <f>I2*I3</f>
        <v>3861362.4</v>
      </c>
    </row>
    <row r="5" spans="1:10" x14ac:dyDescent="0.2">
      <c r="B5" s="2" t="s">
        <v>3</v>
      </c>
      <c r="H5" s="2" t="s">
        <v>7</v>
      </c>
      <c r="I5" s="3">
        <f>30708+96135</f>
        <v>126843</v>
      </c>
      <c r="J5" s="13" t="s">
        <v>57</v>
      </c>
    </row>
    <row r="6" spans="1:10" x14ac:dyDescent="0.2">
      <c r="B6" s="1" t="s">
        <v>36</v>
      </c>
      <c r="H6" s="2" t="s">
        <v>8</v>
      </c>
      <c r="I6" s="3">
        <v>46547</v>
      </c>
      <c r="J6" s="13" t="s">
        <v>57</v>
      </c>
    </row>
    <row r="7" spans="1:10" x14ac:dyDescent="0.2">
      <c r="H7" s="2" t="s">
        <v>9</v>
      </c>
      <c r="I7" s="3">
        <f>I4-I5+I6</f>
        <v>3781066.4</v>
      </c>
    </row>
    <row r="9" spans="1:10" x14ac:dyDescent="0.2">
      <c r="H9" s="2" t="s">
        <v>50</v>
      </c>
      <c r="I9" s="2" t="s">
        <v>54</v>
      </c>
    </row>
    <row r="10" spans="1:10" x14ac:dyDescent="0.2">
      <c r="H10" s="2" t="s">
        <v>51</v>
      </c>
    </row>
    <row r="13" spans="1:10" x14ac:dyDescent="0.2">
      <c r="B13" s="10" t="s">
        <v>48</v>
      </c>
    </row>
    <row r="14" spans="1:10" x14ac:dyDescent="0.2">
      <c r="B14" s="2" t="s">
        <v>49</v>
      </c>
    </row>
    <row r="15" spans="1:10" x14ac:dyDescent="0.2">
      <c r="B15" s="2" t="s">
        <v>52</v>
      </c>
    </row>
  </sheetData>
  <hyperlinks>
    <hyperlink ref="B4" r:id="rId1" xr:uid="{EBBEEF96-A0F9-41D4-85A5-49237A32F934}"/>
    <hyperlink ref="B6" r:id="rId2" xr:uid="{6C7D90F9-2C8E-4ADD-BA6F-8C1258A46E9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E9DFC-D321-430C-971E-EAB3ABB980BE}">
  <dimension ref="A1:CU853"/>
  <sheetViews>
    <sheetView tabSelected="1" zoomScale="200" zoomScaleNormal="200"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R21" sqref="R21"/>
    </sheetView>
  </sheetViews>
  <sheetFormatPr defaultRowHeight="12.75" x14ac:dyDescent="0.2"/>
  <cols>
    <col min="1" max="1" width="4.7109375" style="2" bestFit="1" customWidth="1"/>
    <col min="2" max="2" width="29.85546875" style="2" bestFit="1" customWidth="1"/>
    <col min="3" max="16384" width="9.140625" style="2"/>
  </cols>
  <sheetData>
    <row r="1" spans="1:99" x14ac:dyDescent="0.2">
      <c r="A1" s="1" t="s">
        <v>11</v>
      </c>
    </row>
    <row r="2" spans="1:99" x14ac:dyDescent="0.2">
      <c r="C2" s="15" t="s">
        <v>12</v>
      </c>
      <c r="D2" s="15" t="s">
        <v>13</v>
      </c>
      <c r="E2" s="15" t="s">
        <v>14</v>
      </c>
      <c r="F2" s="15" t="s">
        <v>15</v>
      </c>
      <c r="G2" s="15" t="s">
        <v>16</v>
      </c>
      <c r="H2" s="15" t="s">
        <v>10</v>
      </c>
      <c r="I2" s="15" t="s">
        <v>37</v>
      </c>
      <c r="J2" s="15" t="s">
        <v>17</v>
      </c>
      <c r="K2" s="15" t="s">
        <v>53</v>
      </c>
      <c r="L2" s="15" t="s">
        <v>55</v>
      </c>
      <c r="M2" s="15" t="s">
        <v>56</v>
      </c>
      <c r="N2" s="15" t="s">
        <v>57</v>
      </c>
      <c r="O2" s="3"/>
      <c r="P2" s="16" t="s">
        <v>60</v>
      </c>
      <c r="Q2" s="16" t="s">
        <v>61</v>
      </c>
      <c r="R2" s="16" t="s">
        <v>62</v>
      </c>
      <c r="S2" s="16" t="s">
        <v>63</v>
      </c>
      <c r="T2" s="16" t="s">
        <v>64</v>
      </c>
      <c r="U2" s="16" t="s">
        <v>65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</row>
    <row r="3" spans="1:99" x14ac:dyDescent="0.2">
      <c r="B3" s="2" t="s">
        <v>30</v>
      </c>
      <c r="C3" s="3">
        <v>40359</v>
      </c>
      <c r="D3" s="3">
        <v>42628</v>
      </c>
      <c r="E3" s="3">
        <v>44026</v>
      </c>
      <c r="F3" s="3">
        <v>48020</v>
      </c>
      <c r="G3" s="3">
        <v>46156</v>
      </c>
      <c r="H3" s="3">
        <v>48509</v>
      </c>
      <c r="I3" s="3">
        <v>49385</v>
      </c>
      <c r="J3" s="3">
        <v>54034</v>
      </c>
      <c r="K3" s="3">
        <v>50702</v>
      </c>
      <c r="L3" s="3">
        <v>54190</v>
      </c>
      <c r="M3" s="3">
        <v>56567</v>
      </c>
      <c r="N3" s="3"/>
      <c r="O3" s="3"/>
      <c r="P3" s="3"/>
      <c r="Q3" s="3"/>
      <c r="R3" s="3"/>
      <c r="S3" s="3"/>
      <c r="T3" s="3">
        <v>198084</v>
      </c>
      <c r="U3" s="3">
        <v>224532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14"/>
      <c r="CO3" s="14"/>
      <c r="CP3" s="14"/>
      <c r="CQ3" s="14"/>
      <c r="CR3" s="14"/>
      <c r="CS3" s="14"/>
      <c r="CT3" s="14"/>
      <c r="CU3" s="14"/>
    </row>
    <row r="4" spans="1:99" x14ac:dyDescent="0.2">
      <c r="B4" s="2" t="s">
        <v>31</v>
      </c>
      <c r="C4" s="3">
        <v>6693</v>
      </c>
      <c r="D4" s="3">
        <v>7665</v>
      </c>
      <c r="E4" s="3">
        <v>7952</v>
      </c>
      <c r="F4" s="3">
        <v>9200</v>
      </c>
      <c r="G4" s="3">
        <v>8090</v>
      </c>
      <c r="H4" s="3">
        <v>8663</v>
      </c>
      <c r="I4" s="3">
        <v>8921</v>
      </c>
      <c r="J4" s="3">
        <v>10473</v>
      </c>
      <c r="K4" s="3">
        <v>8927</v>
      </c>
      <c r="L4" s="3">
        <v>9796</v>
      </c>
      <c r="M4" s="11">
        <v>10261</v>
      </c>
      <c r="N4" s="3"/>
      <c r="O4" s="3"/>
      <c r="P4" s="3"/>
      <c r="Q4" s="3"/>
      <c r="R4" s="3"/>
      <c r="S4" s="3"/>
      <c r="T4" s="3">
        <v>36147</v>
      </c>
      <c r="U4" s="3">
        <v>40367</v>
      </c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14"/>
      <c r="CO4" s="14"/>
      <c r="CP4" s="14"/>
      <c r="CQ4" s="14"/>
      <c r="CR4" s="14"/>
      <c r="CS4" s="14"/>
      <c r="CT4" s="14"/>
      <c r="CU4" s="14"/>
    </row>
    <row r="5" spans="1:99" x14ac:dyDescent="0.2">
      <c r="B5" s="2" t="s">
        <v>32</v>
      </c>
      <c r="C5" s="3">
        <v>7496</v>
      </c>
      <c r="D5" s="3">
        <v>7850</v>
      </c>
      <c r="E5" s="3">
        <v>7669</v>
      </c>
      <c r="F5" s="3">
        <v>8297</v>
      </c>
      <c r="G5" s="3">
        <v>7413</v>
      </c>
      <c r="H5" s="3">
        <v>7444</v>
      </c>
      <c r="I5" s="3">
        <v>7548</v>
      </c>
      <c r="J5" s="3">
        <v>7954</v>
      </c>
      <c r="K5" s="3">
        <v>7256</v>
      </c>
      <c r="L5" s="3">
        <v>7354</v>
      </c>
      <c r="M5" s="3">
        <v>7354</v>
      </c>
      <c r="N5" s="3"/>
      <c r="O5" s="3"/>
      <c r="P5" s="3"/>
      <c r="Q5" s="3"/>
      <c r="R5" s="3"/>
      <c r="S5" s="3"/>
      <c r="T5" s="3">
        <v>30359</v>
      </c>
      <c r="U5" s="3">
        <v>29792</v>
      </c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14"/>
      <c r="CO5" s="14"/>
      <c r="CP5" s="14"/>
      <c r="CQ5" s="14"/>
      <c r="CR5" s="14"/>
      <c r="CS5" s="14"/>
      <c r="CT5" s="14"/>
      <c r="CU5" s="14"/>
    </row>
    <row r="6" spans="1:99" x14ac:dyDescent="0.2">
      <c r="B6" s="2" t="s">
        <v>35</v>
      </c>
      <c r="C6" s="3">
        <v>7413</v>
      </c>
      <c r="D6" s="3">
        <v>8142</v>
      </c>
      <c r="E6" s="3">
        <v>8339</v>
      </c>
      <c r="F6" s="3">
        <v>10794</v>
      </c>
      <c r="G6" s="3">
        <v>8739</v>
      </c>
      <c r="H6" s="3">
        <v>9312</v>
      </c>
      <c r="I6" s="3">
        <v>10656</v>
      </c>
      <c r="J6" s="3">
        <v>11633</v>
      </c>
      <c r="K6" s="3">
        <v>10379</v>
      </c>
      <c r="L6" s="3">
        <v>11203</v>
      </c>
      <c r="M6" s="3">
        <v>12870</v>
      </c>
      <c r="N6" s="3"/>
      <c r="O6" s="3"/>
      <c r="P6" s="3"/>
      <c r="Q6" s="3"/>
      <c r="R6" s="3"/>
      <c r="S6" s="3"/>
      <c r="T6" s="3">
        <v>40340</v>
      </c>
      <c r="U6" s="3">
        <v>48030</v>
      </c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14"/>
      <c r="CO6" s="14"/>
      <c r="CP6" s="14"/>
      <c r="CQ6" s="14"/>
      <c r="CR6" s="14"/>
      <c r="CS6" s="14"/>
      <c r="CT6" s="14"/>
      <c r="CU6" s="14"/>
    </row>
    <row r="7" spans="1:99" x14ac:dyDescent="0.2">
      <c r="B7" s="2" t="s">
        <v>33</v>
      </c>
      <c r="C7" s="3">
        <v>7454</v>
      </c>
      <c r="D7" s="3">
        <v>8031</v>
      </c>
      <c r="E7" s="3">
        <v>8411</v>
      </c>
      <c r="F7" s="3">
        <v>9192</v>
      </c>
      <c r="G7" s="3">
        <v>9574</v>
      </c>
      <c r="H7" s="3">
        <v>10347</v>
      </c>
      <c r="I7" s="3">
        <v>11353</v>
      </c>
      <c r="J7" s="3">
        <v>11955</v>
      </c>
      <c r="K7" s="3">
        <v>12260</v>
      </c>
      <c r="L7" s="3">
        <v>13624</v>
      </c>
      <c r="M7" s="3">
        <v>15157</v>
      </c>
      <c r="N7" s="3"/>
      <c r="O7" s="3"/>
      <c r="P7" s="3"/>
      <c r="Q7" s="3"/>
      <c r="R7" s="3"/>
      <c r="S7" s="3"/>
      <c r="T7" s="3">
        <v>43229</v>
      </c>
      <c r="U7" s="3">
        <v>58705</v>
      </c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14"/>
      <c r="CO7" s="14"/>
      <c r="CP7" s="14"/>
      <c r="CQ7" s="14"/>
      <c r="CR7" s="14"/>
      <c r="CS7" s="14"/>
      <c r="CT7" s="14"/>
      <c r="CU7" s="14"/>
    </row>
    <row r="8" spans="1:99" x14ac:dyDescent="0.2">
      <c r="B8" s="2" t="s">
        <v>34</v>
      </c>
      <c r="C8" s="3">
        <f>288+84</f>
        <v>372</v>
      </c>
      <c r="D8" s="3">
        <f>285+3</f>
        <v>288</v>
      </c>
      <c r="E8" s="3">
        <f>297-1</f>
        <v>296</v>
      </c>
      <c r="F8" s="3">
        <f>657+150</f>
        <v>807</v>
      </c>
      <c r="G8" s="3">
        <f>495+72</f>
        <v>567</v>
      </c>
      <c r="H8" s="3">
        <f>365+102</f>
        <v>467</v>
      </c>
      <c r="I8" s="3">
        <f>388+17</f>
        <v>405</v>
      </c>
      <c r="J8" s="3">
        <f>400+20</f>
        <v>420</v>
      </c>
      <c r="K8" s="3">
        <f>450+260</f>
        <v>710</v>
      </c>
      <c r="L8" s="3">
        <f>373-112</f>
        <v>261</v>
      </c>
      <c r="M8" s="3">
        <v>344</v>
      </c>
      <c r="N8" s="3"/>
      <c r="O8" s="3"/>
      <c r="P8" s="3"/>
      <c r="Q8" s="3"/>
      <c r="R8" s="3"/>
      <c r="S8" s="3"/>
      <c r="T8" s="3">
        <f>1648+211</f>
        <v>1859</v>
      </c>
      <c r="U8" s="3">
        <f>1537-127</f>
        <v>1410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14"/>
      <c r="CO8" s="14"/>
      <c r="CP8" s="14"/>
      <c r="CQ8" s="14"/>
      <c r="CR8" s="14"/>
      <c r="CS8" s="14"/>
      <c r="CT8" s="14"/>
      <c r="CU8" s="14"/>
    </row>
    <row r="9" spans="1:99" x14ac:dyDescent="0.2">
      <c r="B9" s="4" t="s">
        <v>18</v>
      </c>
      <c r="C9" s="5">
        <v>69787</v>
      </c>
      <c r="D9" s="5">
        <v>74604</v>
      </c>
      <c r="E9" s="3">
        <v>76693</v>
      </c>
      <c r="F9" s="3">
        <v>86310</v>
      </c>
      <c r="G9" s="3">
        <v>80539</v>
      </c>
      <c r="H9" s="3">
        <v>84742</v>
      </c>
      <c r="I9" s="3">
        <v>88268</v>
      </c>
      <c r="J9" s="3">
        <v>96469</v>
      </c>
      <c r="K9" s="3">
        <v>90234</v>
      </c>
      <c r="L9" s="3">
        <v>96428</v>
      </c>
      <c r="M9" s="3">
        <v>102346</v>
      </c>
      <c r="N9" s="3"/>
      <c r="O9" s="3"/>
      <c r="P9" s="3"/>
      <c r="Q9" s="3"/>
      <c r="R9" s="3"/>
      <c r="S9" s="5">
        <v>307394</v>
      </c>
      <c r="T9" s="5">
        <v>350018</v>
      </c>
      <c r="U9" s="5">
        <v>402836</v>
      </c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14"/>
      <c r="CO9" s="14"/>
      <c r="CP9" s="14"/>
      <c r="CQ9" s="14"/>
      <c r="CR9" s="14"/>
      <c r="CS9" s="14"/>
      <c r="CT9" s="14"/>
      <c r="CU9" s="14"/>
    </row>
    <row r="10" spans="1:99" x14ac:dyDescent="0.2">
      <c r="B10" s="2" t="s">
        <v>19</v>
      </c>
      <c r="C10" s="3">
        <v>30612</v>
      </c>
      <c r="D10" s="3">
        <v>31916</v>
      </c>
      <c r="E10" s="3">
        <v>33229</v>
      </c>
      <c r="F10" s="3">
        <v>37575</v>
      </c>
      <c r="G10" s="3">
        <v>33712</v>
      </c>
      <c r="H10" s="3">
        <v>35507</v>
      </c>
      <c r="I10" s="3">
        <v>36474</v>
      </c>
      <c r="J10" s="3">
        <v>40613</v>
      </c>
      <c r="K10" s="3">
        <v>36361</v>
      </c>
      <c r="L10" s="3">
        <v>39039</v>
      </c>
      <c r="M10" s="3">
        <v>41369</v>
      </c>
      <c r="N10" s="3"/>
      <c r="O10" s="3"/>
      <c r="P10" s="3"/>
      <c r="Q10" s="3"/>
      <c r="R10" s="3"/>
      <c r="S10" s="3">
        <v>133332</v>
      </c>
      <c r="T10" s="3">
        <v>146306</v>
      </c>
      <c r="U10" s="3">
        <v>162535</v>
      </c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14"/>
      <c r="CO10" s="14"/>
      <c r="CP10" s="14"/>
      <c r="CQ10" s="14"/>
      <c r="CR10" s="14"/>
      <c r="CS10" s="14"/>
      <c r="CT10" s="14"/>
      <c r="CU10" s="14"/>
    </row>
    <row r="11" spans="1:99" x14ac:dyDescent="0.2">
      <c r="B11" s="2" t="s">
        <v>20</v>
      </c>
      <c r="C11" s="3">
        <f>C9-C10</f>
        <v>39175</v>
      </c>
      <c r="D11" s="3">
        <f t="shared" ref="D11:J11" si="0">D9-D10</f>
        <v>42688</v>
      </c>
      <c r="E11" s="3">
        <f t="shared" si="0"/>
        <v>43464</v>
      </c>
      <c r="F11" s="3">
        <f t="shared" si="0"/>
        <v>48735</v>
      </c>
      <c r="G11" s="3">
        <f t="shared" si="0"/>
        <v>46827</v>
      </c>
      <c r="H11" s="3">
        <f t="shared" si="0"/>
        <v>49235</v>
      </c>
      <c r="I11" s="3">
        <f t="shared" si="0"/>
        <v>51794</v>
      </c>
      <c r="J11" s="3">
        <f t="shared" si="0"/>
        <v>55856</v>
      </c>
      <c r="K11" s="3">
        <f>K9-K10</f>
        <v>53873</v>
      </c>
      <c r="L11" s="3">
        <f>L9-L10</f>
        <v>57389</v>
      </c>
      <c r="M11" s="3">
        <f>M9-M10</f>
        <v>60977</v>
      </c>
      <c r="N11" s="3"/>
      <c r="O11" s="3"/>
      <c r="P11" s="3">
        <f t="shared" ref="P11:U11" si="1">P9-P10</f>
        <v>0</v>
      </c>
      <c r="Q11" s="3">
        <f t="shared" si="1"/>
        <v>0</v>
      </c>
      <c r="R11" s="3">
        <f t="shared" si="1"/>
        <v>0</v>
      </c>
      <c r="S11" s="3">
        <f t="shared" si="1"/>
        <v>174062</v>
      </c>
      <c r="T11" s="3">
        <f t="shared" si="1"/>
        <v>203712</v>
      </c>
      <c r="U11" s="3">
        <f t="shared" si="1"/>
        <v>240301</v>
      </c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14"/>
      <c r="CO11" s="14"/>
      <c r="CP11" s="14"/>
      <c r="CQ11" s="14"/>
      <c r="CR11" s="14"/>
      <c r="CS11" s="14"/>
      <c r="CT11" s="14"/>
      <c r="CU11" s="14"/>
    </row>
    <row r="12" spans="1:99" x14ac:dyDescent="0.2">
      <c r="B12" s="2" t="s">
        <v>21</v>
      </c>
      <c r="C12" s="3">
        <v>11468</v>
      </c>
      <c r="D12" s="3">
        <v>10588</v>
      </c>
      <c r="E12" s="3">
        <v>11258</v>
      </c>
      <c r="F12" s="3">
        <v>12113</v>
      </c>
      <c r="G12" s="3">
        <v>11903</v>
      </c>
      <c r="H12" s="3">
        <v>11860</v>
      </c>
      <c r="I12" s="3">
        <v>12447</v>
      </c>
      <c r="J12" s="3">
        <v>13116</v>
      </c>
      <c r="K12" s="3">
        <v>13556</v>
      </c>
      <c r="L12" s="3">
        <v>13808</v>
      </c>
      <c r="M12" s="3">
        <v>15151</v>
      </c>
      <c r="N12" s="3"/>
      <c r="O12" s="3"/>
      <c r="P12" s="3"/>
      <c r="Q12" s="3"/>
      <c r="R12" s="3"/>
      <c r="S12" s="3">
        <v>45427</v>
      </c>
      <c r="T12" s="3">
        <v>49326</v>
      </c>
      <c r="U12" s="3">
        <v>61087</v>
      </c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14"/>
      <c r="CO12" s="14"/>
      <c r="CP12" s="14"/>
      <c r="CQ12" s="14"/>
      <c r="CR12" s="14"/>
      <c r="CS12" s="14"/>
      <c r="CT12" s="14"/>
      <c r="CU12" s="14"/>
    </row>
    <row r="13" spans="1:99" x14ac:dyDescent="0.2">
      <c r="B13" s="2" t="s">
        <v>22</v>
      </c>
      <c r="C13" s="3">
        <v>6533</v>
      </c>
      <c r="D13" s="3">
        <v>6781</v>
      </c>
      <c r="E13" s="3">
        <v>6884</v>
      </c>
      <c r="F13" s="3">
        <v>7719</v>
      </c>
      <c r="G13" s="3">
        <v>6426</v>
      </c>
      <c r="H13" s="3">
        <v>6792</v>
      </c>
      <c r="I13" s="3">
        <v>7227</v>
      </c>
      <c r="J13" s="3">
        <v>7363</v>
      </c>
      <c r="K13" s="3">
        <v>6172</v>
      </c>
      <c r="L13" s="3">
        <v>7101</v>
      </c>
      <c r="M13" s="3">
        <v>7205</v>
      </c>
      <c r="N13" s="3"/>
      <c r="O13" s="3"/>
      <c r="P13" s="3"/>
      <c r="Q13" s="3"/>
      <c r="R13" s="3"/>
      <c r="S13" s="3">
        <v>27917</v>
      </c>
      <c r="T13" s="3">
        <v>27808</v>
      </c>
      <c r="U13" s="3">
        <v>28693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14"/>
      <c r="CO13" s="14"/>
      <c r="CP13" s="14"/>
      <c r="CQ13" s="14"/>
      <c r="CR13" s="14"/>
      <c r="CS13" s="14"/>
      <c r="CT13" s="14"/>
      <c r="CU13" s="14"/>
    </row>
    <row r="14" spans="1:99" x14ac:dyDescent="0.2">
      <c r="B14" s="2" t="s">
        <v>23</v>
      </c>
      <c r="C14" s="3">
        <v>3759</v>
      </c>
      <c r="D14" s="3">
        <v>3481</v>
      </c>
      <c r="E14" s="3">
        <v>3979</v>
      </c>
      <c r="F14" s="3">
        <v>5206</v>
      </c>
      <c r="G14" s="3">
        <v>3026</v>
      </c>
      <c r="H14" s="3">
        <v>3158</v>
      </c>
      <c r="I14" s="3">
        <v>3599</v>
      </c>
      <c r="J14" s="3">
        <v>4405</v>
      </c>
      <c r="K14" s="3">
        <v>3539</v>
      </c>
      <c r="L14" s="3">
        <v>5209</v>
      </c>
      <c r="M14" s="3">
        <v>7393</v>
      </c>
      <c r="N14" s="3"/>
      <c r="O14" s="3"/>
      <c r="P14" s="3"/>
      <c r="Q14" s="3"/>
      <c r="R14" s="3"/>
      <c r="S14" s="3">
        <v>16425</v>
      </c>
      <c r="T14" s="3">
        <v>14188</v>
      </c>
      <c r="U14" s="3">
        <v>21482</v>
      </c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14"/>
      <c r="CO14" s="14"/>
      <c r="CP14" s="14"/>
      <c r="CQ14" s="14"/>
      <c r="CR14" s="14"/>
      <c r="CS14" s="14"/>
      <c r="CT14" s="14"/>
      <c r="CU14" s="14"/>
    </row>
    <row r="15" spans="1:99" x14ac:dyDescent="0.2">
      <c r="B15" s="2" t="s">
        <v>24</v>
      </c>
      <c r="C15" s="3">
        <f t="shared" ref="C15" si="2">C11-SUM(C12:C14)</f>
        <v>17415</v>
      </c>
      <c r="D15" s="3">
        <f t="shared" ref="D15:M15" si="3">D11-SUM(D12:D14)</f>
        <v>21838</v>
      </c>
      <c r="E15" s="3">
        <f t="shared" si="3"/>
        <v>21343</v>
      </c>
      <c r="F15" s="3">
        <f t="shared" si="3"/>
        <v>23697</v>
      </c>
      <c r="G15" s="3">
        <f t="shared" si="3"/>
        <v>25472</v>
      </c>
      <c r="H15" s="3">
        <f t="shared" si="3"/>
        <v>27425</v>
      </c>
      <c r="I15" s="3">
        <f t="shared" si="3"/>
        <v>28521</v>
      </c>
      <c r="J15" s="3">
        <f t="shared" si="3"/>
        <v>30972</v>
      </c>
      <c r="K15" s="3">
        <f t="shared" si="3"/>
        <v>30606</v>
      </c>
      <c r="L15" s="3">
        <f t="shared" si="3"/>
        <v>31271</v>
      </c>
      <c r="M15" s="3">
        <f t="shared" si="3"/>
        <v>31228</v>
      </c>
      <c r="N15" s="3"/>
      <c r="O15" s="3"/>
      <c r="P15" s="3">
        <f t="shared" ref="P15:U15" si="4">P11-SUM(P12:P14)</f>
        <v>0</v>
      </c>
      <c r="Q15" s="3">
        <f t="shared" si="4"/>
        <v>0</v>
      </c>
      <c r="R15" s="3">
        <f t="shared" si="4"/>
        <v>0</v>
      </c>
      <c r="S15" s="3">
        <f t="shared" si="4"/>
        <v>84293</v>
      </c>
      <c r="T15" s="3">
        <f t="shared" si="4"/>
        <v>112390</v>
      </c>
      <c r="U15" s="3">
        <f t="shared" si="4"/>
        <v>129039</v>
      </c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14"/>
      <c r="CO15" s="14"/>
      <c r="CP15" s="14"/>
      <c r="CQ15" s="14"/>
      <c r="CR15" s="14"/>
      <c r="CS15" s="14"/>
      <c r="CT15" s="14"/>
      <c r="CU15" s="14"/>
    </row>
    <row r="16" spans="1:99" x14ac:dyDescent="0.2">
      <c r="B16" s="2" t="s">
        <v>25</v>
      </c>
      <c r="C16" s="3">
        <v>790</v>
      </c>
      <c r="D16" s="3">
        <v>63</v>
      </c>
      <c r="E16" s="3">
        <v>-146</v>
      </c>
      <c r="F16" s="3">
        <v>715</v>
      </c>
      <c r="G16" s="3">
        <v>2843</v>
      </c>
      <c r="H16" s="3">
        <v>126</v>
      </c>
      <c r="I16" s="3">
        <v>3185</v>
      </c>
      <c r="J16" s="3">
        <v>1271</v>
      </c>
      <c r="K16" s="3">
        <v>11183</v>
      </c>
      <c r="L16" s="3">
        <v>2662</v>
      </c>
      <c r="M16" s="3">
        <v>12759</v>
      </c>
      <c r="N16" s="3"/>
      <c r="O16" s="3"/>
      <c r="P16" s="3"/>
      <c r="Q16" s="3"/>
      <c r="R16" s="3"/>
      <c r="S16" s="3">
        <v>1424</v>
      </c>
      <c r="T16" s="3">
        <v>7425</v>
      </c>
      <c r="U16" s="3">
        <v>29787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14"/>
      <c r="CO16" s="14"/>
      <c r="CP16" s="14"/>
      <c r="CQ16" s="14"/>
      <c r="CR16" s="14"/>
      <c r="CS16" s="14"/>
      <c r="CT16" s="14"/>
      <c r="CU16" s="14"/>
    </row>
    <row r="17" spans="1:99" x14ac:dyDescent="0.2">
      <c r="B17" s="2" t="s">
        <v>26</v>
      </c>
      <c r="C17" s="3">
        <f t="shared" ref="C17" si="5">C15+C16</f>
        <v>18205</v>
      </c>
      <c r="D17" s="3">
        <f t="shared" ref="D17:M17" si="6">D15+D16</f>
        <v>21901</v>
      </c>
      <c r="E17" s="3">
        <f t="shared" si="6"/>
        <v>21197</v>
      </c>
      <c r="F17" s="3">
        <f t="shared" si="6"/>
        <v>24412</v>
      </c>
      <c r="G17" s="3">
        <f t="shared" si="6"/>
        <v>28315</v>
      </c>
      <c r="H17" s="3">
        <f t="shared" si="6"/>
        <v>27551</v>
      </c>
      <c r="I17" s="3">
        <f t="shared" si="6"/>
        <v>31706</v>
      </c>
      <c r="J17" s="3">
        <f t="shared" si="6"/>
        <v>32243</v>
      </c>
      <c r="K17" s="3">
        <f t="shared" si="6"/>
        <v>41789</v>
      </c>
      <c r="L17" s="3">
        <f t="shared" si="6"/>
        <v>33933</v>
      </c>
      <c r="M17" s="3">
        <f t="shared" si="6"/>
        <v>43987</v>
      </c>
      <c r="N17" s="3"/>
      <c r="O17" s="3"/>
      <c r="P17" s="3">
        <f t="shared" ref="P17:U17" si="7">P15+P16</f>
        <v>0</v>
      </c>
      <c r="Q17" s="3">
        <f t="shared" si="7"/>
        <v>0</v>
      </c>
      <c r="R17" s="3">
        <f t="shared" si="7"/>
        <v>0</v>
      </c>
      <c r="S17" s="3">
        <f t="shared" si="7"/>
        <v>85717</v>
      </c>
      <c r="T17" s="3">
        <f t="shared" si="7"/>
        <v>119815</v>
      </c>
      <c r="U17" s="3">
        <f t="shared" si="7"/>
        <v>158826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14"/>
      <c r="CO17" s="14"/>
      <c r="CP17" s="14"/>
      <c r="CQ17" s="14"/>
      <c r="CR17" s="14"/>
      <c r="CS17" s="14"/>
      <c r="CT17" s="14"/>
      <c r="CU17" s="14"/>
    </row>
    <row r="18" spans="1:99" x14ac:dyDescent="0.2">
      <c r="B18" s="2" t="s">
        <v>27</v>
      </c>
      <c r="C18" s="3">
        <v>3154</v>
      </c>
      <c r="D18" s="3">
        <v>3535</v>
      </c>
      <c r="E18" s="3">
        <v>1508</v>
      </c>
      <c r="F18" s="3">
        <v>3725</v>
      </c>
      <c r="G18" s="3">
        <v>4653</v>
      </c>
      <c r="H18" s="3">
        <v>3932</v>
      </c>
      <c r="I18" s="3">
        <v>5405</v>
      </c>
      <c r="J18" s="3">
        <v>5707</v>
      </c>
      <c r="K18" s="3">
        <v>7249</v>
      </c>
      <c r="L18" s="3">
        <v>5737</v>
      </c>
      <c r="M18" s="3">
        <v>9008</v>
      </c>
      <c r="N18" s="3"/>
      <c r="O18" s="3"/>
      <c r="P18" s="3"/>
      <c r="Q18" s="3"/>
      <c r="R18" s="3"/>
      <c r="S18" s="3">
        <v>11922</v>
      </c>
      <c r="T18" s="3">
        <v>19697</v>
      </c>
      <c r="U18" s="3">
        <v>26656</v>
      </c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14"/>
      <c r="CO18" s="14"/>
      <c r="CP18" s="14"/>
      <c r="CQ18" s="14"/>
      <c r="CR18" s="14"/>
      <c r="CS18" s="14"/>
      <c r="CT18" s="14"/>
      <c r="CU18" s="14"/>
    </row>
    <row r="19" spans="1:99" x14ac:dyDescent="0.2">
      <c r="B19" s="2" t="s">
        <v>28</v>
      </c>
      <c r="C19" s="3">
        <f t="shared" ref="C19" si="8">C17-C18</f>
        <v>15051</v>
      </c>
      <c r="D19" s="3">
        <f t="shared" ref="D19:M19" si="9">D17-D18</f>
        <v>18366</v>
      </c>
      <c r="E19" s="3">
        <f t="shared" si="9"/>
        <v>19689</v>
      </c>
      <c r="F19" s="3">
        <f t="shared" si="9"/>
        <v>20687</v>
      </c>
      <c r="G19" s="3">
        <f t="shared" si="9"/>
        <v>23662</v>
      </c>
      <c r="H19" s="3">
        <f t="shared" si="9"/>
        <v>23619</v>
      </c>
      <c r="I19" s="3">
        <f t="shared" si="9"/>
        <v>26301</v>
      </c>
      <c r="J19" s="3">
        <f t="shared" si="9"/>
        <v>26536</v>
      </c>
      <c r="K19" s="3">
        <f t="shared" si="9"/>
        <v>34540</v>
      </c>
      <c r="L19" s="3">
        <f t="shared" si="9"/>
        <v>28196</v>
      </c>
      <c r="M19" s="3">
        <f t="shared" si="9"/>
        <v>34979</v>
      </c>
      <c r="N19" s="3"/>
      <c r="O19" s="3"/>
      <c r="P19" s="3">
        <f t="shared" ref="P19:U19" si="10">P17-P18</f>
        <v>0</v>
      </c>
      <c r="Q19" s="3">
        <f t="shared" si="10"/>
        <v>0</v>
      </c>
      <c r="R19" s="3">
        <f t="shared" si="10"/>
        <v>0</v>
      </c>
      <c r="S19" s="3">
        <f t="shared" si="10"/>
        <v>73795</v>
      </c>
      <c r="T19" s="3">
        <f t="shared" si="10"/>
        <v>100118</v>
      </c>
      <c r="U19" s="3">
        <f t="shared" si="10"/>
        <v>132170</v>
      </c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14"/>
      <c r="CO19" s="14"/>
      <c r="CP19" s="14"/>
      <c r="CQ19" s="14"/>
      <c r="CR19" s="14"/>
      <c r="CS19" s="14"/>
      <c r="CT19" s="14"/>
      <c r="CU19" s="14"/>
    </row>
    <row r="20" spans="1:99" x14ac:dyDescent="0.2"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14"/>
      <c r="CO20" s="14"/>
      <c r="CP20" s="14"/>
      <c r="CQ20" s="14"/>
      <c r="CR20" s="14"/>
      <c r="CS20" s="14"/>
      <c r="CT20" s="14"/>
      <c r="CU20" s="14"/>
    </row>
    <row r="21" spans="1:99" s="9" customFormat="1" x14ac:dyDescent="0.2">
      <c r="A21" s="2"/>
      <c r="B21" s="2" t="s">
        <v>29</v>
      </c>
      <c r="C21" s="6">
        <f t="shared" ref="C21:H21" si="11">+C19/C22</f>
        <v>1.1776073859635396</v>
      </c>
      <c r="D21" s="6">
        <f t="shared" si="11"/>
        <v>1.4497947584464794</v>
      </c>
      <c r="E21" s="6">
        <f t="shared" si="11"/>
        <v>1.5649789364915347</v>
      </c>
      <c r="F21" s="6">
        <f t="shared" si="11"/>
        <v>1.6565502882767458</v>
      </c>
      <c r="G21" s="6">
        <f t="shared" si="11"/>
        <v>1.9059202577527186</v>
      </c>
      <c r="H21" s="6">
        <f t="shared" si="11"/>
        <v>1.9135542412703557</v>
      </c>
      <c r="I21" s="6">
        <f>+I19/I22</f>
        <v>2.1400325467860051</v>
      </c>
      <c r="J21" s="6">
        <f>+J19/J22</f>
        <v>2.1701014066077855</v>
      </c>
      <c r="K21" s="6">
        <f>+K19/K22</f>
        <v>2.8416289592760182</v>
      </c>
      <c r="L21" s="6">
        <f>+L19/L22</f>
        <v>2.3260188087774294</v>
      </c>
      <c r="M21" s="6">
        <f>+M19/M22</f>
        <v>2.8941750786033427</v>
      </c>
      <c r="N21" s="6"/>
      <c r="O21" s="6"/>
      <c r="P21" s="6"/>
      <c r="Q21" s="6"/>
      <c r="R21" s="6"/>
      <c r="S21" s="6">
        <f t="shared" ref="S21:T21" si="12">+S19/S22</f>
        <v>5.8428345209817891</v>
      </c>
      <c r="T21" s="6">
        <f t="shared" si="12"/>
        <v>8.127120707849663</v>
      </c>
      <c r="U21" s="6">
        <f>+U19/U22</f>
        <v>10.908715747771542</v>
      </c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</row>
    <row r="22" spans="1:99" x14ac:dyDescent="0.2">
      <c r="B22" s="2" t="s">
        <v>5</v>
      </c>
      <c r="C22" s="3">
        <v>12781</v>
      </c>
      <c r="D22" s="3">
        <v>12668</v>
      </c>
      <c r="E22" s="3">
        <v>12581</v>
      </c>
      <c r="F22" s="3">
        <v>12488</v>
      </c>
      <c r="G22" s="3">
        <v>12415</v>
      </c>
      <c r="H22" s="3">
        <v>12343</v>
      </c>
      <c r="I22" s="3">
        <v>12290</v>
      </c>
      <c r="J22" s="3">
        <v>12228</v>
      </c>
      <c r="K22" s="3">
        <v>12155</v>
      </c>
      <c r="L22" s="3">
        <v>12122</v>
      </c>
      <c r="M22" s="3">
        <v>12086</v>
      </c>
      <c r="P22" s="3"/>
      <c r="Q22" s="3"/>
      <c r="R22" s="3"/>
      <c r="S22" s="3">
        <v>12630</v>
      </c>
      <c r="T22" s="3">
        <v>12319</v>
      </c>
      <c r="U22" s="3">
        <v>12116</v>
      </c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</row>
    <row r="23" spans="1:99" x14ac:dyDescent="0.2">
      <c r="C23" s="3"/>
      <c r="D23" s="3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</row>
    <row r="24" spans="1:99" x14ac:dyDescent="0.2">
      <c r="B24" s="2" t="s">
        <v>38</v>
      </c>
      <c r="C24" s="3"/>
      <c r="D24" s="3"/>
      <c r="G24" s="7">
        <f t="shared" ref="G24:I30" si="13">+G3/C3-1</f>
        <v>0.14363586808394668</v>
      </c>
      <c r="H24" s="7">
        <f t="shared" si="13"/>
        <v>0.13796096462419061</v>
      </c>
      <c r="I24" s="7">
        <f t="shared" si="13"/>
        <v>0.12172352700676869</v>
      </c>
      <c r="J24" s="7">
        <f>+J3/F3-1</f>
        <v>0.12523948354852155</v>
      </c>
      <c r="K24" s="7">
        <f>+K3/G3-1</f>
        <v>9.8492070370049367E-2</v>
      </c>
      <c r="L24" s="7">
        <f>+L3/H3-1</f>
        <v>0.11711228844132027</v>
      </c>
      <c r="M24" s="7">
        <f>+M3/I3-1</f>
        <v>0.14542877391920617</v>
      </c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</row>
    <row r="25" spans="1:99" x14ac:dyDescent="0.2">
      <c r="B25" s="2" t="s">
        <v>39</v>
      </c>
      <c r="C25" s="3"/>
      <c r="D25" s="3"/>
      <c r="G25" s="7">
        <f t="shared" si="13"/>
        <v>0.20872553414014638</v>
      </c>
      <c r="H25" s="7">
        <f t="shared" si="13"/>
        <v>0.13020221787345077</v>
      </c>
      <c r="I25" s="7">
        <f t="shared" si="13"/>
        <v>0.12185613682092544</v>
      </c>
      <c r="J25" s="7">
        <f t="shared" ref="J25:M30" si="14">+J4/F4-1</f>
        <v>0.1383695652173913</v>
      </c>
      <c r="K25" s="7">
        <f t="shared" si="14"/>
        <v>0.10346106304079106</v>
      </c>
      <c r="L25" s="7">
        <f t="shared" si="14"/>
        <v>0.1307861018123051</v>
      </c>
      <c r="M25" s="7">
        <f t="shared" si="14"/>
        <v>0.15020737585472488</v>
      </c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</row>
    <row r="26" spans="1:99" x14ac:dyDescent="0.2">
      <c r="B26" s="2" t="s">
        <v>40</v>
      </c>
      <c r="C26" s="3"/>
      <c r="D26" s="3"/>
      <c r="G26" s="7">
        <f t="shared" si="13"/>
        <v>-1.1072572038420492E-2</v>
      </c>
      <c r="H26" s="7">
        <f t="shared" si="13"/>
        <v>-5.1719745222929991E-2</v>
      </c>
      <c r="I26" s="7">
        <f t="shared" si="13"/>
        <v>-1.5777806754466051E-2</v>
      </c>
      <c r="J26" s="7">
        <f t="shared" si="14"/>
        <v>-4.1340243461492121E-2</v>
      </c>
      <c r="K26" s="7">
        <f t="shared" si="14"/>
        <v>-2.1179009847565045E-2</v>
      </c>
      <c r="L26" s="7">
        <f t="shared" si="14"/>
        <v>-1.2090274046211769E-2</v>
      </c>
      <c r="M26" s="7">
        <f t="shared" si="14"/>
        <v>-2.5702172760996289E-2</v>
      </c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</row>
    <row r="27" spans="1:99" x14ac:dyDescent="0.2">
      <c r="B27" s="2" t="s">
        <v>41</v>
      </c>
      <c r="C27" s="3"/>
      <c r="D27" s="3"/>
      <c r="G27" s="7">
        <f t="shared" si="13"/>
        <v>0.17887494941319293</v>
      </c>
      <c r="H27" s="7">
        <f t="shared" si="13"/>
        <v>0.14369933677229185</v>
      </c>
      <c r="I27" s="7">
        <f t="shared" si="13"/>
        <v>0.2778510612783307</v>
      </c>
      <c r="J27" s="7">
        <f t="shared" si="14"/>
        <v>7.772836761163604E-2</v>
      </c>
      <c r="K27" s="7">
        <f t="shared" si="14"/>
        <v>0.18766449250486317</v>
      </c>
      <c r="L27" s="7">
        <f t="shared" si="14"/>
        <v>0.20307130584192445</v>
      </c>
      <c r="M27" s="7">
        <f t="shared" si="14"/>
        <v>0.20777027027027017</v>
      </c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</row>
    <row r="28" spans="1:99" x14ac:dyDescent="0.2">
      <c r="B28" s="2" t="s">
        <v>42</v>
      </c>
      <c r="C28" s="3"/>
      <c r="D28" s="3"/>
      <c r="G28" s="7">
        <f t="shared" si="13"/>
        <v>0.28441105446740012</v>
      </c>
      <c r="H28" s="7">
        <f t="shared" si="13"/>
        <v>0.28838251774374291</v>
      </c>
      <c r="I28" s="7">
        <f t="shared" si="13"/>
        <v>0.34978004993460954</v>
      </c>
      <c r="J28" s="7">
        <f t="shared" si="14"/>
        <v>0.3005874673629243</v>
      </c>
      <c r="K28" s="7">
        <f t="shared" si="14"/>
        <v>0.28055149362857734</v>
      </c>
      <c r="L28" s="7">
        <f t="shared" si="14"/>
        <v>0.31671015753358467</v>
      </c>
      <c r="M28" s="7">
        <f t="shared" si="14"/>
        <v>0.33506562142165075</v>
      </c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</row>
    <row r="29" spans="1:99" x14ac:dyDescent="0.2">
      <c r="B29" s="2" t="s">
        <v>43</v>
      </c>
      <c r="C29" s="3"/>
      <c r="D29" s="3"/>
      <c r="G29" s="7">
        <f t="shared" si="13"/>
        <v>0.52419354838709675</v>
      </c>
      <c r="H29" s="7">
        <f t="shared" si="13"/>
        <v>0.62152777777777768</v>
      </c>
      <c r="I29" s="7">
        <f t="shared" si="13"/>
        <v>0.3682432432432432</v>
      </c>
      <c r="J29" s="7">
        <f t="shared" si="14"/>
        <v>-0.4795539033457249</v>
      </c>
      <c r="K29" s="7">
        <f t="shared" si="14"/>
        <v>0.25220458553791891</v>
      </c>
      <c r="L29" s="7">
        <f t="shared" si="14"/>
        <v>-0.4411134903640257</v>
      </c>
      <c r="M29" s="7">
        <f t="shared" si="14"/>
        <v>-0.15061728395061724</v>
      </c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</row>
    <row r="30" spans="1:99" x14ac:dyDescent="0.2">
      <c r="B30" s="4" t="s">
        <v>44</v>
      </c>
      <c r="C30" s="5"/>
      <c r="D30" s="5"/>
      <c r="G30" s="8">
        <f t="shared" si="13"/>
        <v>0.15406880937710454</v>
      </c>
      <c r="H30" s="8">
        <f t="shared" si="13"/>
        <v>0.13589083695244231</v>
      </c>
      <c r="I30" s="8">
        <f t="shared" si="13"/>
        <v>0.15092642092498654</v>
      </c>
      <c r="J30" s="8">
        <f t="shared" si="14"/>
        <v>0.11770362646275045</v>
      </c>
      <c r="K30" s="8">
        <f t="shared" si="14"/>
        <v>0.12037646357665222</v>
      </c>
      <c r="L30" s="8">
        <f t="shared" si="14"/>
        <v>0.13790092280097244</v>
      </c>
      <c r="M30" s="8">
        <f t="shared" si="14"/>
        <v>0.1594915484660353</v>
      </c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</row>
    <row r="31" spans="1:99" x14ac:dyDescent="0.2">
      <c r="B31" s="2" t="s">
        <v>45</v>
      </c>
      <c r="C31" s="7">
        <f t="shared" ref="C31:I31" si="15">+C11/C9</f>
        <v>0.56135096794531936</v>
      </c>
      <c r="D31" s="7">
        <f t="shared" si="15"/>
        <v>0.5721945204010509</v>
      </c>
      <c r="E31" s="7">
        <f t="shared" si="15"/>
        <v>0.56672708069836886</v>
      </c>
      <c r="F31" s="7">
        <f t="shared" si="15"/>
        <v>0.56465067778936395</v>
      </c>
      <c r="G31" s="7">
        <f t="shared" si="15"/>
        <v>0.58142018152696207</v>
      </c>
      <c r="H31" s="7">
        <f t="shared" si="15"/>
        <v>0.58099879634655782</v>
      </c>
      <c r="I31" s="7">
        <f t="shared" si="15"/>
        <v>0.58678116644763678</v>
      </c>
      <c r="J31" s="7">
        <f>+J11/J9</f>
        <v>0.5790046543449191</v>
      </c>
      <c r="K31" s="7">
        <f>+K11/K9</f>
        <v>0.5970365937451515</v>
      </c>
      <c r="L31" s="7">
        <f>+L11/L9</f>
        <v>0.59514871199236741</v>
      </c>
      <c r="M31" s="7">
        <f>+M11/M9</f>
        <v>0.59579270318331934</v>
      </c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</row>
    <row r="32" spans="1:99" x14ac:dyDescent="0.2">
      <c r="B32" s="2" t="s">
        <v>46</v>
      </c>
      <c r="C32" s="7">
        <f t="shared" ref="C32:I32" si="16">+C15/C9</f>
        <v>0.24954504420594092</v>
      </c>
      <c r="D32" s="7">
        <f t="shared" si="16"/>
        <v>0.29271888906761029</v>
      </c>
      <c r="E32" s="7">
        <f t="shared" si="16"/>
        <v>0.27829136948613303</v>
      </c>
      <c r="F32" s="7">
        <f t="shared" si="16"/>
        <v>0.27455683003128256</v>
      </c>
      <c r="G32" s="7">
        <f t="shared" si="16"/>
        <v>0.31626913669154072</v>
      </c>
      <c r="H32" s="7">
        <f t="shared" si="16"/>
        <v>0.32362936914398999</v>
      </c>
      <c r="I32" s="7">
        <f t="shared" si="16"/>
        <v>0.32311823084243441</v>
      </c>
      <c r="J32" s="7">
        <f>+J15/J9</f>
        <v>0.32105650519856122</v>
      </c>
      <c r="K32" s="7">
        <f>+K15/K9</f>
        <v>0.33918478622248821</v>
      </c>
      <c r="L32" s="7">
        <f>+L15/L9</f>
        <v>0.32429377359273243</v>
      </c>
      <c r="M32" s="7">
        <f>+M15/M9</f>
        <v>0.30512184159615424</v>
      </c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</row>
    <row r="33" spans="2:99" x14ac:dyDescent="0.2">
      <c r="B33" s="2" t="s">
        <v>47</v>
      </c>
      <c r="C33" s="7">
        <f t="shared" ref="C33:I33" si="17">+C18/C17</f>
        <v>0.17324910738808019</v>
      </c>
      <c r="D33" s="7">
        <f t="shared" si="17"/>
        <v>0.16140815487877266</v>
      </c>
      <c r="E33" s="7">
        <f t="shared" si="17"/>
        <v>7.1142142756050381E-2</v>
      </c>
      <c r="F33" s="7">
        <f t="shared" si="17"/>
        <v>0.15258889070948714</v>
      </c>
      <c r="G33" s="7">
        <f t="shared" si="17"/>
        <v>0.16432986049796927</v>
      </c>
      <c r="H33" s="7">
        <f t="shared" si="17"/>
        <v>0.14271714275343908</v>
      </c>
      <c r="I33" s="7">
        <f t="shared" si="17"/>
        <v>0.17047246577934777</v>
      </c>
      <c r="J33" s="7">
        <f>+J18/J17</f>
        <v>0.17699965884067859</v>
      </c>
      <c r="K33" s="7">
        <f>+K18/K17</f>
        <v>0.173466701763622</v>
      </c>
      <c r="L33" s="7">
        <f>+L18/L17</f>
        <v>0.16906845843279403</v>
      </c>
      <c r="M33" s="7">
        <f>+M18/M17</f>
        <v>0.20478777820719757</v>
      </c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</row>
    <row r="34" spans="2:99" x14ac:dyDescent="0.2">
      <c r="C34" s="3"/>
      <c r="D34" s="3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</row>
    <row r="35" spans="2:99" x14ac:dyDescent="0.2">
      <c r="C35" s="3"/>
      <c r="D35" s="3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</row>
    <row r="36" spans="2:99" x14ac:dyDescent="0.2">
      <c r="B36" s="12" t="s">
        <v>66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>
        <v>23466</v>
      </c>
      <c r="U36" s="3">
        <v>30708</v>
      </c>
      <c r="V36" s="3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</row>
    <row r="37" spans="2:99" x14ac:dyDescent="0.2">
      <c r="B37" s="12" t="s">
        <v>67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>
        <v>72191</v>
      </c>
      <c r="U37" s="3">
        <v>96135</v>
      </c>
      <c r="V37" s="3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</row>
    <row r="38" spans="2:99" x14ac:dyDescent="0.2">
      <c r="B38" s="12" t="s">
        <v>68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>
        <v>52340</v>
      </c>
      <c r="U38" s="3">
        <v>62886</v>
      </c>
      <c r="V38" s="3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</row>
    <row r="39" spans="2:99" x14ac:dyDescent="0.2">
      <c r="B39" s="12" t="s">
        <v>69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>
        <v>15714</v>
      </c>
      <c r="U39" s="3">
        <v>16309</v>
      </c>
      <c r="V39" s="3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</row>
    <row r="40" spans="2:99" x14ac:dyDescent="0.2">
      <c r="B40" s="12" t="s">
        <v>70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>
        <f>+SUM(T36:T39)</f>
        <v>163711</v>
      </c>
      <c r="U40" s="3">
        <f>+SUM(U36:U39)</f>
        <v>206038</v>
      </c>
      <c r="V40" s="3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</row>
    <row r="41" spans="2:99" x14ac:dyDescent="0.2">
      <c r="B41" s="12" t="s">
        <v>71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>
        <v>37982</v>
      </c>
      <c r="U41" s="3">
        <v>68687</v>
      </c>
      <c r="V41" s="3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</row>
    <row r="42" spans="2:99" x14ac:dyDescent="0.2">
      <c r="B42" s="12" t="s">
        <v>72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>
        <v>17180</v>
      </c>
      <c r="U42" s="3">
        <v>9113</v>
      </c>
      <c r="V42" s="3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</row>
    <row r="43" spans="2:99" x14ac:dyDescent="0.2">
      <c r="B43" s="12" t="s">
        <v>73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>
        <v>171036</v>
      </c>
      <c r="U43" s="3">
        <v>246597</v>
      </c>
      <c r="V43" s="3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</row>
    <row r="44" spans="2:99" x14ac:dyDescent="0.2">
      <c r="B44" s="12" t="s">
        <v>74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>
        <v>13588</v>
      </c>
      <c r="U44" s="3">
        <v>15221</v>
      </c>
      <c r="V44" s="3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</row>
    <row r="45" spans="2:99" x14ac:dyDescent="0.2">
      <c r="B45" s="12" t="s">
        <v>75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>
        <v>31885</v>
      </c>
      <c r="U45" s="3">
        <v>33380</v>
      </c>
      <c r="V45" s="3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</row>
    <row r="46" spans="2:99" x14ac:dyDescent="0.2">
      <c r="B46" s="12" t="s">
        <v>69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>
        <v>14874</v>
      </c>
      <c r="U46" s="3">
        <v>16245</v>
      </c>
      <c r="V46" s="3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</row>
    <row r="47" spans="2:99" x14ac:dyDescent="0.2">
      <c r="B47" s="12" t="s">
        <v>76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>
        <f>+SUM(T41:T46)</f>
        <v>286545</v>
      </c>
      <c r="U47" s="3">
        <f>+SUM(U41:U46)</f>
        <v>389243</v>
      </c>
      <c r="V47" s="3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</row>
    <row r="48" spans="2:99" x14ac:dyDescent="0.2">
      <c r="B48" s="4" t="s">
        <v>77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>
        <f>+T47+T40</f>
        <v>450256</v>
      </c>
      <c r="U48" s="5">
        <f>+U47+U40</f>
        <v>595281</v>
      </c>
      <c r="V48" s="3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</row>
    <row r="49" spans="2:99" x14ac:dyDescent="0.2">
      <c r="B49" s="12" t="s">
        <v>78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>
        <v>7987</v>
      </c>
      <c r="U49" s="3">
        <v>12200</v>
      </c>
      <c r="V49" s="3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</row>
    <row r="50" spans="2:99" x14ac:dyDescent="0.2">
      <c r="B50" s="12" t="s">
        <v>79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>
        <v>15069</v>
      </c>
      <c r="U50" s="3">
        <v>17546</v>
      </c>
      <c r="V50" s="3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</row>
    <row r="51" spans="2:99" x14ac:dyDescent="0.2">
      <c r="B51" s="12" t="s">
        <v>80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>
        <v>51228</v>
      </c>
      <c r="U51" s="3">
        <v>55557</v>
      </c>
      <c r="V51" s="3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</row>
    <row r="52" spans="2:99" x14ac:dyDescent="0.2">
      <c r="B52" s="12" t="s">
        <v>87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>
        <v>9802</v>
      </c>
      <c r="U52" s="3">
        <v>10864</v>
      </c>
      <c r="V52" s="3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</row>
    <row r="53" spans="2:99" x14ac:dyDescent="0.2">
      <c r="B53" s="12" t="s">
        <v>81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>
        <v>5036</v>
      </c>
      <c r="U53" s="3">
        <v>6578</v>
      </c>
      <c r="V53" s="3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</row>
    <row r="54" spans="2:99" x14ac:dyDescent="0.2">
      <c r="B54" s="12" t="s">
        <v>82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>
        <f>+SUM(T49:T53)</f>
        <v>89122</v>
      </c>
      <c r="U54" s="3">
        <f>+SUM(U49:U53)</f>
        <v>102745</v>
      </c>
      <c r="V54" s="3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</row>
    <row r="55" spans="2:99" x14ac:dyDescent="0.2">
      <c r="B55" s="12" t="s">
        <v>8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>
        <v>10883</v>
      </c>
      <c r="U55" s="3">
        <v>46547</v>
      </c>
      <c r="V55" s="3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</row>
    <row r="56" spans="2:99" x14ac:dyDescent="0.2">
      <c r="B56" s="12" t="s">
        <v>83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>
        <v>8782</v>
      </c>
      <c r="U56" s="3">
        <v>9531</v>
      </c>
      <c r="V56" s="3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</row>
    <row r="57" spans="2:99" x14ac:dyDescent="0.2">
      <c r="B57" s="12" t="s">
        <v>74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>
        <v>11691</v>
      </c>
      <c r="U57" s="3">
        <v>12744</v>
      </c>
      <c r="V57" s="3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</row>
    <row r="58" spans="2:99" x14ac:dyDescent="0.2">
      <c r="B58" s="12" t="s">
        <v>69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>
        <v>4694</v>
      </c>
      <c r="U58" s="3">
        <v>8449</v>
      </c>
      <c r="V58" s="3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</row>
    <row r="59" spans="2:99" x14ac:dyDescent="0.2">
      <c r="B59" s="12" t="s">
        <v>84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>
        <f>+SUM(T55:T58)</f>
        <v>36050</v>
      </c>
      <c r="U59" s="3">
        <f>+SUM(U55:U58)</f>
        <v>77271</v>
      </c>
      <c r="V59" s="3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</row>
    <row r="60" spans="2:99" x14ac:dyDescent="0.2">
      <c r="B60" s="12" t="s">
        <v>85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>
        <v>325084</v>
      </c>
      <c r="U60" s="3">
        <v>415265</v>
      </c>
      <c r="V60" s="3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</row>
    <row r="61" spans="2:99" x14ac:dyDescent="0.2">
      <c r="B61" s="4" t="s">
        <v>86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>
        <f>+T60+T59+T54</f>
        <v>450256</v>
      </c>
      <c r="U61" s="5">
        <f>+U60+U59+U54</f>
        <v>595281</v>
      </c>
      <c r="V61" s="3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</row>
    <row r="62" spans="2:99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</row>
    <row r="63" spans="2:99" x14ac:dyDescent="0.2">
      <c r="B63" s="12" t="s">
        <v>28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>
        <v>73795</v>
      </c>
      <c r="T63" s="3">
        <v>100118</v>
      </c>
      <c r="U63" s="3">
        <v>132170</v>
      </c>
      <c r="V63" s="3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</row>
    <row r="64" spans="2:99" x14ac:dyDescent="0.2">
      <c r="B64" s="12" t="s">
        <v>88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>
        <v>11946</v>
      </c>
      <c r="T64" s="3">
        <v>15311</v>
      </c>
      <c r="U64" s="3">
        <v>21136</v>
      </c>
      <c r="V64" s="3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</row>
    <row r="65" spans="2:99" x14ac:dyDescent="0.2">
      <c r="B65" s="12" t="s">
        <v>89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>
        <v>22460</v>
      </c>
      <c r="T65" s="3">
        <v>22785</v>
      </c>
      <c r="U65" s="3">
        <v>24953</v>
      </c>
      <c r="V65" s="3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</row>
    <row r="66" spans="2:99" x14ac:dyDescent="0.2">
      <c r="B66" s="12" t="s">
        <v>90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>
        <v>-7763</v>
      </c>
      <c r="T66" s="3">
        <v>-5257</v>
      </c>
      <c r="U66" s="3">
        <v>8348</v>
      </c>
      <c r="V66" s="3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</row>
    <row r="67" spans="2:99" x14ac:dyDescent="0.2">
      <c r="B67" s="12" t="s">
        <v>91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>
        <v>823</v>
      </c>
      <c r="T67" s="3">
        <v>-2671</v>
      </c>
      <c r="U67" s="3">
        <v>-24620</v>
      </c>
      <c r="V67" s="3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</row>
    <row r="68" spans="2:99" x14ac:dyDescent="0.2">
      <c r="B68" s="12" t="s">
        <v>92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>
        <v>4330</v>
      </c>
      <c r="T68" s="3">
        <v>3419</v>
      </c>
      <c r="U68" s="3">
        <v>2108</v>
      </c>
      <c r="V68" s="3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</row>
    <row r="69" spans="2:99" x14ac:dyDescent="0.2">
      <c r="B69" s="12" t="s">
        <v>93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>
        <v>-7833</v>
      </c>
      <c r="T69" s="3">
        <v>-5891</v>
      </c>
      <c r="U69" s="3">
        <v>-8779</v>
      </c>
      <c r="V69" s="3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</row>
    <row r="70" spans="2:99" x14ac:dyDescent="0.2">
      <c r="B70" s="12" t="s">
        <v>94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>
        <v>523</v>
      </c>
      <c r="T70" s="3">
        <v>-2418</v>
      </c>
      <c r="U70" s="3">
        <v>-3226</v>
      </c>
      <c r="V70" s="3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</row>
    <row r="71" spans="2:99" x14ac:dyDescent="0.2">
      <c r="B71" s="12" t="s">
        <v>95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>
        <v>-2143</v>
      </c>
      <c r="T71" s="3">
        <v>-1397</v>
      </c>
      <c r="U71" s="3">
        <v>-4542</v>
      </c>
      <c r="V71" s="3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</row>
    <row r="72" spans="2:99" x14ac:dyDescent="0.2">
      <c r="B72" s="12" t="s">
        <v>96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>
        <v>664</v>
      </c>
      <c r="T72" s="3">
        <v>359</v>
      </c>
      <c r="U72" s="3">
        <v>907</v>
      </c>
      <c r="V72" s="3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</row>
    <row r="73" spans="2:99" x14ac:dyDescent="0.2">
      <c r="B73" s="12" t="s">
        <v>97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>
        <v>3937</v>
      </c>
      <c r="T73" s="3">
        <v>-1161</v>
      </c>
      <c r="U73" s="3">
        <v>12939</v>
      </c>
      <c r="V73" s="3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</row>
    <row r="74" spans="2:99" x14ac:dyDescent="0.2">
      <c r="B74" s="12" t="s">
        <v>98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>
        <v>482</v>
      </c>
      <c r="T74" s="3">
        <v>1059</v>
      </c>
      <c r="U74" s="3">
        <v>899</v>
      </c>
      <c r="V74" s="3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</row>
    <row r="75" spans="2:99" x14ac:dyDescent="0.2">
      <c r="B75" s="12" t="s">
        <v>99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>
        <v>525</v>
      </c>
      <c r="T75" s="3">
        <v>1043</v>
      </c>
      <c r="U75" s="3">
        <v>2420</v>
      </c>
      <c r="V75" s="3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</row>
    <row r="76" spans="2:99" x14ac:dyDescent="0.2">
      <c r="B76" s="12" t="s">
        <v>100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>
        <f>+SUM(S69:S75)</f>
        <v>-3845</v>
      </c>
      <c r="T76" s="3">
        <f>+SUM(T69:T75)</f>
        <v>-8406</v>
      </c>
      <c r="U76" s="3">
        <f>+SUM(U69:U75)</f>
        <v>618</v>
      </c>
      <c r="V76" s="3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</row>
    <row r="77" spans="2:99" x14ac:dyDescent="0.2">
      <c r="B77" s="4" t="s">
        <v>58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>
        <f t="shared" ref="S77:T77" si="18">+SUM(S63:S68,S76)</f>
        <v>101746</v>
      </c>
      <c r="T77" s="5">
        <f t="shared" si="18"/>
        <v>125299</v>
      </c>
      <c r="U77" s="5">
        <f>+SUM(U63:U68,U76)</f>
        <v>164713</v>
      </c>
      <c r="V77" s="3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</row>
    <row r="78" spans="2:99" x14ac:dyDescent="0.2">
      <c r="B78" s="12" t="s">
        <v>59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>
        <v>-32251</v>
      </c>
      <c r="T78" s="3">
        <v>-52535</v>
      </c>
      <c r="U78" s="3">
        <v>-91447</v>
      </c>
      <c r="V78" s="3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</row>
    <row r="79" spans="2:99" x14ac:dyDescent="0.2">
      <c r="B79" s="12" t="s">
        <v>102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>
        <v>-77858</v>
      </c>
      <c r="T79" s="3">
        <v>-86679</v>
      </c>
      <c r="U79" s="3">
        <v>-103773</v>
      </c>
      <c r="V79" s="3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</row>
    <row r="80" spans="2:99" x14ac:dyDescent="0.2">
      <c r="B80" s="12" t="s">
        <v>104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>
        <v>86672</v>
      </c>
      <c r="T80" s="3">
        <v>103428</v>
      </c>
      <c r="U80" s="3">
        <v>83240</v>
      </c>
      <c r="V80" s="3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</row>
    <row r="81" spans="2:99" x14ac:dyDescent="0.2">
      <c r="B81" s="12" t="s">
        <v>103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>
        <v>-3027</v>
      </c>
      <c r="T81" s="3">
        <v>-5034</v>
      </c>
      <c r="U81" s="3">
        <v>-5716</v>
      </c>
      <c r="V81" s="3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</row>
    <row r="82" spans="2:99" x14ac:dyDescent="0.2">
      <c r="B82" s="12" t="s">
        <v>105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>
        <v>947</v>
      </c>
      <c r="T82" s="3">
        <v>882</v>
      </c>
      <c r="U82" s="3">
        <v>1367</v>
      </c>
      <c r="V82" s="3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</row>
    <row r="83" spans="2:99" x14ac:dyDescent="0.2">
      <c r="B83" s="12" t="s">
        <v>106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>
        <v>-495</v>
      </c>
      <c r="T83" s="3">
        <v>-2931</v>
      </c>
      <c r="U83" s="3">
        <v>-1592</v>
      </c>
      <c r="V83" s="3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</row>
    <row r="84" spans="2:99" x14ac:dyDescent="0.2">
      <c r="B84" s="12" t="s">
        <v>92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>
        <v>-1051</v>
      </c>
      <c r="T84" s="3">
        <v>-2667</v>
      </c>
      <c r="U84" s="3">
        <v>-2370</v>
      </c>
      <c r="V84" s="3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</row>
    <row r="85" spans="2:99" x14ac:dyDescent="0.2">
      <c r="B85" s="4" t="s">
        <v>101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5">
        <f t="shared" ref="S85:T85" si="19">+SUM(S78:S84)</f>
        <v>-27063</v>
      </c>
      <c r="T85" s="5">
        <f t="shared" si="19"/>
        <v>-45536</v>
      </c>
      <c r="U85" s="5">
        <f>+SUM(U78:U84)</f>
        <v>-120291</v>
      </c>
      <c r="V85" s="3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</row>
    <row r="86" spans="2:99" x14ac:dyDescent="0.2">
      <c r="B86" s="12" t="s">
        <v>108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>
        <v>-9837</v>
      </c>
      <c r="T86" s="3">
        <v>-12190</v>
      </c>
      <c r="U86" s="3">
        <v>-14167</v>
      </c>
      <c r="V86" s="3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</row>
    <row r="87" spans="2:99" x14ac:dyDescent="0.2">
      <c r="B87" s="12" t="s">
        <v>109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>
        <v>-61504</v>
      </c>
      <c r="T87" s="3">
        <v>-62222</v>
      </c>
      <c r="U87" s="3">
        <v>-45709</v>
      </c>
      <c r="V87" s="3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</row>
    <row r="88" spans="2:99" x14ac:dyDescent="0.2">
      <c r="B88" s="12" t="s">
        <v>110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>
        <v>0</v>
      </c>
      <c r="T88" s="3">
        <v>-7363</v>
      </c>
      <c r="U88" s="3">
        <v>-10049</v>
      </c>
      <c r="V88" s="3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</row>
    <row r="89" spans="2:99" x14ac:dyDescent="0.2">
      <c r="B89" s="12" t="s">
        <v>111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>
        <v>10790</v>
      </c>
      <c r="T89" s="3">
        <v>13589</v>
      </c>
      <c r="U89" s="3">
        <v>64564</v>
      </c>
      <c r="V89" s="3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</row>
    <row r="90" spans="2:99" x14ac:dyDescent="0.2">
      <c r="B90" s="12" t="s">
        <v>112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>
        <v>-11550</v>
      </c>
      <c r="T90" s="3">
        <v>-12701</v>
      </c>
      <c r="U90" s="3">
        <v>-32427</v>
      </c>
      <c r="V90" s="3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</row>
    <row r="91" spans="2:99" x14ac:dyDescent="0.2">
      <c r="B91" s="12" t="s">
        <v>113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>
        <v>8</v>
      </c>
      <c r="T91" s="3">
        <v>1154</v>
      </c>
      <c r="U91" s="3">
        <v>400</v>
      </c>
      <c r="V91" s="3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</row>
    <row r="92" spans="2:99" x14ac:dyDescent="0.2">
      <c r="B92" s="4" t="s">
        <v>107</v>
      </c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>
        <f t="shared" ref="S92:T92" si="20">+SUM(S86:S91)</f>
        <v>-72093</v>
      </c>
      <c r="T92" s="5">
        <f t="shared" si="20"/>
        <v>-79733</v>
      </c>
      <c r="U92" s="5">
        <f>+SUM(U86:U91)</f>
        <v>-37388</v>
      </c>
      <c r="V92" s="3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</row>
    <row r="93" spans="2:99" x14ac:dyDescent="0.2">
      <c r="B93" s="12" t="s">
        <v>114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>
        <v>-421</v>
      </c>
      <c r="T93" s="3">
        <v>-612</v>
      </c>
      <c r="U93" s="3">
        <v>208</v>
      </c>
      <c r="V93" s="3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</row>
    <row r="94" spans="2:99" x14ac:dyDescent="0.2">
      <c r="B94" s="4" t="s">
        <v>115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5">
        <f t="shared" ref="S94:T94" si="21">+S92+S93+S85+S77</f>
        <v>2169</v>
      </c>
      <c r="T94" s="5">
        <f t="shared" si="21"/>
        <v>-582</v>
      </c>
      <c r="U94" s="5">
        <f>+U92+U93+U85+U77</f>
        <v>7242</v>
      </c>
      <c r="V94" s="3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</row>
    <row r="95" spans="2:99" x14ac:dyDescent="0.2">
      <c r="B95" s="12" t="s">
        <v>116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>
        <f>+S96-S94</f>
        <v>21879</v>
      </c>
      <c r="T95" s="3">
        <f>+T96-T94</f>
        <v>24048</v>
      </c>
      <c r="U95" s="3">
        <v>23466</v>
      </c>
      <c r="V95" s="3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</row>
    <row r="96" spans="2:99" x14ac:dyDescent="0.2">
      <c r="B96" s="12" t="s">
        <v>117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>
        <f>+T95</f>
        <v>24048</v>
      </c>
      <c r="T96" s="3">
        <f>+U95</f>
        <v>23466</v>
      </c>
      <c r="U96" s="3">
        <f>+U94+U95</f>
        <v>30708</v>
      </c>
      <c r="V96" s="3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</row>
    <row r="97" spans="3:99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</row>
    <row r="98" spans="3:99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</row>
    <row r="99" spans="3:99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/>
      <c r="CS99" s="14"/>
      <c r="CT99" s="14"/>
      <c r="CU99" s="14"/>
    </row>
    <row r="100" spans="3:99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</row>
    <row r="101" spans="3:99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</row>
    <row r="102" spans="3:99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</row>
    <row r="103" spans="3:99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</row>
    <row r="104" spans="3:99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</row>
    <row r="105" spans="3:99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</row>
    <row r="106" spans="3:99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</row>
    <row r="107" spans="3:99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</row>
    <row r="108" spans="3:99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</row>
    <row r="109" spans="3:99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</row>
    <row r="110" spans="3:99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</row>
    <row r="111" spans="3:99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</row>
    <row r="112" spans="3:99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</row>
    <row r="113" spans="3:99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/>
      <c r="CS113" s="14"/>
      <c r="CT113" s="14"/>
      <c r="CU113" s="14"/>
    </row>
    <row r="114" spans="3:99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</row>
    <row r="115" spans="3:99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</row>
    <row r="116" spans="3:99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</row>
    <row r="117" spans="3:99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</row>
    <row r="118" spans="3:99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</row>
    <row r="119" spans="3:99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</row>
    <row r="120" spans="3:99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</row>
    <row r="121" spans="3:99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</row>
    <row r="122" spans="3:99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</row>
    <row r="123" spans="3:99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</row>
    <row r="124" spans="3:99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</row>
    <row r="125" spans="3:99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</row>
    <row r="126" spans="3:99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</row>
    <row r="127" spans="3:99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</row>
    <row r="128" spans="3:99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</row>
    <row r="129" spans="3:99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</row>
    <row r="130" spans="3:99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</row>
    <row r="131" spans="3:99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</row>
    <row r="132" spans="3:99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</row>
    <row r="133" spans="3:99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</row>
    <row r="134" spans="3:99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</row>
    <row r="135" spans="3:99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</row>
    <row r="136" spans="3:99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</row>
    <row r="137" spans="3:99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</row>
    <row r="138" spans="3:99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</row>
    <row r="139" spans="3:99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</row>
    <row r="140" spans="3:99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</row>
    <row r="141" spans="3:99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</row>
    <row r="142" spans="3:99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</row>
    <row r="143" spans="3:99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</row>
    <row r="144" spans="3:99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</row>
    <row r="145" spans="3:99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</row>
    <row r="146" spans="3:99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</row>
    <row r="147" spans="3:99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</row>
    <row r="148" spans="3:99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</row>
    <row r="149" spans="3:99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</row>
    <row r="150" spans="3:99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</row>
    <row r="151" spans="3:99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</row>
    <row r="152" spans="3:99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</row>
    <row r="153" spans="3:99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</row>
    <row r="154" spans="3:99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</row>
    <row r="155" spans="3:99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</row>
    <row r="156" spans="3:99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</row>
    <row r="157" spans="3:99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</row>
    <row r="158" spans="3:99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</row>
    <row r="159" spans="3:99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</row>
    <row r="160" spans="3:99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</row>
    <row r="161" spans="3:99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</row>
    <row r="162" spans="3:99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</row>
    <row r="163" spans="3:99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</row>
    <row r="164" spans="3:99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</row>
    <row r="165" spans="3:99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</row>
    <row r="166" spans="3:99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</row>
    <row r="167" spans="3:99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</row>
    <row r="168" spans="3:99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/>
      <c r="CS168" s="14"/>
      <c r="CT168" s="14"/>
      <c r="CU168" s="14"/>
    </row>
    <row r="169" spans="3:99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/>
      <c r="CS169" s="14"/>
      <c r="CT169" s="14"/>
      <c r="CU169" s="14"/>
    </row>
    <row r="170" spans="3:99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</row>
    <row r="171" spans="3:99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</row>
    <row r="172" spans="3:99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</row>
    <row r="173" spans="3:99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</row>
    <row r="174" spans="3:99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</row>
    <row r="175" spans="3:99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/>
      <c r="CS175" s="14"/>
      <c r="CT175" s="14"/>
      <c r="CU175" s="14"/>
    </row>
    <row r="176" spans="3:99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</row>
    <row r="177" spans="3:99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</row>
    <row r="178" spans="3:99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</row>
    <row r="179" spans="3:99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</row>
    <row r="180" spans="3:99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</row>
    <row r="181" spans="3:99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</row>
    <row r="182" spans="3:99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</row>
    <row r="183" spans="3:99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</row>
    <row r="184" spans="3:99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</row>
    <row r="185" spans="3:99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</row>
    <row r="186" spans="3:99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</row>
    <row r="187" spans="3:99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</row>
    <row r="188" spans="3:99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</row>
    <row r="189" spans="3:99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</row>
    <row r="190" spans="3:99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</row>
    <row r="191" spans="3:99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</row>
    <row r="192" spans="3:99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</row>
    <row r="193" spans="3:99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</row>
    <row r="194" spans="3:99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</row>
    <row r="195" spans="3:99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</row>
    <row r="196" spans="3:99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</row>
    <row r="197" spans="3:99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</row>
    <row r="198" spans="3:99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/>
      <c r="CQ198" s="14"/>
      <c r="CR198" s="14"/>
      <c r="CS198" s="14"/>
      <c r="CT198" s="14"/>
      <c r="CU198" s="14"/>
    </row>
    <row r="199" spans="3:99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/>
      <c r="CQ199" s="14"/>
      <c r="CR199" s="14"/>
      <c r="CS199" s="14"/>
      <c r="CT199" s="14"/>
      <c r="CU199" s="14"/>
    </row>
    <row r="200" spans="3:99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/>
      <c r="CQ200" s="14"/>
      <c r="CR200" s="14"/>
      <c r="CS200" s="14"/>
      <c r="CT200" s="14"/>
      <c r="CU200" s="14"/>
    </row>
    <row r="201" spans="3:99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</row>
    <row r="202" spans="3:99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/>
      <c r="CQ202" s="14"/>
      <c r="CR202" s="14"/>
      <c r="CS202" s="14"/>
      <c r="CT202" s="14"/>
      <c r="CU202" s="14"/>
    </row>
    <row r="203" spans="3:99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/>
      <c r="CQ203" s="14"/>
      <c r="CR203" s="14"/>
      <c r="CS203" s="14"/>
      <c r="CT203" s="14"/>
      <c r="CU203" s="14"/>
    </row>
    <row r="204" spans="3:99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/>
      <c r="CQ204" s="14"/>
      <c r="CR204" s="14"/>
      <c r="CS204" s="14"/>
      <c r="CT204" s="14"/>
      <c r="CU204" s="14"/>
    </row>
    <row r="205" spans="3:99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/>
      <c r="CQ205" s="14"/>
      <c r="CR205" s="14"/>
      <c r="CS205" s="14"/>
      <c r="CT205" s="14"/>
      <c r="CU205" s="14"/>
    </row>
    <row r="206" spans="3:99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/>
      <c r="CQ206" s="14"/>
      <c r="CR206" s="14"/>
      <c r="CS206" s="14"/>
      <c r="CT206" s="14"/>
      <c r="CU206" s="14"/>
    </row>
    <row r="207" spans="3:99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/>
      <c r="CQ207" s="14"/>
      <c r="CR207" s="14"/>
      <c r="CS207" s="14"/>
      <c r="CT207" s="14"/>
      <c r="CU207" s="14"/>
    </row>
    <row r="208" spans="3:99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  <c r="CL208" s="14"/>
      <c r="CM208" s="14"/>
      <c r="CN208" s="14"/>
      <c r="CO208" s="14"/>
      <c r="CP208" s="14"/>
      <c r="CQ208" s="14"/>
      <c r="CR208" s="14"/>
      <c r="CS208" s="14"/>
      <c r="CT208" s="14"/>
      <c r="CU208" s="14"/>
    </row>
    <row r="209" spans="3:99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  <c r="CL209" s="14"/>
      <c r="CM209" s="14"/>
      <c r="CN209" s="14"/>
      <c r="CO209" s="14"/>
      <c r="CP209" s="14"/>
      <c r="CQ209" s="14"/>
      <c r="CR209" s="14"/>
      <c r="CS209" s="14"/>
      <c r="CT209" s="14"/>
      <c r="CU209" s="14"/>
    </row>
    <row r="210" spans="3:99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/>
      <c r="CQ210" s="14"/>
      <c r="CR210" s="14"/>
      <c r="CS210" s="14"/>
      <c r="CT210" s="14"/>
      <c r="CU210" s="14"/>
    </row>
    <row r="211" spans="3:99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</row>
    <row r="212" spans="3:99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</row>
    <row r="213" spans="3:99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</row>
    <row r="214" spans="3:99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/>
      <c r="CQ214" s="14"/>
      <c r="CR214" s="14"/>
      <c r="CS214" s="14"/>
      <c r="CT214" s="14"/>
      <c r="CU214" s="14"/>
    </row>
    <row r="215" spans="3:99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3:99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3:99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3:99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3:99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3:99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3:99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3:99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3:99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3:99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3:22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3:22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3:22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3:22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3:22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3:22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3:22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3:22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3:22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3:22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3:22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3:22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3:22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3:22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3:22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3:22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3:22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3:22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3:22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3:22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3:22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3:22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3:22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3:22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3:22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3:22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3:22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3:22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3:22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3:22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3:22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3:22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3:22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3:22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3:22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3:22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3:22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3:22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3:22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3:22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3:22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3:22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3:22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3:22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3:22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3:22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3:22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3:22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3:22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3:22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3:22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3:22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3:22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3:22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3:22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3:22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3:22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3:22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3:22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3:22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3:22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3:22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3:22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3:22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3:22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3:22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3:22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3:22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3:22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3:22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3:22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3:22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3:22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3:22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3:22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3:22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3:22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3:22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3:22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3:22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3:22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3:22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3:22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3:22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3:22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3:22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3:22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3:22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3:22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3:22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3:22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3:22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3:22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3:22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3:22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3:22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3:22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3:22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3:22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3:22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3:22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3:22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3:22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3:22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3:22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3:22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3:22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3:22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3:22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3:22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3:22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3:22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3:22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3:22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3:22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3:22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3:22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3:22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3:22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3:22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3:22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3:22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3:22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3:22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3:22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3:22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3:22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3:22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3:22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3:22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3:22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3:22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3:22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3:22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3:22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3:22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3:22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3:22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3:22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3:22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3:22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3:22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3:22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3:22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3:22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3:22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3:22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3:22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3:22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3:22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3:22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3:22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3:22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3:22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3:22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3:22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3:22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3:22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3:22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3:22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3:22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3:22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3:22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3:22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3:22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3:22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3:22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3:22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3:22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3:22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3:22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3:22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3:22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3:22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3:22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3:22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3:22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3:22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3:22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3:22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3:22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3:22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3:22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3:22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3:22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3:22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3:22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3:22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3:22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3:22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3:22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3:22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3:22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3:22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3:22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3:22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3:22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3:22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3:22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3:22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3:22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3:22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3:22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3:22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3:22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3:22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3:22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spans="3:22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spans="3:22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spans="3:22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3:22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3:22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3:22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3:22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3:22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3:22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3:22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3:22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3:22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3:22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3:22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3:22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3:22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spans="3:22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spans="3:22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spans="3:22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spans="3:22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spans="3:22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spans="3:22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spans="3:22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spans="3:22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spans="3:22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spans="3:22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spans="3:22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spans="3:22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spans="3:22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spans="3:22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spans="3:22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spans="3:22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spans="3:22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spans="3:22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spans="3:22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spans="3:22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spans="3:22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spans="3:22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spans="3:22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spans="3:22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spans="3:22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spans="3:22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spans="3:22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spans="3:22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spans="3:22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spans="3:22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spans="3:22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spans="3:22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spans="3:22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spans="3:22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spans="3:22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spans="3:22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spans="3:22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spans="3:22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spans="3:22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spans="3:22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spans="3:22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spans="3:22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spans="3:22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spans="3:22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spans="3:22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spans="3:22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spans="3:22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spans="3:22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spans="3:22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spans="3:22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spans="3:22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spans="3:22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spans="3:22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spans="3:22" x14ac:dyDescent="0.2"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spans="3:22" x14ac:dyDescent="0.2"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spans="3:22" x14ac:dyDescent="0.2"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spans="3:22" x14ac:dyDescent="0.2"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spans="3:22" x14ac:dyDescent="0.2"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spans="3:22" x14ac:dyDescent="0.2"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spans="3:22" x14ac:dyDescent="0.2"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spans="3:22" x14ac:dyDescent="0.2"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spans="3:22" x14ac:dyDescent="0.2"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spans="3:22" x14ac:dyDescent="0.2"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spans="3:22" x14ac:dyDescent="0.2"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spans="3:22" x14ac:dyDescent="0.2"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spans="3:22" x14ac:dyDescent="0.2"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spans="3:22" x14ac:dyDescent="0.2"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spans="3:22" x14ac:dyDescent="0.2"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spans="3:22" x14ac:dyDescent="0.2"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spans="3:22" x14ac:dyDescent="0.2"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spans="3:22" x14ac:dyDescent="0.2"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spans="3:22" x14ac:dyDescent="0.2"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spans="3:22" x14ac:dyDescent="0.2"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spans="3:22" x14ac:dyDescent="0.2"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spans="3:22" x14ac:dyDescent="0.2"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spans="3:22" x14ac:dyDescent="0.2"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spans="3:22" x14ac:dyDescent="0.2"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spans="3:22" x14ac:dyDescent="0.2"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spans="3:22" x14ac:dyDescent="0.2"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spans="3:22" x14ac:dyDescent="0.2"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spans="3:22" x14ac:dyDescent="0.2"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spans="3:22" x14ac:dyDescent="0.2"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spans="3:22" x14ac:dyDescent="0.2"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spans="3:22" x14ac:dyDescent="0.2"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spans="3:22" x14ac:dyDescent="0.2"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spans="3:22" x14ac:dyDescent="0.2"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spans="3:22" x14ac:dyDescent="0.2"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spans="3:22" x14ac:dyDescent="0.2"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spans="3:22" x14ac:dyDescent="0.2"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spans="3:22" x14ac:dyDescent="0.2"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spans="3:22" x14ac:dyDescent="0.2"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spans="3:22" x14ac:dyDescent="0.2"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spans="3:22" x14ac:dyDescent="0.2"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spans="3:22" x14ac:dyDescent="0.2"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spans="3:22" x14ac:dyDescent="0.2"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spans="3:22" x14ac:dyDescent="0.2"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spans="3:22" x14ac:dyDescent="0.2"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spans="3:22" x14ac:dyDescent="0.2"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spans="3:22" x14ac:dyDescent="0.2"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spans="3:22" x14ac:dyDescent="0.2"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spans="3:22" x14ac:dyDescent="0.2"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spans="3:22" x14ac:dyDescent="0.2"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spans="3:22" x14ac:dyDescent="0.2"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spans="3:22" x14ac:dyDescent="0.2"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spans="3:22" x14ac:dyDescent="0.2"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spans="3:22" x14ac:dyDescent="0.2"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spans="3:22" x14ac:dyDescent="0.2"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spans="3:22" x14ac:dyDescent="0.2"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spans="3:22" x14ac:dyDescent="0.2"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spans="3:22" x14ac:dyDescent="0.2"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spans="3:22" x14ac:dyDescent="0.2"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spans="3:22" x14ac:dyDescent="0.2"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spans="3:22" x14ac:dyDescent="0.2"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spans="3:22" x14ac:dyDescent="0.2"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spans="3:22" x14ac:dyDescent="0.2"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spans="3:22" x14ac:dyDescent="0.2"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spans="3:22" x14ac:dyDescent="0.2"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spans="3:22" x14ac:dyDescent="0.2"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spans="3:22" x14ac:dyDescent="0.2"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spans="3:22" x14ac:dyDescent="0.2"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spans="3:22" x14ac:dyDescent="0.2"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spans="3:22" x14ac:dyDescent="0.2"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spans="3:22" x14ac:dyDescent="0.2"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spans="3:22" x14ac:dyDescent="0.2"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spans="3:22" x14ac:dyDescent="0.2"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spans="3:22" x14ac:dyDescent="0.2"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spans="3:22" x14ac:dyDescent="0.2"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spans="3:22" x14ac:dyDescent="0.2"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spans="3:22" x14ac:dyDescent="0.2"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spans="3:22" x14ac:dyDescent="0.2"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spans="3:22" x14ac:dyDescent="0.2"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spans="3:22" x14ac:dyDescent="0.2"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spans="3:22" x14ac:dyDescent="0.2"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spans="3:22" x14ac:dyDescent="0.2"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spans="3:22" x14ac:dyDescent="0.2"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spans="3:22" x14ac:dyDescent="0.2"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spans="3:22" x14ac:dyDescent="0.2"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spans="3:22" x14ac:dyDescent="0.2"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spans="3:22" x14ac:dyDescent="0.2"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spans="3:22" x14ac:dyDescent="0.2"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spans="3:22" x14ac:dyDescent="0.2"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spans="3:22" x14ac:dyDescent="0.2"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spans="3:22" x14ac:dyDescent="0.2"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spans="3:22" x14ac:dyDescent="0.2"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spans="3:22" x14ac:dyDescent="0.2"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spans="3:22" x14ac:dyDescent="0.2"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spans="3:22" x14ac:dyDescent="0.2"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spans="3:22" x14ac:dyDescent="0.2"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spans="3:22" x14ac:dyDescent="0.2"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spans="3:22" x14ac:dyDescent="0.2"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spans="3:22" x14ac:dyDescent="0.2"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spans="3:22" x14ac:dyDescent="0.2"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spans="3:22" x14ac:dyDescent="0.2"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spans="3:22" x14ac:dyDescent="0.2"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spans="3:22" x14ac:dyDescent="0.2"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spans="3:22" x14ac:dyDescent="0.2"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spans="3:22" x14ac:dyDescent="0.2"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spans="3:22" x14ac:dyDescent="0.2"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spans="3:22" x14ac:dyDescent="0.2"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spans="3:22" x14ac:dyDescent="0.2"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spans="3:22" x14ac:dyDescent="0.2"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spans="3:22" x14ac:dyDescent="0.2"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spans="3:22" x14ac:dyDescent="0.2"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spans="3:22" x14ac:dyDescent="0.2"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spans="3:22" x14ac:dyDescent="0.2"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spans="3:22" x14ac:dyDescent="0.2"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spans="3:22" x14ac:dyDescent="0.2"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spans="3:22" x14ac:dyDescent="0.2"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spans="3:22" x14ac:dyDescent="0.2"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spans="3:22" x14ac:dyDescent="0.2"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spans="3:22" x14ac:dyDescent="0.2"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spans="3:22" x14ac:dyDescent="0.2"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spans="3:22" x14ac:dyDescent="0.2"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spans="3:22" x14ac:dyDescent="0.2"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spans="3:22" x14ac:dyDescent="0.2"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spans="3:22" x14ac:dyDescent="0.2"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spans="3:22" x14ac:dyDescent="0.2"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spans="3:22" x14ac:dyDescent="0.2"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spans="3:22" x14ac:dyDescent="0.2"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spans="3:22" x14ac:dyDescent="0.2"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spans="3:22" x14ac:dyDescent="0.2"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spans="3:22" x14ac:dyDescent="0.2"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spans="3:22" x14ac:dyDescent="0.2"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spans="3:22" x14ac:dyDescent="0.2"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spans="3:22" x14ac:dyDescent="0.2"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spans="3:22" x14ac:dyDescent="0.2"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spans="3:22" x14ac:dyDescent="0.2"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spans="3:22" x14ac:dyDescent="0.2"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spans="3:22" x14ac:dyDescent="0.2"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spans="3:22" x14ac:dyDescent="0.2"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spans="3:22" x14ac:dyDescent="0.2"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spans="3:22" x14ac:dyDescent="0.2"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spans="3:22" x14ac:dyDescent="0.2"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spans="3:22" x14ac:dyDescent="0.2"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spans="3:22" x14ac:dyDescent="0.2"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spans="3:22" x14ac:dyDescent="0.2"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spans="3:22" x14ac:dyDescent="0.2"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spans="3:22" x14ac:dyDescent="0.2"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spans="3:22" x14ac:dyDescent="0.2"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spans="3:22" x14ac:dyDescent="0.2"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spans="3:22" x14ac:dyDescent="0.2"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spans="3:22" x14ac:dyDescent="0.2"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spans="3:22" x14ac:dyDescent="0.2"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spans="3:22" x14ac:dyDescent="0.2"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spans="3:22" x14ac:dyDescent="0.2"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spans="3:22" x14ac:dyDescent="0.2"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spans="3:22" x14ac:dyDescent="0.2"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spans="3:22" x14ac:dyDescent="0.2"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spans="3:22" x14ac:dyDescent="0.2"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spans="3:22" x14ac:dyDescent="0.2"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spans="3:22" x14ac:dyDescent="0.2"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spans="3:22" x14ac:dyDescent="0.2"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spans="3:22" x14ac:dyDescent="0.2"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spans="3:22" x14ac:dyDescent="0.2"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spans="3:22" x14ac:dyDescent="0.2"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spans="3:22" x14ac:dyDescent="0.2"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spans="3:22" x14ac:dyDescent="0.2"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spans="3:22" x14ac:dyDescent="0.2"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spans="3:22" x14ac:dyDescent="0.2"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spans="3:22" x14ac:dyDescent="0.2"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spans="3:22" x14ac:dyDescent="0.2"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spans="3:22" x14ac:dyDescent="0.2"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spans="3:22" x14ac:dyDescent="0.2"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spans="3:22" x14ac:dyDescent="0.2"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spans="3:22" x14ac:dyDescent="0.2"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spans="3:22" x14ac:dyDescent="0.2"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spans="3:22" x14ac:dyDescent="0.2"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spans="3:22" x14ac:dyDescent="0.2"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spans="3:22" x14ac:dyDescent="0.2"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spans="3:22" x14ac:dyDescent="0.2"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spans="3:22" x14ac:dyDescent="0.2"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spans="3:22" x14ac:dyDescent="0.2"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spans="3:22" x14ac:dyDescent="0.2"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spans="3:22" x14ac:dyDescent="0.2"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spans="3:22" x14ac:dyDescent="0.2"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spans="3:22" x14ac:dyDescent="0.2"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spans="3:22" x14ac:dyDescent="0.2"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spans="3:22" x14ac:dyDescent="0.2"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spans="3:22" x14ac:dyDescent="0.2"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spans="3:22" x14ac:dyDescent="0.2"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spans="3:22" x14ac:dyDescent="0.2"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spans="3:22" x14ac:dyDescent="0.2"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spans="3:22" x14ac:dyDescent="0.2"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spans="3:22" x14ac:dyDescent="0.2"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spans="3:22" x14ac:dyDescent="0.2"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spans="3:22" x14ac:dyDescent="0.2"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spans="3:22" x14ac:dyDescent="0.2"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spans="3:22" x14ac:dyDescent="0.2"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spans="3:22" x14ac:dyDescent="0.2"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spans="3:22" x14ac:dyDescent="0.2"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spans="3:22" x14ac:dyDescent="0.2"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spans="3:22" x14ac:dyDescent="0.2"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spans="3:22" x14ac:dyDescent="0.2"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spans="3:22" x14ac:dyDescent="0.2"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spans="3:22" x14ac:dyDescent="0.2"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spans="3:22" x14ac:dyDescent="0.2"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spans="3:22" x14ac:dyDescent="0.2"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spans="3:22" x14ac:dyDescent="0.2"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spans="3:22" x14ac:dyDescent="0.2"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spans="3:22" x14ac:dyDescent="0.2"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spans="3:22" x14ac:dyDescent="0.2"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spans="3:22" x14ac:dyDescent="0.2"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spans="3:22" x14ac:dyDescent="0.2"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spans="3:22" x14ac:dyDescent="0.2"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spans="3:22" x14ac:dyDescent="0.2"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spans="3:22" x14ac:dyDescent="0.2"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spans="3:22" x14ac:dyDescent="0.2"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spans="3:22" x14ac:dyDescent="0.2"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spans="3:22" x14ac:dyDescent="0.2"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spans="3:22" x14ac:dyDescent="0.2"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spans="3:22" x14ac:dyDescent="0.2"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spans="3:22" x14ac:dyDescent="0.2"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spans="3:22" x14ac:dyDescent="0.2"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spans="3:22" x14ac:dyDescent="0.2"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spans="3:22" x14ac:dyDescent="0.2"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spans="3:22" x14ac:dyDescent="0.2"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spans="3:22" x14ac:dyDescent="0.2"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spans="3:22" x14ac:dyDescent="0.2"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spans="3:22" x14ac:dyDescent="0.2"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spans="3:22" x14ac:dyDescent="0.2"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spans="3:22" x14ac:dyDescent="0.2"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spans="3:22" x14ac:dyDescent="0.2"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spans="3:22" x14ac:dyDescent="0.2"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spans="3:22" x14ac:dyDescent="0.2"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spans="3:22" x14ac:dyDescent="0.2"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spans="3:22" x14ac:dyDescent="0.2"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spans="3:22" x14ac:dyDescent="0.2"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spans="3:22" x14ac:dyDescent="0.2"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spans="3:22" x14ac:dyDescent="0.2"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spans="3:22" x14ac:dyDescent="0.2"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spans="3:22" x14ac:dyDescent="0.2"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spans="3:22" x14ac:dyDescent="0.2"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spans="3:22" x14ac:dyDescent="0.2"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spans="3:22" x14ac:dyDescent="0.2"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spans="3:22" x14ac:dyDescent="0.2"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spans="3:22" x14ac:dyDescent="0.2"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spans="3:22" x14ac:dyDescent="0.2"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spans="3:22" x14ac:dyDescent="0.2"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spans="3:22" x14ac:dyDescent="0.2"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spans="3:22" x14ac:dyDescent="0.2"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spans="3:22" x14ac:dyDescent="0.2"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spans="3:22" x14ac:dyDescent="0.2"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spans="3:22" x14ac:dyDescent="0.2"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spans="3:22" x14ac:dyDescent="0.2"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spans="3:22" x14ac:dyDescent="0.2"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spans="3:22" x14ac:dyDescent="0.2"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spans="3:22" x14ac:dyDescent="0.2"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spans="3:22" x14ac:dyDescent="0.2"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spans="3:22" x14ac:dyDescent="0.2"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spans="3:22" x14ac:dyDescent="0.2"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spans="3:22" x14ac:dyDescent="0.2"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spans="3:22" x14ac:dyDescent="0.2"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spans="3:22" x14ac:dyDescent="0.2"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spans="3:22" x14ac:dyDescent="0.2"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spans="3:22" x14ac:dyDescent="0.2"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spans="3:22" x14ac:dyDescent="0.2"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spans="3:22" x14ac:dyDescent="0.2"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spans="3:22" x14ac:dyDescent="0.2"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spans="3:22" x14ac:dyDescent="0.2"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spans="3:22" x14ac:dyDescent="0.2"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spans="3:22" x14ac:dyDescent="0.2"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spans="3:22" x14ac:dyDescent="0.2"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spans="3:22" x14ac:dyDescent="0.2"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spans="3:22" x14ac:dyDescent="0.2"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spans="3:22" x14ac:dyDescent="0.2"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spans="3:22" x14ac:dyDescent="0.2"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spans="3:22" x14ac:dyDescent="0.2"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spans="3:22" x14ac:dyDescent="0.2"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spans="3:22" x14ac:dyDescent="0.2"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spans="3:22" x14ac:dyDescent="0.2"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spans="3:22" x14ac:dyDescent="0.2"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spans="3:22" x14ac:dyDescent="0.2"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spans="3:22" x14ac:dyDescent="0.2"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spans="3:22" x14ac:dyDescent="0.2"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spans="3:22" x14ac:dyDescent="0.2"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spans="3:22" x14ac:dyDescent="0.2"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spans="3:22" x14ac:dyDescent="0.2"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spans="3:22" x14ac:dyDescent="0.2"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spans="3:22" x14ac:dyDescent="0.2"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spans="3:22" x14ac:dyDescent="0.2"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spans="3:22" x14ac:dyDescent="0.2"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spans="3:22" x14ac:dyDescent="0.2"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spans="3:22" x14ac:dyDescent="0.2"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spans="3:22" x14ac:dyDescent="0.2"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spans="3:22" x14ac:dyDescent="0.2"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spans="3:22" x14ac:dyDescent="0.2"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spans="3:22" x14ac:dyDescent="0.2"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spans="3:22" x14ac:dyDescent="0.2"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spans="3:22" x14ac:dyDescent="0.2"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spans="3:22" x14ac:dyDescent="0.2"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spans="3:22" x14ac:dyDescent="0.2"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spans="3:22" x14ac:dyDescent="0.2"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spans="3:22" x14ac:dyDescent="0.2"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spans="3:22" x14ac:dyDescent="0.2"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spans="3:22" x14ac:dyDescent="0.2"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spans="3:22" x14ac:dyDescent="0.2"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spans="3:22" x14ac:dyDescent="0.2"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spans="3:22" x14ac:dyDescent="0.2"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spans="3:22" x14ac:dyDescent="0.2"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spans="3:22" x14ac:dyDescent="0.2"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spans="3:22" x14ac:dyDescent="0.2"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spans="3:22" x14ac:dyDescent="0.2"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spans="3:22" x14ac:dyDescent="0.2"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spans="3:22" x14ac:dyDescent="0.2"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spans="3:22" x14ac:dyDescent="0.2"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spans="3:22" x14ac:dyDescent="0.2"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spans="3:22" x14ac:dyDescent="0.2"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spans="3:22" x14ac:dyDescent="0.2"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spans="3:22" x14ac:dyDescent="0.2"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spans="3:22" x14ac:dyDescent="0.2"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spans="3:22" x14ac:dyDescent="0.2"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spans="3:22" x14ac:dyDescent="0.2"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spans="3:22" x14ac:dyDescent="0.2"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spans="3:22" x14ac:dyDescent="0.2"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spans="3:22" x14ac:dyDescent="0.2"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spans="3:22" x14ac:dyDescent="0.2"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spans="3:22" x14ac:dyDescent="0.2"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spans="3:22" x14ac:dyDescent="0.2"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spans="3:22" x14ac:dyDescent="0.2"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spans="3:22" x14ac:dyDescent="0.2"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spans="3:22" x14ac:dyDescent="0.2"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spans="3:22" x14ac:dyDescent="0.2"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spans="3:22" x14ac:dyDescent="0.2"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spans="3:22" x14ac:dyDescent="0.2"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spans="3:22" x14ac:dyDescent="0.2"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spans="3:22" x14ac:dyDescent="0.2"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spans="3:22" x14ac:dyDescent="0.2"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spans="3:22" x14ac:dyDescent="0.2"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spans="3:22" x14ac:dyDescent="0.2"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spans="3:22" x14ac:dyDescent="0.2"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spans="3:22" x14ac:dyDescent="0.2"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spans="3:22" x14ac:dyDescent="0.2"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spans="3:22" x14ac:dyDescent="0.2"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spans="3:22" x14ac:dyDescent="0.2"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spans="3:22" x14ac:dyDescent="0.2"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spans="3:22" x14ac:dyDescent="0.2"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spans="3:22" x14ac:dyDescent="0.2"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spans="3:22" x14ac:dyDescent="0.2"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spans="3:22" x14ac:dyDescent="0.2"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spans="3:22" x14ac:dyDescent="0.2"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spans="3:22" x14ac:dyDescent="0.2"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spans="3:22" x14ac:dyDescent="0.2"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spans="3:22" x14ac:dyDescent="0.2"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spans="3:22" x14ac:dyDescent="0.2"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spans="3:22" x14ac:dyDescent="0.2"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spans="3:22" x14ac:dyDescent="0.2"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</sheetData>
  <hyperlinks>
    <hyperlink ref="A1" location="Main!A1" display="Main" xr:uid="{4C63A239-4C0A-48B3-8C90-38E2389F67B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2024-10-01T08:39:25Z</dcterms:created>
  <dcterms:modified xsi:type="dcterms:W3CDTF">2026-02-05T15:42:29Z</dcterms:modified>
</cp:coreProperties>
</file>