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1602958C-3E3B-4C94-BD74-527B1361C643}" xr6:coauthVersionLast="47" xr6:coauthVersionMax="47" xr10:uidLastSave="{00000000-0000-0000-0000-000000000000}"/>
  <bookViews>
    <workbookView xWindow="19095" yWindow="0" windowWidth="19410" windowHeight="20985" xr2:uid="{D4E53C97-B5F0-4187-8ABA-7D06CADAD88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P21" i="2"/>
  <c r="P18" i="2"/>
  <c r="P19" i="2"/>
  <c r="P17" i="2"/>
  <c r="P15" i="2"/>
  <c r="P32" i="2" s="1"/>
  <c r="P11" i="2"/>
  <c r="P33" i="2"/>
  <c r="P31" i="2"/>
  <c r="P30" i="2"/>
  <c r="P29" i="2"/>
  <c r="P28" i="2"/>
  <c r="P27" i="2"/>
  <c r="P26" i="2"/>
  <c r="P25" i="2"/>
  <c r="P24" i="2"/>
  <c r="P8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1" i="2"/>
  <c r="O19" i="2"/>
  <c r="O17" i="2"/>
  <c r="O15" i="2"/>
  <c r="O11" i="2"/>
  <c r="I4" i="1"/>
  <c r="N21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X96" i="2"/>
  <c r="X92" i="2"/>
  <c r="W92" i="2"/>
  <c r="Y92" i="2"/>
  <c r="X85" i="2"/>
  <c r="W85" i="2"/>
  <c r="Y85" i="2"/>
  <c r="W76" i="2"/>
  <c r="X76" i="2"/>
  <c r="X77" i="2"/>
  <c r="W77" i="2"/>
  <c r="Y76" i="2"/>
  <c r="Y77" i="2" s="1"/>
  <c r="X54" i="2"/>
  <c r="X59" i="2"/>
  <c r="Y59" i="2"/>
  <c r="Y54" i="2"/>
  <c r="X47" i="2"/>
  <c r="X40" i="2"/>
  <c r="X48" i="2"/>
  <c r="Y47" i="2"/>
  <c r="Y40" i="2"/>
  <c r="Y11" i="2"/>
  <c r="Y15" i="2" s="1"/>
  <c r="Y17" i="2" s="1"/>
  <c r="Y19" i="2" s="1"/>
  <c r="Y21" i="2" s="1"/>
  <c r="X11" i="2"/>
  <c r="X15" i="2" s="1"/>
  <c r="X17" i="2" s="1"/>
  <c r="X19" i="2" s="1"/>
  <c r="X21" i="2" s="1"/>
  <c r="W11" i="2"/>
  <c r="W15" i="2" s="1"/>
  <c r="W17" i="2" s="1"/>
  <c r="W19" i="2" s="1"/>
  <c r="W21" i="2" s="1"/>
  <c r="V11" i="2"/>
  <c r="V15" i="2" s="1"/>
  <c r="V17" i="2" s="1"/>
  <c r="V19" i="2" s="1"/>
  <c r="U11" i="2"/>
  <c r="U15" i="2" s="1"/>
  <c r="U17" i="2" s="1"/>
  <c r="U19" i="2" s="1"/>
  <c r="T11" i="2"/>
  <c r="T15" i="2" s="1"/>
  <c r="T17" i="2" s="1"/>
  <c r="T19" i="2" s="1"/>
  <c r="X8" i="2"/>
  <c r="Y8" i="2"/>
  <c r="M30" i="2"/>
  <c r="M28" i="2"/>
  <c r="M27" i="2"/>
  <c r="M26" i="2"/>
  <c r="M25" i="2"/>
  <c r="M24" i="2"/>
  <c r="M11" i="2"/>
  <c r="M31" i="2" s="1"/>
  <c r="L30" i="2"/>
  <c r="L28" i="2"/>
  <c r="L27" i="2"/>
  <c r="L26" i="2"/>
  <c r="L25" i="2"/>
  <c r="L24" i="2"/>
  <c r="L11" i="2"/>
  <c r="L15" i="2" s="1"/>
  <c r="L8" i="2"/>
  <c r="K30" i="2"/>
  <c r="K28" i="2"/>
  <c r="K27" i="2"/>
  <c r="K26" i="2"/>
  <c r="K25" i="2"/>
  <c r="K24" i="2"/>
  <c r="K8" i="2"/>
  <c r="K11" i="2"/>
  <c r="K15" i="2" s="1"/>
  <c r="I30" i="2"/>
  <c r="H30" i="2"/>
  <c r="G30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J30" i="2"/>
  <c r="J28" i="2"/>
  <c r="J27" i="2"/>
  <c r="J26" i="2"/>
  <c r="J25" i="2"/>
  <c r="J24" i="2"/>
  <c r="G8" i="2"/>
  <c r="G29" i="2" s="1"/>
  <c r="C8" i="2"/>
  <c r="E8" i="2"/>
  <c r="I8" i="2"/>
  <c r="I29" i="2" s="1"/>
  <c r="F8" i="2"/>
  <c r="J8" i="2"/>
  <c r="D8" i="2"/>
  <c r="H8" i="2"/>
  <c r="D11" i="2"/>
  <c r="D15" i="2" s="1"/>
  <c r="D17" i="2" s="1"/>
  <c r="D19" i="2" s="1"/>
  <c r="D21" i="2" s="1"/>
  <c r="J11" i="2"/>
  <c r="J15" i="2" s="1"/>
  <c r="J17" i="2" s="1"/>
  <c r="J19" i="2" s="1"/>
  <c r="J21" i="2" s="1"/>
  <c r="I11" i="2"/>
  <c r="I15" i="2" s="1"/>
  <c r="I17" i="2" s="1"/>
  <c r="I19" i="2" s="1"/>
  <c r="I21" i="2" s="1"/>
  <c r="H11" i="2"/>
  <c r="H15" i="2" s="1"/>
  <c r="H17" i="2" s="1"/>
  <c r="H19" i="2" s="1"/>
  <c r="H21" i="2" s="1"/>
  <c r="G11" i="2"/>
  <c r="G15" i="2" s="1"/>
  <c r="G17" i="2" s="1"/>
  <c r="G19" i="2" s="1"/>
  <c r="G21" i="2" s="1"/>
  <c r="F11" i="2"/>
  <c r="F15" i="2" s="1"/>
  <c r="F17" i="2" s="1"/>
  <c r="F19" i="2" s="1"/>
  <c r="F21" i="2" s="1"/>
  <c r="E11" i="2"/>
  <c r="C11" i="2"/>
  <c r="Y61" i="2" l="1"/>
  <c r="Y94" i="2"/>
  <c r="Y96" i="2" s="1"/>
  <c r="X94" i="2"/>
  <c r="W94" i="2"/>
  <c r="E15" i="2"/>
  <c r="E17" i="2" s="1"/>
  <c r="E19" i="2" s="1"/>
  <c r="E21" i="2" s="1"/>
  <c r="E31" i="2"/>
  <c r="C15" i="2"/>
  <c r="C31" i="2"/>
  <c r="X95" i="2"/>
  <c r="W96" i="2" s="1"/>
  <c r="W95" i="2" s="1"/>
  <c r="X61" i="2"/>
  <c r="Y48" i="2"/>
  <c r="F31" i="2"/>
  <c r="G31" i="2"/>
  <c r="D31" i="2"/>
  <c r="K29" i="2"/>
  <c r="H29" i="2"/>
  <c r="M29" i="2"/>
  <c r="L29" i="2"/>
  <c r="J29" i="2"/>
  <c r="F33" i="2"/>
  <c r="L31" i="2"/>
  <c r="G33" i="2"/>
  <c r="L17" i="2"/>
  <c r="L32" i="2"/>
  <c r="K17" i="2"/>
  <c r="K32" i="2"/>
  <c r="H31" i="2"/>
  <c r="D32" i="2"/>
  <c r="E32" i="2"/>
  <c r="F32" i="2"/>
  <c r="K31" i="2"/>
  <c r="M15" i="2"/>
  <c r="G32" i="2"/>
  <c r="I31" i="2"/>
  <c r="H32" i="2"/>
  <c r="I32" i="2"/>
  <c r="D33" i="2"/>
  <c r="E33" i="2"/>
  <c r="H33" i="2"/>
  <c r="I33" i="2"/>
  <c r="J31" i="2"/>
  <c r="J32" i="2"/>
  <c r="J33" i="2"/>
  <c r="I7" i="1"/>
  <c r="C17" i="2" l="1"/>
  <c r="C32" i="2"/>
  <c r="M32" i="2"/>
  <c r="M17" i="2"/>
  <c r="K19" i="2"/>
  <c r="K21" i="2" s="1"/>
  <c r="K33" i="2"/>
  <c r="L19" i="2"/>
  <c r="L21" i="2" s="1"/>
  <c r="L33" i="2"/>
  <c r="C19" i="2" l="1"/>
  <c r="C21" i="2" s="1"/>
  <c r="C33" i="2"/>
  <c r="M33" i="2"/>
  <c r="M19" i="2"/>
  <c r="M21" i="2" s="1"/>
</calcChain>
</file>

<file path=xl/sharedStrings.xml><?xml version="1.0" encoding="utf-8"?>
<sst xmlns="http://schemas.openxmlformats.org/spreadsheetml/2006/main" count="132" uniqueCount="122">
  <si>
    <t xml:space="preserve">Alpahbet </t>
  </si>
  <si>
    <t>numbers in mio USD</t>
  </si>
  <si>
    <t>SEC</t>
  </si>
  <si>
    <t>GOOG</t>
  </si>
  <si>
    <t>Price</t>
  </si>
  <si>
    <t>Shares</t>
  </si>
  <si>
    <t>MC</t>
  </si>
  <si>
    <t>Cash</t>
  </si>
  <si>
    <t>Debt</t>
  </si>
  <si>
    <t>EV</t>
  </si>
  <si>
    <t>Q224</t>
  </si>
  <si>
    <t>Main</t>
  </si>
  <si>
    <t>Q123</t>
  </si>
  <si>
    <t>Q223</t>
  </si>
  <si>
    <t>Q323</t>
  </si>
  <si>
    <t>Q423</t>
  </si>
  <si>
    <t>Q124</t>
  </si>
  <si>
    <t>Q424</t>
  </si>
  <si>
    <t>Revenue</t>
  </si>
  <si>
    <t>COGS</t>
  </si>
  <si>
    <t>Gross Profit</t>
  </si>
  <si>
    <t>R&amp;D</t>
  </si>
  <si>
    <t>Sales &amp; Marketing</t>
  </si>
  <si>
    <t>General &amp; Administrative</t>
  </si>
  <si>
    <t>Operating Income</t>
  </si>
  <si>
    <t>Other Income</t>
  </si>
  <si>
    <t>Pretax Income</t>
  </si>
  <si>
    <t>Income Tax Expesne</t>
  </si>
  <si>
    <t>Net Income</t>
  </si>
  <si>
    <t>EPS</t>
  </si>
  <si>
    <t>Google Search and other</t>
  </si>
  <si>
    <t>YouTube Ads</t>
  </si>
  <si>
    <t>Google Network</t>
  </si>
  <si>
    <t xml:space="preserve">Google Cloud </t>
  </si>
  <si>
    <t>Other bets</t>
  </si>
  <si>
    <t>Google Supscritions, devices etc</t>
  </si>
  <si>
    <t>IR</t>
  </si>
  <si>
    <t>Q324</t>
  </si>
  <si>
    <t>Google Search Growth</t>
  </si>
  <si>
    <t>YouTube Ads Growth</t>
  </si>
  <si>
    <t>Google Network Growth</t>
  </si>
  <si>
    <t>Google Subscription Growth</t>
  </si>
  <si>
    <t>Google Cloud Growth</t>
  </si>
  <si>
    <t>Other bets Growth</t>
  </si>
  <si>
    <t>Revenue Growth</t>
  </si>
  <si>
    <t xml:space="preserve">Gross Margin </t>
  </si>
  <si>
    <t xml:space="preserve">Operating Margin </t>
  </si>
  <si>
    <t>Tax Rate</t>
  </si>
  <si>
    <t>Notes</t>
  </si>
  <si>
    <t>18-03-25: Aqcuistion of Wiz for 32 billion USD</t>
  </si>
  <si>
    <t xml:space="preserve">CEO: </t>
  </si>
  <si>
    <t>Founded: 1998 by Larry Page and Sergey Brin</t>
  </si>
  <si>
    <t>Antitrust trial</t>
  </si>
  <si>
    <t>Q125</t>
  </si>
  <si>
    <t>Sundar Pichai (since 2015)</t>
  </si>
  <si>
    <t>Q225</t>
  </si>
  <si>
    <t>Q325</t>
  </si>
  <si>
    <t>Q425</t>
  </si>
  <si>
    <t>CFFO</t>
  </si>
  <si>
    <t>CapEx</t>
  </si>
  <si>
    <t>FY20</t>
  </si>
  <si>
    <t>FY21</t>
  </si>
  <si>
    <t>FY22</t>
  </si>
  <si>
    <t>FY23</t>
  </si>
  <si>
    <t>FY24</t>
  </si>
  <si>
    <t>FY25</t>
  </si>
  <si>
    <t>Cash &amp; Cash Equivalents</t>
  </si>
  <si>
    <t>Marketable securities</t>
  </si>
  <si>
    <t>Accounts Receivables</t>
  </si>
  <si>
    <t xml:space="preserve">Other </t>
  </si>
  <si>
    <t>Current Assets</t>
  </si>
  <si>
    <t>Non-marketable securities</t>
  </si>
  <si>
    <t>Deffered income tax</t>
  </si>
  <si>
    <t>PP&amp;E</t>
  </si>
  <si>
    <t>Leases</t>
  </si>
  <si>
    <t>Goodwill</t>
  </si>
  <si>
    <t>Non-current assets</t>
  </si>
  <si>
    <t>Total Assets</t>
  </si>
  <si>
    <t>Accounts Payables</t>
  </si>
  <si>
    <t>Accrued compensations</t>
  </si>
  <si>
    <t>Accrued expenses</t>
  </si>
  <si>
    <t>Deffered Revenue</t>
  </si>
  <si>
    <t>Current Liabilities</t>
  </si>
  <si>
    <t>Tax Payables</t>
  </si>
  <si>
    <t>Non-current liabilities</t>
  </si>
  <si>
    <t>Equity</t>
  </si>
  <si>
    <t>Total Equity &amp; Liabilities</t>
  </si>
  <si>
    <t>Accried Revenue Share</t>
  </si>
  <si>
    <t>Depreciation</t>
  </si>
  <si>
    <t>SBCs</t>
  </si>
  <si>
    <t>Deferred Income taxes</t>
  </si>
  <si>
    <t>Gain on equity Securities</t>
  </si>
  <si>
    <t>Other</t>
  </si>
  <si>
    <t>Change in AR</t>
  </si>
  <si>
    <t>Change in Income Taxes</t>
  </si>
  <si>
    <t>Change in other</t>
  </si>
  <si>
    <t>Change in AP</t>
  </si>
  <si>
    <t>Change in Accrued Expenses</t>
  </si>
  <si>
    <t>Change in Accrued Revenue</t>
  </si>
  <si>
    <t>Change in Deferred Revenue</t>
  </si>
  <si>
    <t>Change in WC</t>
  </si>
  <si>
    <t>CFFI</t>
  </si>
  <si>
    <t>Purchase of MS</t>
  </si>
  <si>
    <t>Purchase of non-mark. Sec.</t>
  </si>
  <si>
    <t>Sale of MS</t>
  </si>
  <si>
    <t>Sale of non-mark. Sec.</t>
  </si>
  <si>
    <t>Acquisitions</t>
  </si>
  <si>
    <t>CFFF</t>
  </si>
  <si>
    <t>Stock based award activities</t>
  </si>
  <si>
    <t>Repurchase of Stocks</t>
  </si>
  <si>
    <t>Dividend Payments</t>
  </si>
  <si>
    <t>Issuance of Debt</t>
  </si>
  <si>
    <t>Repayment of Debt</t>
  </si>
  <si>
    <t>Sale of interest in entities</t>
  </si>
  <si>
    <t>FX</t>
  </si>
  <si>
    <t xml:space="preserve">Change in Cash </t>
  </si>
  <si>
    <t>Cash BoP</t>
  </si>
  <si>
    <t>Cash EoP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</si>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</sst>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;\(#,##0.0\)"/>
    <numFmt numFmtId="166" formatCode="#,##0.00;\(#,##0.0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9" fillId="0" borderId="0" xfId="1" applyFont="1"/>
    <xf numFmtId="0" fontId="5" fillId="0" borderId="0" xfId="0" applyFont="1"/>
    <xf numFmtId="164" fontId="5" fillId="0" borderId="0" xfId="0" applyNumberFormat="1" applyFont="1"/>
    <xf numFmtId="0" fontId="8" fillId="0" borderId="0" xfId="0" applyFont="1"/>
    <xf numFmtId="164" fontId="8" fillId="0" borderId="0" xfId="0" applyNumberFormat="1" applyFont="1"/>
    <xf numFmtId="166" fontId="5" fillId="0" borderId="0" xfId="0" applyNumberFormat="1" applyFont="1"/>
    <xf numFmtId="9" fontId="5" fillId="0" borderId="0" xfId="2" applyFont="1"/>
    <xf numFmtId="9" fontId="8" fillId="0" borderId="0" xfId="2" applyFont="1"/>
    <xf numFmtId="165" fontId="5" fillId="0" borderId="0" xfId="0" applyNumberFormat="1" applyFont="1"/>
    <xf numFmtId="0" fontId="10" fillId="0" borderId="0" xfId="0" applyFont="1"/>
    <xf numFmtId="164" fontId="4" fillId="0" borderId="0" xfId="0" applyNumberFormat="1" applyFont="1"/>
    <xf numFmtId="0" fontId="3" fillId="0" borderId="0" xfId="0" applyFont="1"/>
    <xf numFmtId="3" fontId="5" fillId="0" borderId="0" xfId="0" applyNumberFormat="1" applyFont="1"/>
    <xf numFmtId="164" fontId="5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bc.xyz/investor/" TargetMode="External"/><Relationship Id="rId1" Type="http://schemas.openxmlformats.org/officeDocument/2006/relationships/hyperlink" Target="https://www.sec.gov/edgar/browse/?CIK=1652044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FA51-5998-459C-9259-D851D24389D5}">
  <dimension ref="A1:J15"/>
  <sheetViews>
    <sheetView tabSelected="1" topLeftCell="B1" zoomScale="200" zoomScaleNormal="200" workbookViewId="0">
      <selection activeCell="I7" sqref="I7"/>
    </sheetView>
  </sheetViews>
  <sheetFormatPr defaultRowHeight="12.75" x14ac:dyDescent="0.2"/>
  <cols>
    <col min="1" max="1" width="4.5703125" style="2" customWidth="1"/>
    <col min="2" max="8" width="9.140625" style="2"/>
    <col min="9" max="9" width="10.140625" style="2" bestFit="1" customWidth="1"/>
    <col min="10" max="16384" width="9.140625" style="2"/>
  </cols>
  <sheetData>
    <row r="1" spans="1:10" x14ac:dyDescent="0.2">
      <c r="A1" s="4" t="s">
        <v>0</v>
      </c>
    </row>
    <row r="2" spans="1:10" x14ac:dyDescent="0.2">
      <c r="A2" s="2" t="s">
        <v>1</v>
      </c>
      <c r="H2" s="2" t="s">
        <v>4</v>
      </c>
      <c r="I2" s="9">
        <v>329.2</v>
      </c>
    </row>
    <row r="3" spans="1:10" x14ac:dyDescent="0.2">
      <c r="H3" s="2" t="s">
        <v>5</v>
      </c>
      <c r="I3" s="3">
        <v>12151</v>
      </c>
      <c r="J3" s="17" t="s">
        <v>119</v>
      </c>
    </row>
    <row r="4" spans="1:10" x14ac:dyDescent="0.2">
      <c r="B4" s="1" t="s">
        <v>2</v>
      </c>
      <c r="H4" s="2" t="s">
        <v>6</v>
      </c>
      <c r="I4" s="3">
        <f>I2*I3</f>
        <v>4000109.1999999997</v>
      </c>
    </row>
    <row r="5" spans="1:10" x14ac:dyDescent="0.2">
      <c r="B5" s="2" t="s">
        <v>3</v>
      </c>
      <c r="H5" s="2" t="s">
        <v>7</v>
      </c>
      <c r="I5" s="3">
        <f>55911+186563</f>
        <v>242474</v>
      </c>
      <c r="J5" s="17" t="s">
        <v>119</v>
      </c>
    </row>
    <row r="6" spans="1:10" x14ac:dyDescent="0.2">
      <c r="B6" s="1" t="s">
        <v>36</v>
      </c>
      <c r="H6" s="2" t="s">
        <v>8</v>
      </c>
      <c r="I6" s="3">
        <v>98165</v>
      </c>
      <c r="J6" s="17" t="s">
        <v>119</v>
      </c>
    </row>
    <row r="7" spans="1:10" x14ac:dyDescent="0.2">
      <c r="H7" s="2" t="s">
        <v>9</v>
      </c>
      <c r="I7" s="3">
        <f>I4-I5+I6</f>
        <v>3855800.1999999997</v>
      </c>
    </row>
    <row r="9" spans="1:10" x14ac:dyDescent="0.2">
      <c r="H9" s="2" t="s">
        <v>50</v>
      </c>
      <c r="I9" s="2" t="s">
        <v>54</v>
      </c>
    </row>
    <row r="10" spans="1:10" x14ac:dyDescent="0.2">
      <c r="H10" s="2" t="s">
        <v>51</v>
      </c>
    </row>
    <row r="13" spans="1:10" x14ac:dyDescent="0.2">
      <c r="B13" s="10" t="s">
        <v>48</v>
      </c>
    </row>
    <row r="14" spans="1:10" x14ac:dyDescent="0.2">
      <c r="B14" s="2" t="s">
        <v>49</v>
      </c>
    </row>
    <row r="15" spans="1:10" x14ac:dyDescent="0.2">
      <c r="B15" s="2" t="s">
        <v>52</v>
      </c>
    </row>
  </sheetData>
  <hyperlinks>
    <hyperlink ref="B4" r:id="rId1" xr:uid="{EBBEEF96-A0F9-41D4-85A5-49237A32F934}"/>
    <hyperlink ref="B6" r:id="rId2" xr:uid="{6C7D90F9-2C8E-4ADD-BA6F-8C1258A46E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9DFC-D321-430C-971E-EAB3ABB980BE}">
  <dimension ref="A1:CY853"/>
  <sheetViews>
    <sheetView zoomScale="200" zoomScaleNormal="20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P22" sqref="P22"/>
    </sheetView>
  </sheetViews>
  <sheetFormatPr defaultRowHeight="12.75" x14ac:dyDescent="0.2"/>
  <cols>
    <col min="1" max="1" width="4.7109375" style="2" bestFit="1" customWidth="1"/>
    <col min="2" max="2" width="29.85546875" style="2" bestFit="1" customWidth="1"/>
    <col min="3" max="16384" width="9.140625" style="2"/>
  </cols>
  <sheetData>
    <row r="1" spans="1:103" x14ac:dyDescent="0.2">
      <c r="A1" s="1" t="s">
        <v>11</v>
      </c>
    </row>
    <row r="2" spans="1:103" x14ac:dyDescent="0.2">
      <c r="C2" s="14" t="s">
        <v>12</v>
      </c>
      <c r="D2" s="14" t="s">
        <v>13</v>
      </c>
      <c r="E2" s="14" t="s">
        <v>14</v>
      </c>
      <c r="F2" s="14" t="s">
        <v>15</v>
      </c>
      <c r="G2" s="14" t="s">
        <v>16</v>
      </c>
      <c r="H2" s="14" t="s">
        <v>10</v>
      </c>
      <c r="I2" s="14" t="s">
        <v>37</v>
      </c>
      <c r="J2" s="14" t="s">
        <v>17</v>
      </c>
      <c r="K2" s="14" t="s">
        <v>53</v>
      </c>
      <c r="L2" s="14" t="s">
        <v>55</v>
      </c>
      <c r="M2" s="14" t="s">
        <v>56</v>
      </c>
      <c r="N2" s="14" t="s">
        <v>57</v>
      </c>
      <c r="O2" s="16" t="s">
        <v>118</v>
      </c>
      <c r="P2" s="16" t="s">
        <v>119</v>
      </c>
      <c r="Q2" s="16" t="s">
        <v>120</v>
      </c>
      <c r="R2" s="16" t="s">
        <v>121</v>
      </c>
      <c r="S2" s="3"/>
      <c r="T2" s="15" t="s">
        <v>60</v>
      </c>
      <c r="U2" s="15" t="s">
        <v>61</v>
      </c>
      <c r="V2" s="15" t="s">
        <v>62</v>
      </c>
      <c r="W2" s="15" t="s">
        <v>63</v>
      </c>
      <c r="X2" s="15" t="s">
        <v>64</v>
      </c>
      <c r="Y2" s="15" t="s">
        <v>65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</row>
    <row r="3" spans="1:103" x14ac:dyDescent="0.2">
      <c r="B3" s="2" t="s">
        <v>30</v>
      </c>
      <c r="C3" s="3">
        <v>40359</v>
      </c>
      <c r="D3" s="3">
        <v>42628</v>
      </c>
      <c r="E3" s="3">
        <v>44026</v>
      </c>
      <c r="F3" s="3">
        <v>48020</v>
      </c>
      <c r="G3" s="3">
        <v>46156</v>
      </c>
      <c r="H3" s="3">
        <v>48509</v>
      </c>
      <c r="I3" s="3">
        <v>49385</v>
      </c>
      <c r="J3" s="3">
        <v>54034</v>
      </c>
      <c r="K3" s="3">
        <v>50702</v>
      </c>
      <c r="L3" s="3">
        <v>54190</v>
      </c>
      <c r="M3" s="3">
        <v>56567</v>
      </c>
      <c r="N3" s="3">
        <f>+Y3-SUM(K3:M3)</f>
        <v>63073</v>
      </c>
      <c r="O3" s="3">
        <v>60399</v>
      </c>
      <c r="P3" s="3">
        <v>63271</v>
      </c>
      <c r="Q3" s="3"/>
      <c r="R3" s="3"/>
      <c r="S3" s="3"/>
      <c r="T3" s="3"/>
      <c r="U3" s="3"/>
      <c r="V3" s="3"/>
      <c r="W3" s="3"/>
      <c r="X3" s="3">
        <v>198084</v>
      </c>
      <c r="Y3" s="3">
        <v>224532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13"/>
      <c r="CS3" s="13"/>
      <c r="CT3" s="13"/>
      <c r="CU3" s="13"/>
      <c r="CV3" s="13"/>
      <c r="CW3" s="13"/>
      <c r="CX3" s="13"/>
      <c r="CY3" s="13"/>
    </row>
    <row r="4" spans="1:103" x14ac:dyDescent="0.2">
      <c r="B4" s="2" t="s">
        <v>31</v>
      </c>
      <c r="C4" s="3">
        <v>6693</v>
      </c>
      <c r="D4" s="3">
        <v>7665</v>
      </c>
      <c r="E4" s="3">
        <v>7952</v>
      </c>
      <c r="F4" s="3">
        <v>9200</v>
      </c>
      <c r="G4" s="3">
        <v>8090</v>
      </c>
      <c r="H4" s="3">
        <v>8663</v>
      </c>
      <c r="I4" s="3">
        <v>8921</v>
      </c>
      <c r="J4" s="3">
        <v>10473</v>
      </c>
      <c r="K4" s="3">
        <v>8927</v>
      </c>
      <c r="L4" s="3">
        <v>9796</v>
      </c>
      <c r="M4" s="11">
        <v>10261</v>
      </c>
      <c r="N4" s="3">
        <f t="shared" ref="N4:N18" si="0">+Y4-SUM(K4:M4)</f>
        <v>11383</v>
      </c>
      <c r="O4" s="3">
        <v>9883</v>
      </c>
      <c r="P4" s="3">
        <v>11055</v>
      </c>
      <c r="Q4" s="3"/>
      <c r="R4" s="3"/>
      <c r="S4" s="3"/>
      <c r="T4" s="3"/>
      <c r="U4" s="3"/>
      <c r="V4" s="3"/>
      <c r="W4" s="3"/>
      <c r="X4" s="3">
        <v>36147</v>
      </c>
      <c r="Y4" s="3">
        <v>40367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13"/>
      <c r="CS4" s="13"/>
      <c r="CT4" s="13"/>
      <c r="CU4" s="13"/>
      <c r="CV4" s="13"/>
      <c r="CW4" s="13"/>
      <c r="CX4" s="13"/>
      <c r="CY4" s="13"/>
    </row>
    <row r="5" spans="1:103" x14ac:dyDescent="0.2">
      <c r="B5" s="2" t="s">
        <v>32</v>
      </c>
      <c r="C5" s="3">
        <v>7496</v>
      </c>
      <c r="D5" s="3">
        <v>7850</v>
      </c>
      <c r="E5" s="3">
        <v>7669</v>
      </c>
      <c r="F5" s="3">
        <v>8297</v>
      </c>
      <c r="G5" s="3">
        <v>7413</v>
      </c>
      <c r="H5" s="3">
        <v>7444</v>
      </c>
      <c r="I5" s="3">
        <v>7548</v>
      </c>
      <c r="J5" s="3">
        <v>7954</v>
      </c>
      <c r="K5" s="3">
        <v>7256</v>
      </c>
      <c r="L5" s="3">
        <v>7354</v>
      </c>
      <c r="M5" s="3">
        <v>7354</v>
      </c>
      <c r="N5" s="3">
        <f t="shared" si="0"/>
        <v>7828</v>
      </c>
      <c r="O5" s="3">
        <v>6971</v>
      </c>
      <c r="P5" s="3">
        <v>7303</v>
      </c>
      <c r="Q5" s="3"/>
      <c r="R5" s="3"/>
      <c r="S5" s="3"/>
      <c r="T5" s="3"/>
      <c r="U5" s="3"/>
      <c r="V5" s="3"/>
      <c r="W5" s="3"/>
      <c r="X5" s="3">
        <v>30359</v>
      </c>
      <c r="Y5" s="3">
        <v>29792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13"/>
      <c r="CS5" s="13"/>
      <c r="CT5" s="13"/>
      <c r="CU5" s="13"/>
      <c r="CV5" s="13"/>
      <c r="CW5" s="13"/>
      <c r="CX5" s="13"/>
      <c r="CY5" s="13"/>
    </row>
    <row r="6" spans="1:103" x14ac:dyDescent="0.2">
      <c r="B6" s="2" t="s">
        <v>35</v>
      </c>
      <c r="C6" s="3">
        <v>7413</v>
      </c>
      <c r="D6" s="3">
        <v>8142</v>
      </c>
      <c r="E6" s="3">
        <v>8339</v>
      </c>
      <c r="F6" s="3">
        <v>10794</v>
      </c>
      <c r="G6" s="3">
        <v>8739</v>
      </c>
      <c r="H6" s="3">
        <v>9312</v>
      </c>
      <c r="I6" s="3">
        <v>10656</v>
      </c>
      <c r="J6" s="3">
        <v>11633</v>
      </c>
      <c r="K6" s="3">
        <v>10379</v>
      </c>
      <c r="L6" s="3">
        <v>11203</v>
      </c>
      <c r="M6" s="3">
        <v>12870</v>
      </c>
      <c r="N6" s="3">
        <f t="shared" si="0"/>
        <v>13578</v>
      </c>
      <c r="O6" s="3">
        <v>12384</v>
      </c>
      <c r="P6" s="3">
        <v>12911</v>
      </c>
      <c r="Q6" s="3"/>
      <c r="R6" s="3"/>
      <c r="S6" s="3"/>
      <c r="T6" s="3"/>
      <c r="U6" s="3"/>
      <c r="V6" s="3"/>
      <c r="W6" s="3"/>
      <c r="X6" s="3">
        <v>40340</v>
      </c>
      <c r="Y6" s="3">
        <v>48030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13"/>
      <c r="CS6" s="13"/>
      <c r="CT6" s="13"/>
      <c r="CU6" s="13"/>
      <c r="CV6" s="13"/>
      <c r="CW6" s="13"/>
      <c r="CX6" s="13"/>
      <c r="CY6" s="13"/>
    </row>
    <row r="7" spans="1:103" x14ac:dyDescent="0.2">
      <c r="B7" s="2" t="s">
        <v>33</v>
      </c>
      <c r="C7" s="3">
        <v>7454</v>
      </c>
      <c r="D7" s="3">
        <v>8031</v>
      </c>
      <c r="E7" s="3">
        <v>8411</v>
      </c>
      <c r="F7" s="3">
        <v>9192</v>
      </c>
      <c r="G7" s="3">
        <v>9574</v>
      </c>
      <c r="H7" s="3">
        <v>10347</v>
      </c>
      <c r="I7" s="3">
        <v>11353</v>
      </c>
      <c r="J7" s="3">
        <v>11955</v>
      </c>
      <c r="K7" s="3">
        <v>12260</v>
      </c>
      <c r="L7" s="3">
        <v>13624</v>
      </c>
      <c r="M7" s="3">
        <v>15157</v>
      </c>
      <c r="N7" s="3">
        <f t="shared" si="0"/>
        <v>17664</v>
      </c>
      <c r="O7" s="3">
        <v>20028</v>
      </c>
      <c r="P7" s="3">
        <v>24768</v>
      </c>
      <c r="Q7" s="3"/>
      <c r="R7" s="3"/>
      <c r="S7" s="3"/>
      <c r="T7" s="3"/>
      <c r="U7" s="3"/>
      <c r="V7" s="3"/>
      <c r="W7" s="3"/>
      <c r="X7" s="3">
        <v>43229</v>
      </c>
      <c r="Y7" s="3">
        <v>58705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13"/>
      <c r="CS7" s="13"/>
      <c r="CT7" s="13"/>
      <c r="CU7" s="13"/>
      <c r="CV7" s="13"/>
      <c r="CW7" s="13"/>
      <c r="CX7" s="13"/>
      <c r="CY7" s="13"/>
    </row>
    <row r="8" spans="1:103" x14ac:dyDescent="0.2">
      <c r="B8" s="2" t="s">
        <v>34</v>
      </c>
      <c r="C8" s="3">
        <f>288+84</f>
        <v>372</v>
      </c>
      <c r="D8" s="3">
        <f>285+3</f>
        <v>288</v>
      </c>
      <c r="E8" s="3">
        <f>297-1</f>
        <v>296</v>
      </c>
      <c r="F8" s="3">
        <f>657+150</f>
        <v>807</v>
      </c>
      <c r="G8" s="3">
        <f>495+72</f>
        <v>567</v>
      </c>
      <c r="H8" s="3">
        <f>365+102</f>
        <v>467</v>
      </c>
      <c r="I8" s="3">
        <f>388+17</f>
        <v>405</v>
      </c>
      <c r="J8" s="3">
        <f>400+20</f>
        <v>420</v>
      </c>
      <c r="K8" s="3">
        <f>450+260</f>
        <v>710</v>
      </c>
      <c r="L8" s="3">
        <f>373-112</f>
        <v>261</v>
      </c>
      <c r="M8" s="3">
        <v>344</v>
      </c>
      <c r="N8" s="3">
        <f t="shared" si="0"/>
        <v>95</v>
      </c>
      <c r="O8" s="3">
        <v>411</v>
      </c>
      <c r="P8" s="3">
        <f>382+106</f>
        <v>488</v>
      </c>
      <c r="Q8" s="3"/>
      <c r="R8" s="3"/>
      <c r="S8" s="3"/>
      <c r="T8" s="3"/>
      <c r="U8" s="3"/>
      <c r="V8" s="3"/>
      <c r="W8" s="3"/>
      <c r="X8" s="3">
        <f>1648+211</f>
        <v>1859</v>
      </c>
      <c r="Y8" s="3">
        <f>1537-127</f>
        <v>1410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13"/>
      <c r="CS8" s="13"/>
      <c r="CT8" s="13"/>
      <c r="CU8" s="13"/>
      <c r="CV8" s="13"/>
      <c r="CW8" s="13"/>
      <c r="CX8" s="13"/>
      <c r="CY8" s="13"/>
    </row>
    <row r="9" spans="1:103" x14ac:dyDescent="0.2">
      <c r="B9" s="4" t="s">
        <v>18</v>
      </c>
      <c r="C9" s="5">
        <v>69787</v>
      </c>
      <c r="D9" s="5">
        <v>74604</v>
      </c>
      <c r="E9" s="5">
        <v>76693</v>
      </c>
      <c r="F9" s="5">
        <v>86310</v>
      </c>
      <c r="G9" s="5">
        <v>80539</v>
      </c>
      <c r="H9" s="5">
        <v>84742</v>
      </c>
      <c r="I9" s="5">
        <v>88268</v>
      </c>
      <c r="J9" s="5">
        <v>96469</v>
      </c>
      <c r="K9" s="5">
        <v>90234</v>
      </c>
      <c r="L9" s="5">
        <v>96428</v>
      </c>
      <c r="M9" s="5">
        <v>102346</v>
      </c>
      <c r="N9" s="5">
        <f>+Y9-SUM(K9:M9)</f>
        <v>113828</v>
      </c>
      <c r="O9" s="5">
        <v>109896</v>
      </c>
      <c r="P9" s="5">
        <v>119796</v>
      </c>
      <c r="Q9" s="3"/>
      <c r="R9" s="3"/>
      <c r="S9" s="3"/>
      <c r="T9" s="3"/>
      <c r="U9" s="3"/>
      <c r="V9" s="3"/>
      <c r="W9" s="5">
        <v>307394</v>
      </c>
      <c r="X9" s="5">
        <v>350018</v>
      </c>
      <c r="Y9" s="5">
        <v>402836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13"/>
      <c r="CS9" s="13"/>
      <c r="CT9" s="13"/>
      <c r="CU9" s="13"/>
      <c r="CV9" s="13"/>
      <c r="CW9" s="13"/>
      <c r="CX9" s="13"/>
      <c r="CY9" s="13"/>
    </row>
    <row r="10" spans="1:103" x14ac:dyDescent="0.2">
      <c r="B10" s="2" t="s">
        <v>19</v>
      </c>
      <c r="C10" s="3">
        <v>30612</v>
      </c>
      <c r="D10" s="3">
        <v>31916</v>
      </c>
      <c r="E10" s="3">
        <v>33229</v>
      </c>
      <c r="F10" s="3">
        <v>37575</v>
      </c>
      <c r="G10" s="3">
        <v>33712</v>
      </c>
      <c r="H10" s="3">
        <v>35507</v>
      </c>
      <c r="I10" s="3">
        <v>36474</v>
      </c>
      <c r="J10" s="3">
        <v>40613</v>
      </c>
      <c r="K10" s="3">
        <v>36361</v>
      </c>
      <c r="L10" s="3">
        <v>39039</v>
      </c>
      <c r="M10" s="3">
        <v>41369</v>
      </c>
      <c r="N10" s="3">
        <f t="shared" si="0"/>
        <v>45766</v>
      </c>
      <c r="O10" s="3">
        <v>41271</v>
      </c>
      <c r="P10" s="3">
        <v>45943</v>
      </c>
      <c r="Q10" s="3"/>
      <c r="R10" s="3"/>
      <c r="S10" s="3"/>
      <c r="T10" s="3"/>
      <c r="U10" s="3"/>
      <c r="V10" s="3"/>
      <c r="W10" s="3">
        <v>133332</v>
      </c>
      <c r="X10" s="3">
        <v>146306</v>
      </c>
      <c r="Y10" s="3">
        <v>162535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13"/>
      <c r="CS10" s="13"/>
      <c r="CT10" s="13"/>
      <c r="CU10" s="13"/>
      <c r="CV10" s="13"/>
      <c r="CW10" s="13"/>
      <c r="CX10" s="13"/>
      <c r="CY10" s="13"/>
    </row>
    <row r="11" spans="1:103" x14ac:dyDescent="0.2">
      <c r="B11" s="2" t="s">
        <v>20</v>
      </c>
      <c r="C11" s="3">
        <f>C9-C10</f>
        <v>39175</v>
      </c>
      <c r="D11" s="3">
        <f t="shared" ref="D11:J11" si="1">D9-D10</f>
        <v>42688</v>
      </c>
      <c r="E11" s="3">
        <f t="shared" si="1"/>
        <v>43464</v>
      </c>
      <c r="F11" s="3">
        <f t="shared" si="1"/>
        <v>48735</v>
      </c>
      <c r="G11" s="3">
        <f t="shared" si="1"/>
        <v>46827</v>
      </c>
      <c r="H11" s="3">
        <f t="shared" si="1"/>
        <v>49235</v>
      </c>
      <c r="I11" s="3">
        <f t="shared" si="1"/>
        <v>51794</v>
      </c>
      <c r="J11" s="3">
        <f t="shared" si="1"/>
        <v>55856</v>
      </c>
      <c r="K11" s="3">
        <f>K9-K10</f>
        <v>53873</v>
      </c>
      <c r="L11" s="3">
        <f>L9-L10</f>
        <v>57389</v>
      </c>
      <c r="M11" s="3">
        <f>M9-M10</f>
        <v>60977</v>
      </c>
      <c r="N11" s="3">
        <f>N9-N10</f>
        <v>68062</v>
      </c>
      <c r="O11" s="3">
        <f>O9-O10</f>
        <v>68625</v>
      </c>
      <c r="P11" s="3">
        <f>P9-P10</f>
        <v>73853</v>
      </c>
      <c r="Q11" s="3"/>
      <c r="R11" s="3"/>
      <c r="S11" s="3"/>
      <c r="T11" s="3">
        <f t="shared" ref="T11:Y11" si="2">T9-T10</f>
        <v>0</v>
      </c>
      <c r="U11" s="3">
        <f t="shared" si="2"/>
        <v>0</v>
      </c>
      <c r="V11" s="3">
        <f t="shared" si="2"/>
        <v>0</v>
      </c>
      <c r="W11" s="3">
        <f t="shared" si="2"/>
        <v>174062</v>
      </c>
      <c r="X11" s="3">
        <f t="shared" si="2"/>
        <v>203712</v>
      </c>
      <c r="Y11" s="3">
        <f t="shared" si="2"/>
        <v>240301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13"/>
      <c r="CS11" s="13"/>
      <c r="CT11" s="13"/>
      <c r="CU11" s="13"/>
      <c r="CV11" s="13"/>
      <c r="CW11" s="13"/>
      <c r="CX11" s="13"/>
      <c r="CY11" s="13"/>
    </row>
    <row r="12" spans="1:103" x14ac:dyDescent="0.2">
      <c r="B12" s="2" t="s">
        <v>21</v>
      </c>
      <c r="C12" s="3">
        <v>11468</v>
      </c>
      <c r="D12" s="3">
        <v>10588</v>
      </c>
      <c r="E12" s="3">
        <v>11258</v>
      </c>
      <c r="F12" s="3">
        <v>12113</v>
      </c>
      <c r="G12" s="3">
        <v>11903</v>
      </c>
      <c r="H12" s="3">
        <v>11860</v>
      </c>
      <c r="I12" s="3">
        <v>12447</v>
      </c>
      <c r="J12" s="3">
        <v>13116</v>
      </c>
      <c r="K12" s="3">
        <v>13556</v>
      </c>
      <c r="L12" s="3">
        <v>13808</v>
      </c>
      <c r="M12" s="3">
        <v>15151</v>
      </c>
      <c r="N12" s="3">
        <f t="shared" si="0"/>
        <v>18572</v>
      </c>
      <c r="O12" s="3">
        <v>17032</v>
      </c>
      <c r="P12" s="3">
        <v>18219</v>
      </c>
      <c r="Q12" s="3"/>
      <c r="R12" s="3"/>
      <c r="S12" s="3"/>
      <c r="T12" s="3"/>
      <c r="U12" s="3"/>
      <c r="V12" s="3"/>
      <c r="W12" s="3">
        <v>45427</v>
      </c>
      <c r="X12" s="3">
        <v>49326</v>
      </c>
      <c r="Y12" s="3">
        <v>61087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13"/>
      <c r="CS12" s="13"/>
      <c r="CT12" s="13"/>
      <c r="CU12" s="13"/>
      <c r="CV12" s="13"/>
      <c r="CW12" s="13"/>
      <c r="CX12" s="13"/>
      <c r="CY12" s="13"/>
    </row>
    <row r="13" spans="1:103" x14ac:dyDescent="0.2">
      <c r="B13" s="2" t="s">
        <v>22</v>
      </c>
      <c r="C13" s="3">
        <v>6533</v>
      </c>
      <c r="D13" s="3">
        <v>6781</v>
      </c>
      <c r="E13" s="3">
        <v>6884</v>
      </c>
      <c r="F13" s="3">
        <v>7719</v>
      </c>
      <c r="G13" s="3">
        <v>6426</v>
      </c>
      <c r="H13" s="3">
        <v>6792</v>
      </c>
      <c r="I13" s="3">
        <v>7227</v>
      </c>
      <c r="J13" s="3">
        <v>7363</v>
      </c>
      <c r="K13" s="3">
        <v>6172</v>
      </c>
      <c r="L13" s="3">
        <v>7101</v>
      </c>
      <c r="M13" s="3">
        <v>7205</v>
      </c>
      <c r="N13" s="3">
        <f t="shared" si="0"/>
        <v>8215</v>
      </c>
      <c r="O13" s="3">
        <v>7606</v>
      </c>
      <c r="P13" s="3">
        <v>8403</v>
      </c>
      <c r="Q13" s="3"/>
      <c r="R13" s="3"/>
      <c r="S13" s="3"/>
      <c r="T13" s="3"/>
      <c r="U13" s="3"/>
      <c r="V13" s="3"/>
      <c r="W13" s="3">
        <v>27917</v>
      </c>
      <c r="X13" s="3">
        <v>27808</v>
      </c>
      <c r="Y13" s="3">
        <v>28693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13"/>
      <c r="CS13" s="13"/>
      <c r="CT13" s="13"/>
      <c r="CU13" s="13"/>
      <c r="CV13" s="13"/>
      <c r="CW13" s="13"/>
      <c r="CX13" s="13"/>
      <c r="CY13" s="13"/>
    </row>
    <row r="14" spans="1:103" x14ac:dyDescent="0.2">
      <c r="B14" s="2" t="s">
        <v>23</v>
      </c>
      <c r="C14" s="3">
        <v>3759</v>
      </c>
      <c r="D14" s="3">
        <v>3481</v>
      </c>
      <c r="E14" s="3">
        <v>3979</v>
      </c>
      <c r="F14" s="3">
        <v>5206</v>
      </c>
      <c r="G14" s="3">
        <v>3026</v>
      </c>
      <c r="H14" s="3">
        <v>3158</v>
      </c>
      <c r="I14" s="3">
        <v>3599</v>
      </c>
      <c r="J14" s="3">
        <v>4405</v>
      </c>
      <c r="K14" s="3">
        <v>3539</v>
      </c>
      <c r="L14" s="3">
        <v>5209</v>
      </c>
      <c r="M14" s="3">
        <v>7393</v>
      </c>
      <c r="N14" s="3">
        <f t="shared" si="0"/>
        <v>5341</v>
      </c>
      <c r="O14" s="3">
        <v>4291</v>
      </c>
      <c r="P14" s="3">
        <v>6461</v>
      </c>
      <c r="Q14" s="3"/>
      <c r="R14" s="3"/>
      <c r="S14" s="3"/>
      <c r="T14" s="3"/>
      <c r="U14" s="3"/>
      <c r="V14" s="3"/>
      <c r="W14" s="3">
        <v>16425</v>
      </c>
      <c r="X14" s="3">
        <v>14188</v>
      </c>
      <c r="Y14" s="3">
        <v>21482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13"/>
      <c r="CS14" s="13"/>
      <c r="CT14" s="13"/>
      <c r="CU14" s="13"/>
      <c r="CV14" s="13"/>
      <c r="CW14" s="13"/>
      <c r="CX14" s="13"/>
      <c r="CY14" s="13"/>
    </row>
    <row r="15" spans="1:103" x14ac:dyDescent="0.2">
      <c r="B15" s="2" t="s">
        <v>24</v>
      </c>
      <c r="C15" s="3">
        <f t="shared" ref="C15" si="3">C11-SUM(C12:C14)</f>
        <v>17415</v>
      </c>
      <c r="D15" s="3">
        <f t="shared" ref="D15:P15" si="4">D11-SUM(D12:D14)</f>
        <v>21838</v>
      </c>
      <c r="E15" s="3">
        <f t="shared" si="4"/>
        <v>21343</v>
      </c>
      <c r="F15" s="3">
        <f t="shared" si="4"/>
        <v>23697</v>
      </c>
      <c r="G15" s="3">
        <f t="shared" si="4"/>
        <v>25472</v>
      </c>
      <c r="H15" s="3">
        <f t="shared" si="4"/>
        <v>27425</v>
      </c>
      <c r="I15" s="3">
        <f t="shared" si="4"/>
        <v>28521</v>
      </c>
      <c r="J15" s="3">
        <f t="shared" si="4"/>
        <v>30972</v>
      </c>
      <c r="K15" s="3">
        <f t="shared" si="4"/>
        <v>30606</v>
      </c>
      <c r="L15" s="3">
        <f t="shared" si="4"/>
        <v>31271</v>
      </c>
      <c r="M15" s="3">
        <f t="shared" si="4"/>
        <v>31228</v>
      </c>
      <c r="N15" s="3">
        <f t="shared" si="4"/>
        <v>35934</v>
      </c>
      <c r="O15" s="3">
        <f t="shared" si="4"/>
        <v>39696</v>
      </c>
      <c r="P15" s="3">
        <f t="shared" si="4"/>
        <v>40770</v>
      </c>
      <c r="Q15" s="3"/>
      <c r="R15" s="3"/>
      <c r="S15" s="3"/>
      <c r="T15" s="3">
        <f t="shared" ref="T15:Y15" si="5">T11-SUM(T12:T14)</f>
        <v>0</v>
      </c>
      <c r="U15" s="3">
        <f t="shared" si="5"/>
        <v>0</v>
      </c>
      <c r="V15" s="3">
        <f t="shared" si="5"/>
        <v>0</v>
      </c>
      <c r="W15" s="3">
        <f t="shared" si="5"/>
        <v>84293</v>
      </c>
      <c r="X15" s="3">
        <f t="shared" si="5"/>
        <v>112390</v>
      </c>
      <c r="Y15" s="3">
        <f t="shared" si="5"/>
        <v>129039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13"/>
      <c r="CS15" s="13"/>
      <c r="CT15" s="13"/>
      <c r="CU15" s="13"/>
      <c r="CV15" s="13"/>
      <c r="CW15" s="13"/>
      <c r="CX15" s="13"/>
      <c r="CY15" s="13"/>
    </row>
    <row r="16" spans="1:103" x14ac:dyDescent="0.2">
      <c r="B16" s="2" t="s">
        <v>25</v>
      </c>
      <c r="C16" s="3">
        <v>790</v>
      </c>
      <c r="D16" s="3">
        <v>63</v>
      </c>
      <c r="E16" s="3">
        <v>-146</v>
      </c>
      <c r="F16" s="3">
        <v>715</v>
      </c>
      <c r="G16" s="3">
        <v>2843</v>
      </c>
      <c r="H16" s="3">
        <v>126</v>
      </c>
      <c r="I16" s="3">
        <v>3185</v>
      </c>
      <c r="J16" s="3">
        <v>1271</v>
      </c>
      <c r="K16" s="3">
        <v>11183</v>
      </c>
      <c r="L16" s="3">
        <v>2662</v>
      </c>
      <c r="M16" s="3">
        <v>12759</v>
      </c>
      <c r="N16" s="3">
        <f t="shared" si="0"/>
        <v>3183</v>
      </c>
      <c r="O16" s="3">
        <v>37716</v>
      </c>
      <c r="P16" s="3">
        <v>97983</v>
      </c>
      <c r="Q16" s="3"/>
      <c r="R16" s="3"/>
      <c r="S16" s="3"/>
      <c r="T16" s="3"/>
      <c r="U16" s="3"/>
      <c r="V16" s="3"/>
      <c r="W16" s="3">
        <v>1424</v>
      </c>
      <c r="X16" s="3">
        <v>7425</v>
      </c>
      <c r="Y16" s="3">
        <v>29787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13"/>
      <c r="CS16" s="13"/>
      <c r="CT16" s="13"/>
      <c r="CU16" s="13"/>
      <c r="CV16" s="13"/>
      <c r="CW16" s="13"/>
      <c r="CX16" s="13"/>
      <c r="CY16" s="13"/>
    </row>
    <row r="17" spans="1:103" x14ac:dyDescent="0.2">
      <c r="B17" s="2" t="s">
        <v>26</v>
      </c>
      <c r="C17" s="3">
        <f t="shared" ref="C17" si="6">C15+C16</f>
        <v>18205</v>
      </c>
      <c r="D17" s="3">
        <f t="shared" ref="D17:P17" si="7">D15+D16</f>
        <v>21901</v>
      </c>
      <c r="E17" s="3">
        <f t="shared" si="7"/>
        <v>21197</v>
      </c>
      <c r="F17" s="3">
        <f t="shared" si="7"/>
        <v>24412</v>
      </c>
      <c r="G17" s="3">
        <f t="shared" si="7"/>
        <v>28315</v>
      </c>
      <c r="H17" s="3">
        <f t="shared" si="7"/>
        <v>27551</v>
      </c>
      <c r="I17" s="3">
        <f t="shared" si="7"/>
        <v>31706</v>
      </c>
      <c r="J17" s="3">
        <f t="shared" si="7"/>
        <v>32243</v>
      </c>
      <c r="K17" s="3">
        <f t="shared" si="7"/>
        <v>41789</v>
      </c>
      <c r="L17" s="3">
        <f t="shared" si="7"/>
        <v>33933</v>
      </c>
      <c r="M17" s="3">
        <f t="shared" si="7"/>
        <v>43987</v>
      </c>
      <c r="N17" s="3">
        <f t="shared" si="7"/>
        <v>39117</v>
      </c>
      <c r="O17" s="3">
        <f t="shared" si="7"/>
        <v>77412</v>
      </c>
      <c r="P17" s="3">
        <f t="shared" si="7"/>
        <v>138753</v>
      </c>
      <c r="Q17" s="3"/>
      <c r="R17" s="3"/>
      <c r="S17" s="3"/>
      <c r="T17" s="3">
        <f t="shared" ref="T17:Y17" si="8">T15+T16</f>
        <v>0</v>
      </c>
      <c r="U17" s="3">
        <f t="shared" si="8"/>
        <v>0</v>
      </c>
      <c r="V17" s="3">
        <f t="shared" si="8"/>
        <v>0</v>
      </c>
      <c r="W17" s="3">
        <f t="shared" si="8"/>
        <v>85717</v>
      </c>
      <c r="X17" s="3">
        <f t="shared" si="8"/>
        <v>119815</v>
      </c>
      <c r="Y17" s="3">
        <f t="shared" si="8"/>
        <v>158826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13"/>
      <c r="CS17" s="13"/>
      <c r="CT17" s="13"/>
      <c r="CU17" s="13"/>
      <c r="CV17" s="13"/>
      <c r="CW17" s="13"/>
      <c r="CX17" s="13"/>
      <c r="CY17" s="13"/>
    </row>
    <row r="18" spans="1:103" x14ac:dyDescent="0.2">
      <c r="B18" s="2" t="s">
        <v>27</v>
      </c>
      <c r="C18" s="3">
        <v>3154</v>
      </c>
      <c r="D18" s="3">
        <v>3535</v>
      </c>
      <c r="E18" s="3">
        <v>1508</v>
      </c>
      <c r="F18" s="3">
        <v>3725</v>
      </c>
      <c r="G18" s="3">
        <v>4653</v>
      </c>
      <c r="H18" s="3">
        <v>3932</v>
      </c>
      <c r="I18" s="3">
        <v>5405</v>
      </c>
      <c r="J18" s="3">
        <v>5707</v>
      </c>
      <c r="K18" s="3">
        <v>7249</v>
      </c>
      <c r="L18" s="3">
        <v>5737</v>
      </c>
      <c r="M18" s="3">
        <v>9008</v>
      </c>
      <c r="N18" s="3">
        <f t="shared" si="0"/>
        <v>4662</v>
      </c>
      <c r="O18" s="3">
        <v>14834</v>
      </c>
      <c r="P18" s="3">
        <f>26560+86</f>
        <v>26646</v>
      </c>
      <c r="Q18" s="3"/>
      <c r="R18" s="3"/>
      <c r="S18" s="3"/>
      <c r="T18" s="3"/>
      <c r="U18" s="3"/>
      <c r="V18" s="3"/>
      <c r="W18" s="3">
        <v>11922</v>
      </c>
      <c r="X18" s="3">
        <v>19697</v>
      </c>
      <c r="Y18" s="3">
        <v>26656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13"/>
      <c r="CS18" s="13"/>
      <c r="CT18" s="13"/>
      <c r="CU18" s="13"/>
      <c r="CV18" s="13"/>
      <c r="CW18" s="13"/>
      <c r="CX18" s="13"/>
      <c r="CY18" s="13"/>
    </row>
    <row r="19" spans="1:103" x14ac:dyDescent="0.2">
      <c r="B19" s="2" t="s">
        <v>28</v>
      </c>
      <c r="C19" s="3">
        <f t="shared" ref="C19" si="9">C17-C18</f>
        <v>15051</v>
      </c>
      <c r="D19" s="3">
        <f t="shared" ref="D19:P19" si="10">D17-D18</f>
        <v>18366</v>
      </c>
      <c r="E19" s="3">
        <f t="shared" si="10"/>
        <v>19689</v>
      </c>
      <c r="F19" s="3">
        <f t="shared" si="10"/>
        <v>20687</v>
      </c>
      <c r="G19" s="3">
        <f t="shared" si="10"/>
        <v>23662</v>
      </c>
      <c r="H19" s="3">
        <f t="shared" si="10"/>
        <v>23619</v>
      </c>
      <c r="I19" s="3">
        <f t="shared" si="10"/>
        <v>26301</v>
      </c>
      <c r="J19" s="3">
        <f t="shared" si="10"/>
        <v>26536</v>
      </c>
      <c r="K19" s="3">
        <f t="shared" si="10"/>
        <v>34540</v>
      </c>
      <c r="L19" s="3">
        <f t="shared" si="10"/>
        <v>28196</v>
      </c>
      <c r="M19" s="3">
        <f t="shared" si="10"/>
        <v>34979</v>
      </c>
      <c r="N19" s="3">
        <f t="shared" si="10"/>
        <v>34455</v>
      </c>
      <c r="O19" s="3">
        <f t="shared" si="10"/>
        <v>62578</v>
      </c>
      <c r="P19" s="3">
        <f t="shared" si="10"/>
        <v>112107</v>
      </c>
      <c r="Q19" s="3"/>
      <c r="R19" s="3"/>
      <c r="S19" s="3"/>
      <c r="T19" s="3">
        <f t="shared" ref="T19:Y19" si="11">T17-T18</f>
        <v>0</v>
      </c>
      <c r="U19" s="3">
        <f t="shared" si="11"/>
        <v>0</v>
      </c>
      <c r="V19" s="3">
        <f t="shared" si="11"/>
        <v>0</v>
      </c>
      <c r="W19" s="3">
        <f t="shared" si="11"/>
        <v>73795</v>
      </c>
      <c r="X19" s="3">
        <f t="shared" si="11"/>
        <v>100118</v>
      </c>
      <c r="Y19" s="3">
        <f t="shared" si="11"/>
        <v>132170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13"/>
      <c r="CS19" s="13"/>
      <c r="CT19" s="13"/>
      <c r="CU19" s="13"/>
      <c r="CV19" s="13"/>
      <c r="CW19" s="13"/>
      <c r="CX19" s="13"/>
      <c r="CY19" s="13"/>
    </row>
    <row r="20" spans="1:103" x14ac:dyDescent="0.2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13"/>
      <c r="CS20" s="13"/>
      <c r="CT20" s="13"/>
      <c r="CU20" s="13"/>
      <c r="CV20" s="13"/>
      <c r="CW20" s="13"/>
      <c r="CX20" s="13"/>
      <c r="CY20" s="13"/>
    </row>
    <row r="21" spans="1:103" s="9" customFormat="1" x14ac:dyDescent="0.2">
      <c r="A21" s="2"/>
      <c r="B21" s="2" t="s">
        <v>29</v>
      </c>
      <c r="C21" s="6">
        <f t="shared" ref="C21:H21" si="12">+C19/C22</f>
        <v>1.1776073859635396</v>
      </c>
      <c r="D21" s="6">
        <f t="shared" si="12"/>
        <v>1.4497947584464794</v>
      </c>
      <c r="E21" s="6">
        <f t="shared" si="12"/>
        <v>1.5649789364915347</v>
      </c>
      <c r="F21" s="6">
        <f t="shared" si="12"/>
        <v>1.6565502882767458</v>
      </c>
      <c r="G21" s="6">
        <f t="shared" si="12"/>
        <v>1.9059202577527186</v>
      </c>
      <c r="H21" s="6">
        <f t="shared" si="12"/>
        <v>1.9135542412703557</v>
      </c>
      <c r="I21" s="6">
        <f t="shared" ref="I21:P21" si="13">+I19/I22</f>
        <v>2.1400325467860051</v>
      </c>
      <c r="J21" s="6">
        <f t="shared" si="13"/>
        <v>2.1701014066077855</v>
      </c>
      <c r="K21" s="6">
        <f t="shared" si="13"/>
        <v>2.8416289592760182</v>
      </c>
      <c r="L21" s="6">
        <f t="shared" si="13"/>
        <v>2.3260188087774294</v>
      </c>
      <c r="M21" s="6">
        <f t="shared" si="13"/>
        <v>2.8941750786033427</v>
      </c>
      <c r="N21" s="6">
        <f t="shared" si="13"/>
        <v>2.8437603169362826</v>
      </c>
      <c r="O21" s="6">
        <f t="shared" si="13"/>
        <v>5.164905909541103</v>
      </c>
      <c r="P21" s="6">
        <f t="shared" si="13"/>
        <v>9.2261542259896299</v>
      </c>
      <c r="Q21" s="6"/>
      <c r="R21" s="6"/>
      <c r="S21" s="6"/>
      <c r="T21" s="6"/>
      <c r="U21" s="6"/>
      <c r="V21" s="6"/>
      <c r="W21" s="6">
        <f t="shared" ref="W21:X21" si="14">+W19/W22</f>
        <v>5.8428345209817891</v>
      </c>
      <c r="X21" s="6">
        <f t="shared" si="14"/>
        <v>8.127120707849663</v>
      </c>
      <c r="Y21" s="6">
        <f>+Y19/Y22</f>
        <v>10.908715747771542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103" x14ac:dyDescent="0.2">
      <c r="B22" s="2" t="s">
        <v>5</v>
      </c>
      <c r="C22" s="3">
        <v>12781</v>
      </c>
      <c r="D22" s="3">
        <v>12668</v>
      </c>
      <c r="E22" s="3">
        <v>12581</v>
      </c>
      <c r="F22" s="3">
        <v>12488</v>
      </c>
      <c r="G22" s="3">
        <v>12415</v>
      </c>
      <c r="H22" s="3">
        <v>12343</v>
      </c>
      <c r="I22" s="3">
        <v>12290</v>
      </c>
      <c r="J22" s="3">
        <v>12228</v>
      </c>
      <c r="K22" s="3">
        <v>12155</v>
      </c>
      <c r="L22" s="3">
        <v>12122</v>
      </c>
      <c r="M22" s="3">
        <v>12086</v>
      </c>
      <c r="N22" s="3">
        <v>12116</v>
      </c>
      <c r="O22" s="3">
        <v>12116</v>
      </c>
      <c r="P22" s="3">
        <v>12151</v>
      </c>
      <c r="Q22" s="3"/>
      <c r="R22" s="3"/>
      <c r="T22" s="3"/>
      <c r="U22" s="3"/>
      <c r="V22" s="3"/>
      <c r="W22" s="3">
        <v>12630</v>
      </c>
      <c r="X22" s="3">
        <v>12319</v>
      </c>
      <c r="Y22" s="3">
        <v>12116</v>
      </c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</row>
    <row r="23" spans="1:103" x14ac:dyDescent="0.2">
      <c r="C23" s="3"/>
      <c r="D23" s="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</row>
    <row r="24" spans="1:103" x14ac:dyDescent="0.2">
      <c r="B24" s="2" t="s">
        <v>38</v>
      </c>
      <c r="C24" s="3"/>
      <c r="D24" s="3"/>
      <c r="G24" s="7">
        <f t="shared" ref="G24:I30" si="15">+G3/C3-1</f>
        <v>0.14363586808394668</v>
      </c>
      <c r="H24" s="7">
        <f t="shared" si="15"/>
        <v>0.13796096462419061</v>
      </c>
      <c r="I24" s="7">
        <f t="shared" si="15"/>
        <v>0.12172352700676869</v>
      </c>
      <c r="J24" s="7">
        <f>+J3/F3-1</f>
        <v>0.12523948354852155</v>
      </c>
      <c r="K24" s="7">
        <f>+K3/G3-1</f>
        <v>9.8492070370049367E-2</v>
      </c>
      <c r="L24" s="7">
        <f>+L3/H3-1</f>
        <v>0.11711228844132027</v>
      </c>
      <c r="M24" s="7">
        <f>+M3/I3-1</f>
        <v>0.14542877391920617</v>
      </c>
      <c r="N24" s="7">
        <f t="shared" ref="N24:P30" si="16">+N3/J3-1</f>
        <v>0.1672835622015767</v>
      </c>
      <c r="O24" s="7">
        <f t="shared" si="16"/>
        <v>0.19125478284880271</v>
      </c>
      <c r="P24" s="7">
        <f t="shared" si="16"/>
        <v>0.16757704373500637</v>
      </c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</row>
    <row r="25" spans="1:103" x14ac:dyDescent="0.2">
      <c r="B25" s="2" t="s">
        <v>39</v>
      </c>
      <c r="C25" s="3"/>
      <c r="D25" s="3"/>
      <c r="G25" s="7">
        <f t="shared" si="15"/>
        <v>0.20872553414014638</v>
      </c>
      <c r="H25" s="7">
        <f t="shared" si="15"/>
        <v>0.13020221787345077</v>
      </c>
      <c r="I25" s="7">
        <f t="shared" si="15"/>
        <v>0.12185613682092544</v>
      </c>
      <c r="J25" s="7">
        <f t="shared" ref="J25:M30" si="17">+J4/F4-1</f>
        <v>0.1383695652173913</v>
      </c>
      <c r="K25" s="7">
        <f t="shared" si="17"/>
        <v>0.10346106304079106</v>
      </c>
      <c r="L25" s="7">
        <f t="shared" si="17"/>
        <v>0.1307861018123051</v>
      </c>
      <c r="M25" s="7">
        <f t="shared" si="17"/>
        <v>0.15020737585472488</v>
      </c>
      <c r="N25" s="7">
        <f t="shared" si="16"/>
        <v>8.6890098348133327E-2</v>
      </c>
      <c r="O25" s="7">
        <f t="shared" si="16"/>
        <v>0.10709084798924606</v>
      </c>
      <c r="P25" s="7">
        <f t="shared" si="16"/>
        <v>0.12852184565128622</v>
      </c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</row>
    <row r="26" spans="1:103" x14ac:dyDescent="0.2">
      <c r="B26" s="2" t="s">
        <v>40</v>
      </c>
      <c r="C26" s="3"/>
      <c r="D26" s="3"/>
      <c r="G26" s="7">
        <f t="shared" si="15"/>
        <v>-1.1072572038420492E-2</v>
      </c>
      <c r="H26" s="7">
        <f t="shared" si="15"/>
        <v>-5.1719745222929991E-2</v>
      </c>
      <c r="I26" s="7">
        <f t="shared" si="15"/>
        <v>-1.5777806754466051E-2</v>
      </c>
      <c r="J26" s="7">
        <f t="shared" si="17"/>
        <v>-4.1340243461492121E-2</v>
      </c>
      <c r="K26" s="7">
        <f t="shared" si="17"/>
        <v>-2.1179009847565045E-2</v>
      </c>
      <c r="L26" s="7">
        <f t="shared" si="17"/>
        <v>-1.2090274046211769E-2</v>
      </c>
      <c r="M26" s="7">
        <f t="shared" si="17"/>
        <v>-2.5702172760996289E-2</v>
      </c>
      <c r="N26" s="7">
        <f t="shared" si="16"/>
        <v>-1.584108624591396E-2</v>
      </c>
      <c r="O26" s="7">
        <f t="shared" si="16"/>
        <v>-3.9277839029768447E-2</v>
      </c>
      <c r="P26" s="7">
        <f t="shared" si="16"/>
        <v>-6.9350013598041826E-3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</row>
    <row r="27" spans="1:103" x14ac:dyDescent="0.2">
      <c r="B27" s="2" t="s">
        <v>41</v>
      </c>
      <c r="C27" s="3"/>
      <c r="D27" s="3"/>
      <c r="G27" s="7">
        <f t="shared" si="15"/>
        <v>0.17887494941319293</v>
      </c>
      <c r="H27" s="7">
        <f t="shared" si="15"/>
        <v>0.14369933677229185</v>
      </c>
      <c r="I27" s="7">
        <f t="shared" si="15"/>
        <v>0.2778510612783307</v>
      </c>
      <c r="J27" s="7">
        <f t="shared" si="17"/>
        <v>7.772836761163604E-2</v>
      </c>
      <c r="K27" s="7">
        <f t="shared" si="17"/>
        <v>0.18766449250486317</v>
      </c>
      <c r="L27" s="7">
        <f t="shared" si="17"/>
        <v>0.20307130584192445</v>
      </c>
      <c r="M27" s="7">
        <f t="shared" si="17"/>
        <v>0.20777027027027017</v>
      </c>
      <c r="N27" s="7">
        <f t="shared" si="16"/>
        <v>0.1671967678156967</v>
      </c>
      <c r="O27" s="7">
        <f t="shared" si="16"/>
        <v>0.19317853357741588</v>
      </c>
      <c r="P27" s="7">
        <f t="shared" si="16"/>
        <v>0.15245916272427018</v>
      </c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</row>
    <row r="28" spans="1:103" x14ac:dyDescent="0.2">
      <c r="B28" s="2" t="s">
        <v>42</v>
      </c>
      <c r="C28" s="3"/>
      <c r="D28" s="3"/>
      <c r="G28" s="7">
        <f t="shared" si="15"/>
        <v>0.28441105446740012</v>
      </c>
      <c r="H28" s="7">
        <f t="shared" si="15"/>
        <v>0.28838251774374291</v>
      </c>
      <c r="I28" s="7">
        <f t="shared" si="15"/>
        <v>0.34978004993460954</v>
      </c>
      <c r="J28" s="7">
        <f t="shared" si="17"/>
        <v>0.3005874673629243</v>
      </c>
      <c r="K28" s="7">
        <f t="shared" si="17"/>
        <v>0.28055149362857734</v>
      </c>
      <c r="L28" s="7">
        <f t="shared" si="17"/>
        <v>0.31671015753358467</v>
      </c>
      <c r="M28" s="7">
        <f t="shared" si="17"/>
        <v>0.33506562142165075</v>
      </c>
      <c r="N28" s="7">
        <f t="shared" si="16"/>
        <v>0.47754077791718941</v>
      </c>
      <c r="O28" s="7">
        <f t="shared" si="16"/>
        <v>0.63360522022838506</v>
      </c>
      <c r="P28" s="7">
        <f t="shared" si="16"/>
        <v>0.817968291250734</v>
      </c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</row>
    <row r="29" spans="1:103" x14ac:dyDescent="0.2">
      <c r="B29" s="2" t="s">
        <v>43</v>
      </c>
      <c r="C29" s="3"/>
      <c r="D29" s="3"/>
      <c r="G29" s="7">
        <f t="shared" si="15"/>
        <v>0.52419354838709675</v>
      </c>
      <c r="H29" s="7">
        <f t="shared" si="15"/>
        <v>0.62152777777777768</v>
      </c>
      <c r="I29" s="7">
        <f t="shared" si="15"/>
        <v>0.3682432432432432</v>
      </c>
      <c r="J29" s="7">
        <f t="shared" si="17"/>
        <v>-0.4795539033457249</v>
      </c>
      <c r="K29" s="7">
        <f t="shared" si="17"/>
        <v>0.25220458553791891</v>
      </c>
      <c r="L29" s="7">
        <f t="shared" si="17"/>
        <v>-0.4411134903640257</v>
      </c>
      <c r="M29" s="7">
        <f t="shared" si="17"/>
        <v>-0.15061728395061724</v>
      </c>
      <c r="N29" s="7">
        <f t="shared" si="16"/>
        <v>-0.77380952380952384</v>
      </c>
      <c r="O29" s="7">
        <f t="shared" si="16"/>
        <v>-0.42112676056338028</v>
      </c>
      <c r="P29" s="7">
        <f t="shared" si="16"/>
        <v>0.86973180076628354</v>
      </c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</row>
    <row r="30" spans="1:103" x14ac:dyDescent="0.2">
      <c r="B30" s="4" t="s">
        <v>44</v>
      </c>
      <c r="C30" s="5"/>
      <c r="D30" s="5"/>
      <c r="G30" s="8">
        <f t="shared" si="15"/>
        <v>0.15406880937710454</v>
      </c>
      <c r="H30" s="8">
        <f t="shared" si="15"/>
        <v>0.13589083695244231</v>
      </c>
      <c r="I30" s="8">
        <f t="shared" si="15"/>
        <v>0.15092642092498654</v>
      </c>
      <c r="J30" s="8">
        <f t="shared" si="17"/>
        <v>0.11770362646275045</v>
      </c>
      <c r="K30" s="8">
        <f t="shared" si="17"/>
        <v>0.12037646357665222</v>
      </c>
      <c r="L30" s="8">
        <f t="shared" si="17"/>
        <v>0.13790092280097244</v>
      </c>
      <c r="M30" s="8">
        <f t="shared" si="17"/>
        <v>0.1594915484660353</v>
      </c>
      <c r="N30" s="8">
        <f t="shared" si="16"/>
        <v>0.17994381614819277</v>
      </c>
      <c r="O30" s="8">
        <f t="shared" si="16"/>
        <v>0.21790012633818745</v>
      </c>
      <c r="P30" s="8">
        <f t="shared" si="16"/>
        <v>0.2423362508814868</v>
      </c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</row>
    <row r="31" spans="1:103" x14ac:dyDescent="0.2">
      <c r="B31" s="2" t="s">
        <v>45</v>
      </c>
      <c r="C31" s="7">
        <f t="shared" ref="C31:I31" si="18">+C11/C9</f>
        <v>0.56135096794531936</v>
      </c>
      <c r="D31" s="7">
        <f t="shared" si="18"/>
        <v>0.5721945204010509</v>
      </c>
      <c r="E31" s="7">
        <f t="shared" si="18"/>
        <v>0.56672708069836886</v>
      </c>
      <c r="F31" s="7">
        <f t="shared" si="18"/>
        <v>0.56465067778936395</v>
      </c>
      <c r="G31" s="7">
        <f t="shared" si="18"/>
        <v>0.58142018152696207</v>
      </c>
      <c r="H31" s="7">
        <f t="shared" si="18"/>
        <v>0.58099879634655782</v>
      </c>
      <c r="I31" s="7">
        <f t="shared" si="18"/>
        <v>0.58678116644763678</v>
      </c>
      <c r="J31" s="7">
        <f>+J11/J9</f>
        <v>0.5790046543449191</v>
      </c>
      <c r="K31" s="7">
        <f>+K11/K9</f>
        <v>0.5970365937451515</v>
      </c>
      <c r="L31" s="7">
        <f>+L11/L9</f>
        <v>0.59514871199236741</v>
      </c>
      <c r="M31" s="7">
        <f>+M11/M9</f>
        <v>0.59579270318331934</v>
      </c>
      <c r="N31" s="7">
        <f t="shared" ref="N31:O31" si="19">+N11/N9</f>
        <v>0.59793723864075621</v>
      </c>
      <c r="O31" s="7">
        <f t="shared" si="19"/>
        <v>0.62445402926403148</v>
      </c>
      <c r="P31" s="7">
        <f t="shared" ref="P31" si="20">+P11/P9</f>
        <v>0.61648969915523055</v>
      </c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</row>
    <row r="32" spans="1:103" x14ac:dyDescent="0.2">
      <c r="B32" s="2" t="s">
        <v>46</v>
      </c>
      <c r="C32" s="7">
        <f t="shared" ref="C32:I32" si="21">+C15/C9</f>
        <v>0.24954504420594092</v>
      </c>
      <c r="D32" s="7">
        <f t="shared" si="21"/>
        <v>0.29271888906761029</v>
      </c>
      <c r="E32" s="7">
        <f t="shared" si="21"/>
        <v>0.27829136948613303</v>
      </c>
      <c r="F32" s="7">
        <f t="shared" si="21"/>
        <v>0.27455683003128256</v>
      </c>
      <c r="G32" s="7">
        <f t="shared" si="21"/>
        <v>0.31626913669154072</v>
      </c>
      <c r="H32" s="7">
        <f t="shared" si="21"/>
        <v>0.32362936914398999</v>
      </c>
      <c r="I32" s="7">
        <f t="shared" si="21"/>
        <v>0.32311823084243441</v>
      </c>
      <c r="J32" s="7">
        <f>+J15/J9</f>
        <v>0.32105650519856122</v>
      </c>
      <c r="K32" s="7">
        <f>+K15/K9</f>
        <v>0.33918478622248821</v>
      </c>
      <c r="L32" s="7">
        <f>+L15/L9</f>
        <v>0.32429377359273243</v>
      </c>
      <c r="M32" s="7">
        <f>+M15/M9</f>
        <v>0.30512184159615424</v>
      </c>
      <c r="N32" s="7">
        <f t="shared" ref="N32:O32" si="22">+N15/N9</f>
        <v>0.31568682573707701</v>
      </c>
      <c r="O32" s="7">
        <f t="shared" si="22"/>
        <v>0.36121423891679405</v>
      </c>
      <c r="P32" s="7">
        <f t="shared" ref="P32" si="23">+P15/P9</f>
        <v>0.3403285585495342</v>
      </c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</row>
    <row r="33" spans="2:103" x14ac:dyDescent="0.2">
      <c r="B33" s="2" t="s">
        <v>47</v>
      </c>
      <c r="C33" s="7">
        <f t="shared" ref="C33:I33" si="24">+C18/C17</f>
        <v>0.17324910738808019</v>
      </c>
      <c r="D33" s="7">
        <f t="shared" si="24"/>
        <v>0.16140815487877266</v>
      </c>
      <c r="E33" s="7">
        <f t="shared" si="24"/>
        <v>7.1142142756050381E-2</v>
      </c>
      <c r="F33" s="7">
        <f t="shared" si="24"/>
        <v>0.15258889070948714</v>
      </c>
      <c r="G33" s="7">
        <f t="shared" si="24"/>
        <v>0.16432986049796927</v>
      </c>
      <c r="H33" s="7">
        <f t="shared" si="24"/>
        <v>0.14271714275343908</v>
      </c>
      <c r="I33" s="7">
        <f t="shared" si="24"/>
        <v>0.17047246577934777</v>
      </c>
      <c r="J33" s="7">
        <f>+J18/J17</f>
        <v>0.17699965884067859</v>
      </c>
      <c r="K33" s="7">
        <f>+K18/K17</f>
        <v>0.173466701763622</v>
      </c>
      <c r="L33" s="7">
        <f>+L18/L17</f>
        <v>0.16906845843279403</v>
      </c>
      <c r="M33" s="7">
        <f>+M18/M17</f>
        <v>0.20478777820719757</v>
      </c>
      <c r="N33" s="7">
        <f t="shared" ref="N33:O33" si="25">+N18/N17</f>
        <v>0.11918091878211519</v>
      </c>
      <c r="O33" s="7">
        <f t="shared" si="25"/>
        <v>0.19162403761690694</v>
      </c>
      <c r="P33" s="7">
        <f t="shared" ref="P33" si="26">+P18/P17</f>
        <v>0.19203909104668007</v>
      </c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</row>
    <row r="34" spans="2:103" x14ac:dyDescent="0.2">
      <c r="C34" s="3"/>
      <c r="D34" s="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</row>
    <row r="35" spans="2:103" x14ac:dyDescent="0.2">
      <c r="C35" s="3"/>
      <c r="D35" s="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</row>
    <row r="36" spans="2:103" x14ac:dyDescent="0.2">
      <c r="B36" s="12" t="s">
        <v>66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>
        <v>23466</v>
      </c>
      <c r="Y36" s="3">
        <v>30708</v>
      </c>
      <c r="Z36" s="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</row>
    <row r="37" spans="2:103" x14ac:dyDescent="0.2">
      <c r="B37" s="12" t="s">
        <v>67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>
        <v>72191</v>
      </c>
      <c r="Y37" s="3">
        <v>96135</v>
      </c>
      <c r="Z37" s="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</row>
    <row r="38" spans="2:103" x14ac:dyDescent="0.2">
      <c r="B38" s="12" t="s">
        <v>68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>
        <v>52340</v>
      </c>
      <c r="Y38" s="3">
        <v>62886</v>
      </c>
      <c r="Z38" s="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</row>
    <row r="39" spans="2:103" x14ac:dyDescent="0.2">
      <c r="B39" s="12" t="s">
        <v>69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>
        <v>15714</v>
      </c>
      <c r="Y39" s="3">
        <v>16309</v>
      </c>
      <c r="Z39" s="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</row>
    <row r="40" spans="2:103" x14ac:dyDescent="0.2">
      <c r="B40" s="12" t="s">
        <v>70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>
        <f>+SUM(X36:X39)</f>
        <v>163711</v>
      </c>
      <c r="Y40" s="3">
        <f>+SUM(Y36:Y39)</f>
        <v>206038</v>
      </c>
      <c r="Z40" s="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</row>
    <row r="41" spans="2:103" x14ac:dyDescent="0.2">
      <c r="B41" s="12" t="s">
        <v>71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>
        <v>37982</v>
      </c>
      <c r="Y41" s="3">
        <v>68687</v>
      </c>
      <c r="Z41" s="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</row>
    <row r="42" spans="2:103" x14ac:dyDescent="0.2">
      <c r="B42" s="12" t="s">
        <v>72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>
        <v>17180</v>
      </c>
      <c r="Y42" s="3">
        <v>9113</v>
      </c>
      <c r="Z42" s="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</row>
    <row r="43" spans="2:103" x14ac:dyDescent="0.2">
      <c r="B43" s="12" t="s">
        <v>73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>
        <v>171036</v>
      </c>
      <c r="Y43" s="3">
        <v>246597</v>
      </c>
      <c r="Z43" s="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</row>
    <row r="44" spans="2:103" x14ac:dyDescent="0.2">
      <c r="B44" s="12" t="s">
        <v>74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>
        <v>13588</v>
      </c>
      <c r="Y44" s="3">
        <v>15221</v>
      </c>
      <c r="Z44" s="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</row>
    <row r="45" spans="2:103" x14ac:dyDescent="0.2">
      <c r="B45" s="12" t="s">
        <v>75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>
        <v>31885</v>
      </c>
      <c r="Y45" s="3">
        <v>33380</v>
      </c>
      <c r="Z45" s="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</row>
    <row r="46" spans="2:103" x14ac:dyDescent="0.2">
      <c r="B46" s="12" t="s">
        <v>69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>
        <v>14874</v>
      </c>
      <c r="Y46" s="3">
        <v>16245</v>
      </c>
      <c r="Z46" s="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</row>
    <row r="47" spans="2:103" x14ac:dyDescent="0.2">
      <c r="B47" s="12" t="s">
        <v>76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>
        <f>+SUM(X41:X46)</f>
        <v>286545</v>
      </c>
      <c r="Y47" s="3">
        <f>+SUM(Y41:Y46)</f>
        <v>389243</v>
      </c>
      <c r="Z47" s="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</row>
    <row r="48" spans="2:103" x14ac:dyDescent="0.2">
      <c r="B48" s="4" t="s">
        <v>77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>
        <f>+X47+X40</f>
        <v>450256</v>
      </c>
      <c r="Y48" s="5">
        <f>+Y47+Y40</f>
        <v>595281</v>
      </c>
      <c r="Z48" s="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</row>
    <row r="49" spans="2:103" x14ac:dyDescent="0.2">
      <c r="B49" s="12" t="s">
        <v>78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>
        <v>7987</v>
      </c>
      <c r="Y49" s="3">
        <v>12200</v>
      </c>
      <c r="Z49" s="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</row>
    <row r="50" spans="2:103" x14ac:dyDescent="0.2">
      <c r="B50" s="12" t="s">
        <v>79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>
        <v>15069</v>
      </c>
      <c r="Y50" s="3">
        <v>17546</v>
      </c>
      <c r="Z50" s="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</row>
    <row r="51" spans="2:103" x14ac:dyDescent="0.2">
      <c r="B51" s="12" t="s">
        <v>80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>
        <v>51228</v>
      </c>
      <c r="Y51" s="3">
        <v>55557</v>
      </c>
      <c r="Z51" s="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</row>
    <row r="52" spans="2:103" x14ac:dyDescent="0.2">
      <c r="B52" s="12" t="s">
        <v>87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>
        <v>9802</v>
      </c>
      <c r="Y52" s="3">
        <v>10864</v>
      </c>
      <c r="Z52" s="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</row>
    <row r="53" spans="2:103" x14ac:dyDescent="0.2">
      <c r="B53" s="12" t="s">
        <v>81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>
        <v>5036</v>
      </c>
      <c r="Y53" s="3">
        <v>6578</v>
      </c>
      <c r="Z53" s="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</row>
    <row r="54" spans="2:103" x14ac:dyDescent="0.2">
      <c r="B54" s="12" t="s">
        <v>82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>
        <f>+SUM(X49:X53)</f>
        <v>89122</v>
      </c>
      <c r="Y54" s="3">
        <f>+SUM(Y49:Y53)</f>
        <v>102745</v>
      </c>
      <c r="Z54" s="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</row>
    <row r="55" spans="2:103" x14ac:dyDescent="0.2">
      <c r="B55" s="12" t="s">
        <v>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>
        <v>10883</v>
      </c>
      <c r="Y55" s="3">
        <v>46547</v>
      </c>
      <c r="Z55" s="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</row>
    <row r="56" spans="2:103" x14ac:dyDescent="0.2">
      <c r="B56" s="12" t="s">
        <v>83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>
        <v>8782</v>
      </c>
      <c r="Y56" s="3">
        <v>9531</v>
      </c>
      <c r="Z56" s="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</row>
    <row r="57" spans="2:103" x14ac:dyDescent="0.2">
      <c r="B57" s="12" t="s">
        <v>74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>
        <v>11691</v>
      </c>
      <c r="Y57" s="3">
        <v>12744</v>
      </c>
      <c r="Z57" s="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</row>
    <row r="58" spans="2:103" x14ac:dyDescent="0.2">
      <c r="B58" s="12" t="s">
        <v>69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>
        <v>4694</v>
      </c>
      <c r="Y58" s="3">
        <v>8449</v>
      </c>
      <c r="Z58" s="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</row>
    <row r="59" spans="2:103" x14ac:dyDescent="0.2">
      <c r="B59" s="12" t="s">
        <v>84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>
        <f>+SUM(X55:X58)</f>
        <v>36050</v>
      </c>
      <c r="Y59" s="3">
        <f>+SUM(Y55:Y58)</f>
        <v>77271</v>
      </c>
      <c r="Z59" s="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</row>
    <row r="60" spans="2:103" x14ac:dyDescent="0.2">
      <c r="B60" s="12" t="s">
        <v>85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>
        <v>325084</v>
      </c>
      <c r="Y60" s="3">
        <v>415265</v>
      </c>
      <c r="Z60" s="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</row>
    <row r="61" spans="2:103" x14ac:dyDescent="0.2">
      <c r="B61" s="4" t="s">
        <v>86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f>+X60+X59+X54</f>
        <v>450256</v>
      </c>
      <c r="Y61" s="5">
        <f>+Y60+Y59+Y54</f>
        <v>595281</v>
      </c>
      <c r="Z61" s="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</row>
    <row r="62" spans="2:103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</row>
    <row r="63" spans="2:103" x14ac:dyDescent="0.2">
      <c r="B63" s="12" t="s">
        <v>28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>
        <v>73795</v>
      </c>
      <c r="X63" s="3">
        <v>100118</v>
      </c>
      <c r="Y63" s="3">
        <v>132170</v>
      </c>
      <c r="Z63" s="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</row>
    <row r="64" spans="2:103" x14ac:dyDescent="0.2">
      <c r="B64" s="12" t="s">
        <v>88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>
        <v>11946</v>
      </c>
      <c r="X64" s="3">
        <v>15311</v>
      </c>
      <c r="Y64" s="3">
        <v>21136</v>
      </c>
      <c r="Z64" s="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</row>
    <row r="65" spans="2:103" x14ac:dyDescent="0.2">
      <c r="B65" s="12" t="s">
        <v>89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>
        <v>22460</v>
      </c>
      <c r="X65" s="3">
        <v>22785</v>
      </c>
      <c r="Y65" s="3">
        <v>24953</v>
      </c>
      <c r="Z65" s="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</row>
    <row r="66" spans="2:103" x14ac:dyDescent="0.2">
      <c r="B66" s="12" t="s">
        <v>90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>
        <v>-7763</v>
      </c>
      <c r="X66" s="3">
        <v>-5257</v>
      </c>
      <c r="Y66" s="3">
        <v>8348</v>
      </c>
      <c r="Z66" s="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</row>
    <row r="67" spans="2:103" x14ac:dyDescent="0.2">
      <c r="B67" s="12" t="s">
        <v>91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>
        <v>823</v>
      </c>
      <c r="X67" s="3">
        <v>-2671</v>
      </c>
      <c r="Y67" s="3">
        <v>-24620</v>
      </c>
      <c r="Z67" s="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</row>
    <row r="68" spans="2:103" x14ac:dyDescent="0.2">
      <c r="B68" s="12" t="s">
        <v>92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>
        <v>4330</v>
      </c>
      <c r="X68" s="3">
        <v>3419</v>
      </c>
      <c r="Y68" s="3">
        <v>2108</v>
      </c>
      <c r="Z68" s="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</row>
    <row r="69" spans="2:103" x14ac:dyDescent="0.2">
      <c r="B69" s="12" t="s">
        <v>93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>
        <v>-7833</v>
      </c>
      <c r="X69" s="3">
        <v>-5891</v>
      </c>
      <c r="Y69" s="3">
        <v>-8779</v>
      </c>
      <c r="Z69" s="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</row>
    <row r="70" spans="2:103" x14ac:dyDescent="0.2">
      <c r="B70" s="12" t="s">
        <v>94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>
        <v>523</v>
      </c>
      <c r="X70" s="3">
        <v>-2418</v>
      </c>
      <c r="Y70" s="3">
        <v>-3226</v>
      </c>
      <c r="Z70" s="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</row>
    <row r="71" spans="2:103" x14ac:dyDescent="0.2">
      <c r="B71" s="12" t="s">
        <v>95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>
        <v>-2143</v>
      </c>
      <c r="X71" s="3">
        <v>-1397</v>
      </c>
      <c r="Y71" s="3">
        <v>-4542</v>
      </c>
      <c r="Z71" s="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</row>
    <row r="72" spans="2:103" x14ac:dyDescent="0.2">
      <c r="B72" s="12" t="s">
        <v>96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>
        <v>664</v>
      </c>
      <c r="X72" s="3">
        <v>359</v>
      </c>
      <c r="Y72" s="3">
        <v>907</v>
      </c>
      <c r="Z72" s="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</row>
    <row r="73" spans="2:103" x14ac:dyDescent="0.2">
      <c r="B73" s="12" t="s">
        <v>97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>
        <v>3937</v>
      </c>
      <c r="X73" s="3">
        <v>-1161</v>
      </c>
      <c r="Y73" s="3">
        <v>12939</v>
      </c>
      <c r="Z73" s="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</row>
    <row r="74" spans="2:103" x14ac:dyDescent="0.2">
      <c r="B74" s="12" t="s">
        <v>98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>
        <v>482</v>
      </c>
      <c r="X74" s="3">
        <v>1059</v>
      </c>
      <c r="Y74" s="3">
        <v>899</v>
      </c>
      <c r="Z74" s="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</row>
    <row r="75" spans="2:103" x14ac:dyDescent="0.2">
      <c r="B75" s="12" t="s">
        <v>99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>
        <v>525</v>
      </c>
      <c r="X75" s="3">
        <v>1043</v>
      </c>
      <c r="Y75" s="3">
        <v>2420</v>
      </c>
      <c r="Z75" s="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</row>
    <row r="76" spans="2:103" x14ac:dyDescent="0.2">
      <c r="B76" s="12" t="s">
        <v>100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>
        <f>+SUM(W69:W75)</f>
        <v>-3845</v>
      </c>
      <c r="X76" s="3">
        <f>+SUM(X69:X75)</f>
        <v>-8406</v>
      </c>
      <c r="Y76" s="3">
        <f>+SUM(Y69:Y75)</f>
        <v>618</v>
      </c>
      <c r="Z76" s="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</row>
    <row r="77" spans="2:103" x14ac:dyDescent="0.2">
      <c r="B77" s="4" t="s">
        <v>58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f t="shared" ref="W77:X77" si="27">+SUM(W63:W68,W76)</f>
        <v>101746</v>
      </c>
      <c r="X77" s="5">
        <f t="shared" si="27"/>
        <v>125299</v>
      </c>
      <c r="Y77" s="5">
        <f>+SUM(Y63:Y68,Y76)</f>
        <v>164713</v>
      </c>
      <c r="Z77" s="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</row>
    <row r="78" spans="2:103" x14ac:dyDescent="0.2">
      <c r="B78" s="12" t="s">
        <v>59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>
        <v>-32251</v>
      </c>
      <c r="X78" s="3">
        <v>-52535</v>
      </c>
      <c r="Y78" s="3">
        <v>-91447</v>
      </c>
      <c r="Z78" s="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</row>
    <row r="79" spans="2:103" x14ac:dyDescent="0.2">
      <c r="B79" s="12" t="s">
        <v>102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>
        <v>-77858</v>
      </c>
      <c r="X79" s="3">
        <v>-86679</v>
      </c>
      <c r="Y79" s="3">
        <v>-103773</v>
      </c>
      <c r="Z79" s="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</row>
    <row r="80" spans="2:103" x14ac:dyDescent="0.2">
      <c r="B80" s="12" t="s">
        <v>104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>
        <v>86672</v>
      </c>
      <c r="X80" s="3">
        <v>103428</v>
      </c>
      <c r="Y80" s="3">
        <v>83240</v>
      </c>
      <c r="Z80" s="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</row>
    <row r="81" spans="2:103" x14ac:dyDescent="0.2">
      <c r="B81" s="12" t="s">
        <v>103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>
        <v>-3027</v>
      </c>
      <c r="X81" s="3">
        <v>-5034</v>
      </c>
      <c r="Y81" s="3">
        <v>-5716</v>
      </c>
      <c r="Z81" s="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</row>
    <row r="82" spans="2:103" x14ac:dyDescent="0.2">
      <c r="B82" s="12" t="s">
        <v>105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>
        <v>947</v>
      </c>
      <c r="X82" s="3">
        <v>882</v>
      </c>
      <c r="Y82" s="3">
        <v>1367</v>
      </c>
      <c r="Z82" s="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</row>
    <row r="83" spans="2:103" x14ac:dyDescent="0.2">
      <c r="B83" s="12" t="s">
        <v>106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>
        <v>-495</v>
      </c>
      <c r="X83" s="3">
        <v>-2931</v>
      </c>
      <c r="Y83" s="3">
        <v>-1592</v>
      </c>
      <c r="Z83" s="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</row>
    <row r="84" spans="2:103" x14ac:dyDescent="0.2">
      <c r="B84" s="12" t="s">
        <v>92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>
        <v>-1051</v>
      </c>
      <c r="X84" s="3">
        <v>-2667</v>
      </c>
      <c r="Y84" s="3">
        <v>-2370</v>
      </c>
      <c r="Z84" s="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</row>
    <row r="85" spans="2:103" x14ac:dyDescent="0.2">
      <c r="B85" s="4" t="s">
        <v>101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5">
        <f t="shared" ref="W85:X85" si="28">+SUM(W78:W84)</f>
        <v>-27063</v>
      </c>
      <c r="X85" s="5">
        <f t="shared" si="28"/>
        <v>-45536</v>
      </c>
      <c r="Y85" s="5">
        <f>+SUM(Y78:Y84)</f>
        <v>-120291</v>
      </c>
      <c r="Z85" s="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</row>
    <row r="86" spans="2:103" x14ac:dyDescent="0.2">
      <c r="B86" s="12" t="s">
        <v>108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>
        <v>-9837</v>
      </c>
      <c r="X86" s="3">
        <v>-12190</v>
      </c>
      <c r="Y86" s="3">
        <v>-14167</v>
      </c>
      <c r="Z86" s="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</row>
    <row r="87" spans="2:103" x14ac:dyDescent="0.2">
      <c r="B87" s="12" t="s">
        <v>109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>
        <v>-61504</v>
      </c>
      <c r="X87" s="3">
        <v>-62222</v>
      </c>
      <c r="Y87" s="3">
        <v>-45709</v>
      </c>
      <c r="Z87" s="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</row>
    <row r="88" spans="2:103" x14ac:dyDescent="0.2">
      <c r="B88" s="12" t="s">
        <v>110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>
        <v>0</v>
      </c>
      <c r="X88" s="3">
        <v>-7363</v>
      </c>
      <c r="Y88" s="3">
        <v>-10049</v>
      </c>
      <c r="Z88" s="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</row>
    <row r="89" spans="2:103" x14ac:dyDescent="0.2">
      <c r="B89" s="12" t="s">
        <v>111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>
        <v>10790</v>
      </c>
      <c r="X89" s="3">
        <v>13589</v>
      </c>
      <c r="Y89" s="3">
        <v>64564</v>
      </c>
      <c r="Z89" s="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</row>
    <row r="90" spans="2:103" x14ac:dyDescent="0.2">
      <c r="B90" s="12" t="s">
        <v>112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>
        <v>-11550</v>
      </c>
      <c r="X90" s="3">
        <v>-12701</v>
      </c>
      <c r="Y90" s="3">
        <v>-32427</v>
      </c>
      <c r="Z90" s="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</row>
    <row r="91" spans="2:103" x14ac:dyDescent="0.2">
      <c r="B91" s="12" t="s">
        <v>113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>
        <v>8</v>
      </c>
      <c r="X91" s="3">
        <v>1154</v>
      </c>
      <c r="Y91" s="3">
        <v>400</v>
      </c>
      <c r="Z91" s="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</row>
    <row r="92" spans="2:103" x14ac:dyDescent="0.2">
      <c r="B92" s="4" t="s">
        <v>107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f t="shared" ref="W92:X92" si="29">+SUM(W86:W91)</f>
        <v>-72093</v>
      </c>
      <c r="X92" s="5">
        <f t="shared" si="29"/>
        <v>-79733</v>
      </c>
      <c r="Y92" s="5">
        <f>+SUM(Y86:Y91)</f>
        <v>-37388</v>
      </c>
      <c r="Z92" s="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</row>
    <row r="93" spans="2:103" x14ac:dyDescent="0.2">
      <c r="B93" s="12" t="s">
        <v>114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>
        <v>-421</v>
      </c>
      <c r="X93" s="3">
        <v>-612</v>
      </c>
      <c r="Y93" s="3">
        <v>208</v>
      </c>
      <c r="Z93" s="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</row>
    <row r="94" spans="2:103" x14ac:dyDescent="0.2">
      <c r="B94" s="4" t="s">
        <v>115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5">
        <f t="shared" ref="W94:X94" si="30">+W92+W93+W85+W77</f>
        <v>2169</v>
      </c>
      <c r="X94" s="5">
        <f t="shared" si="30"/>
        <v>-582</v>
      </c>
      <c r="Y94" s="5">
        <f>+Y92+Y93+Y85+Y77</f>
        <v>7242</v>
      </c>
      <c r="Z94" s="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</row>
    <row r="95" spans="2:103" x14ac:dyDescent="0.2">
      <c r="B95" s="12" t="s">
        <v>116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>
        <f>+W96-W94</f>
        <v>21879</v>
      </c>
      <c r="X95" s="3">
        <f>+X96-X94</f>
        <v>24048</v>
      </c>
      <c r="Y95" s="3">
        <v>23466</v>
      </c>
      <c r="Z95" s="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</row>
    <row r="96" spans="2:103" x14ac:dyDescent="0.2">
      <c r="B96" s="12" t="s">
        <v>117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>
        <f>+X95</f>
        <v>24048</v>
      </c>
      <c r="X96" s="3">
        <f>+Y95</f>
        <v>23466</v>
      </c>
      <c r="Y96" s="3">
        <f>+Y94+Y95</f>
        <v>30708</v>
      </c>
      <c r="Z96" s="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</row>
    <row r="97" spans="3:103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</row>
    <row r="98" spans="3:103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</row>
    <row r="99" spans="3:103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</row>
    <row r="100" spans="3:103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</row>
    <row r="101" spans="3:103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</row>
    <row r="102" spans="3:103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</row>
    <row r="103" spans="3:103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</row>
    <row r="104" spans="3:103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</row>
    <row r="105" spans="3:103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</row>
    <row r="106" spans="3:103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</row>
    <row r="107" spans="3:103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</row>
    <row r="108" spans="3:103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</row>
    <row r="109" spans="3:103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</row>
    <row r="110" spans="3:103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</row>
    <row r="111" spans="3:103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</row>
    <row r="112" spans="3:103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</row>
    <row r="113" spans="3:103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</row>
    <row r="114" spans="3:103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</row>
    <row r="115" spans="3:103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</row>
    <row r="116" spans="3:103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</row>
    <row r="117" spans="3:103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</row>
    <row r="118" spans="3:103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</row>
    <row r="119" spans="3:103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</row>
    <row r="120" spans="3:103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</row>
    <row r="121" spans="3:103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</row>
    <row r="122" spans="3:103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</row>
    <row r="123" spans="3:103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</row>
    <row r="124" spans="3:103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</row>
    <row r="125" spans="3:103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</row>
    <row r="126" spans="3:103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</row>
    <row r="127" spans="3:103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</row>
    <row r="128" spans="3:103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</row>
    <row r="129" spans="3:103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</row>
    <row r="130" spans="3:103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</row>
    <row r="131" spans="3:103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</row>
    <row r="132" spans="3:103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</row>
    <row r="133" spans="3:103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</row>
    <row r="134" spans="3:103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</row>
    <row r="135" spans="3:103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</row>
    <row r="136" spans="3:103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</row>
    <row r="137" spans="3:103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</row>
    <row r="138" spans="3:103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</row>
    <row r="139" spans="3:103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</row>
    <row r="140" spans="3:103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</row>
    <row r="141" spans="3:103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</row>
    <row r="142" spans="3:103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</row>
    <row r="143" spans="3:103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</row>
    <row r="144" spans="3:103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</row>
    <row r="145" spans="3:103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</row>
    <row r="146" spans="3:103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</row>
    <row r="147" spans="3:103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</row>
    <row r="148" spans="3:103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</row>
    <row r="149" spans="3:103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</row>
    <row r="150" spans="3:103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</row>
    <row r="151" spans="3:103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</row>
    <row r="152" spans="3:103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</row>
    <row r="153" spans="3:103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</row>
    <row r="154" spans="3:103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</row>
    <row r="155" spans="3:103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</row>
    <row r="156" spans="3:103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</row>
    <row r="157" spans="3:103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</row>
    <row r="158" spans="3:103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</row>
    <row r="159" spans="3:103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</row>
    <row r="160" spans="3:103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</row>
    <row r="161" spans="3:103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</row>
    <row r="162" spans="3:103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</row>
    <row r="163" spans="3:103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</row>
    <row r="164" spans="3:103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</row>
    <row r="165" spans="3:103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</row>
    <row r="166" spans="3:103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</row>
    <row r="167" spans="3:103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</row>
    <row r="168" spans="3:103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</row>
    <row r="169" spans="3:103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</row>
    <row r="170" spans="3:103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</row>
    <row r="171" spans="3:103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</row>
    <row r="172" spans="3:103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</row>
    <row r="173" spans="3:103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</row>
    <row r="174" spans="3:103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</row>
    <row r="175" spans="3:103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</row>
    <row r="176" spans="3:103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</row>
    <row r="177" spans="3:103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</row>
    <row r="178" spans="3:103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</row>
    <row r="179" spans="3:103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</row>
    <row r="180" spans="3:103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</row>
    <row r="181" spans="3:103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</row>
    <row r="182" spans="3:103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</row>
    <row r="183" spans="3:103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</row>
    <row r="184" spans="3:103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</row>
    <row r="185" spans="3:103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</row>
    <row r="186" spans="3:103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</row>
    <row r="187" spans="3:103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</row>
    <row r="188" spans="3:103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</row>
    <row r="189" spans="3:103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</row>
    <row r="190" spans="3:103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</row>
    <row r="191" spans="3:103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</row>
    <row r="192" spans="3:103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</row>
    <row r="193" spans="3:103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</row>
    <row r="194" spans="3:103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</row>
    <row r="195" spans="3:103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</row>
    <row r="196" spans="3:103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</row>
    <row r="197" spans="3:103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</row>
    <row r="198" spans="3:103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</row>
    <row r="199" spans="3:103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</row>
    <row r="200" spans="3:103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</row>
    <row r="201" spans="3:103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</row>
    <row r="202" spans="3:103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</row>
    <row r="203" spans="3:103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</row>
    <row r="204" spans="3:103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</row>
    <row r="205" spans="3:103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</row>
    <row r="206" spans="3:103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</row>
    <row r="207" spans="3:103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</row>
    <row r="208" spans="3:103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</row>
    <row r="209" spans="3:103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</row>
    <row r="210" spans="3:103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</row>
    <row r="211" spans="3:103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</row>
    <row r="212" spans="3:103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</row>
    <row r="213" spans="3:103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</row>
    <row r="214" spans="3:103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</row>
    <row r="215" spans="3:103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3:103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3:103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3:103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3:103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3:103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3:103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3:103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3:103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3:103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3:2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3:2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3:2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3:2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3:2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3:2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3:2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3:2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3:2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3:2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3:2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3:2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3:2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3:2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3:2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3:2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3:2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3:2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3:2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3:2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3:2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3:2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3:2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3:2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3:26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3:26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3:26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3:26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3:26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3:26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3:26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3:26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3:26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3:26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3:26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3:26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3:26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3:26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3:26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3:26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3:26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3:26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3:26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3:26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3:26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3:26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3:26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3:26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3:26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3:26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3:26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3:26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3:26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3:26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3:26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3:26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3:26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3:26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3:26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3:26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3:26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3:26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3:26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3:26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3:26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3:26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3:26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3:26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3:26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3:26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3:26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3:26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3:26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3:26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3:26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3:26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3:26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3:26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3:26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3:26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3:26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3:26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3:26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3:26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3:26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3:26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3:26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3:26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3:26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3:26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3:26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3:26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3:26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3:26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3:26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3:26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3:26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3:26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3:26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3:26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3:26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3:26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3:26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3:26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3:26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3:26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3:26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3:26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3:26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3:26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3:26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3:26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3:26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3:26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3:26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3:26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3:26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3:26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3:26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3:26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3:26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3:26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3:26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3:26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3:26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3:26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3:26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3:26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3:26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3:26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3:26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3:26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3:26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3:26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3:26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3:26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3:26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3:26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3:26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3:26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3:26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3:26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3:26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3:26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3:26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3:26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3:26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3:26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3:26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3:26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3:26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3:26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3:26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3:26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3:26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3:26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3:26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3:26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3:26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3:26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3:26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3:26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3:26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3:26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3:26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3:26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3:26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3:26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3:26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3:26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3:26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3:26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3:26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3:26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3:26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3:26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3:26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3:26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3:26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3:26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3:26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3:26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3:26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3:26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3:26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3:26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3:26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3:26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3:26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3:26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3:26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3:26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3:26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3:26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3:26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3:26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3:26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3:26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3:26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3:26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3:26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3:26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3:26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3:26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3:26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3:26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3:26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3:26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3:26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3:26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3:26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3:26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3:26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3:26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3:26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3:26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3:26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3:26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3:26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3:26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3:26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3:26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3:26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3:26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3:26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3:26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3:26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3:26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3:26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3:26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3:26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3:26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3:26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3:26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3:26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3:26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3:26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3:26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3:26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3:26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3:26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3:26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3:26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3:26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3:26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3:26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3:26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3:26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3:26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3:26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3:26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3:26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3:26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3:26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3:26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3:26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3:26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3:26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3:26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3:26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3:26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3:26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3:26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3:26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3:26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3:26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3:26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3:26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3:26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3:26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3:26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3:26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3:26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3:26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3:26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3:26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3:26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3:26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3:26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3:26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3:26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3:26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3:26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3:26" x14ac:dyDescent="0.2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3:26" x14ac:dyDescent="0.2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3:26" x14ac:dyDescent="0.2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3:26" x14ac:dyDescent="0.2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3:26" x14ac:dyDescent="0.2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3:26" x14ac:dyDescent="0.2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3:26" x14ac:dyDescent="0.2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3:26" x14ac:dyDescent="0.2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3:26" x14ac:dyDescent="0.2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3:26" x14ac:dyDescent="0.2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3:26" x14ac:dyDescent="0.2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3:26" x14ac:dyDescent="0.2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3:26" x14ac:dyDescent="0.2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3:26" x14ac:dyDescent="0.2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3:26" x14ac:dyDescent="0.2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3:26" x14ac:dyDescent="0.2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3:26" x14ac:dyDescent="0.2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3:26" x14ac:dyDescent="0.2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3:26" x14ac:dyDescent="0.2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3:26" x14ac:dyDescent="0.2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3:26" x14ac:dyDescent="0.2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3:26" x14ac:dyDescent="0.2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3:26" x14ac:dyDescent="0.2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3:26" x14ac:dyDescent="0.2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3:26" x14ac:dyDescent="0.2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3:26" x14ac:dyDescent="0.2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3:26" x14ac:dyDescent="0.2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3:26" x14ac:dyDescent="0.2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3:26" x14ac:dyDescent="0.2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3:26" x14ac:dyDescent="0.2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3:26" x14ac:dyDescent="0.2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3:26" x14ac:dyDescent="0.2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3:26" x14ac:dyDescent="0.2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3:26" x14ac:dyDescent="0.2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3:26" x14ac:dyDescent="0.2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3:26" x14ac:dyDescent="0.2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3:26" x14ac:dyDescent="0.2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3:26" x14ac:dyDescent="0.2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3:26" x14ac:dyDescent="0.2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3:26" x14ac:dyDescent="0.2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3:26" x14ac:dyDescent="0.2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3:26" x14ac:dyDescent="0.2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3:26" x14ac:dyDescent="0.2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3:26" x14ac:dyDescent="0.2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3:26" x14ac:dyDescent="0.2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3:26" x14ac:dyDescent="0.2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3:26" x14ac:dyDescent="0.2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3:26" x14ac:dyDescent="0.2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3:26" x14ac:dyDescent="0.2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3:26" x14ac:dyDescent="0.2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3:26" x14ac:dyDescent="0.2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3:26" x14ac:dyDescent="0.2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3:26" x14ac:dyDescent="0.2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3:26" x14ac:dyDescent="0.2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3:26" x14ac:dyDescent="0.2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3:26" x14ac:dyDescent="0.2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3:26" x14ac:dyDescent="0.2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3:26" x14ac:dyDescent="0.2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3:26" x14ac:dyDescent="0.2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3:26" x14ac:dyDescent="0.2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3:26" x14ac:dyDescent="0.2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3:26" x14ac:dyDescent="0.2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3:26" x14ac:dyDescent="0.2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3:26" x14ac:dyDescent="0.2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3:26" x14ac:dyDescent="0.2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3:26" x14ac:dyDescent="0.2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3:26" x14ac:dyDescent="0.2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3:26" x14ac:dyDescent="0.2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3:26" x14ac:dyDescent="0.2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3:26" x14ac:dyDescent="0.2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3:26" x14ac:dyDescent="0.2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3:26" x14ac:dyDescent="0.2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3:26" x14ac:dyDescent="0.2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3:26" x14ac:dyDescent="0.2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3:26" x14ac:dyDescent="0.2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3:26" x14ac:dyDescent="0.2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3:26" x14ac:dyDescent="0.2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3:26" x14ac:dyDescent="0.2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3:26" x14ac:dyDescent="0.2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3:26" x14ac:dyDescent="0.2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3:26" x14ac:dyDescent="0.2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3:26" x14ac:dyDescent="0.2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3:26" x14ac:dyDescent="0.2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3:26" x14ac:dyDescent="0.2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3:26" x14ac:dyDescent="0.2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3:26" x14ac:dyDescent="0.2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3:26" x14ac:dyDescent="0.2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3:26" x14ac:dyDescent="0.2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3:26" x14ac:dyDescent="0.2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3:26" x14ac:dyDescent="0.2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3:26" x14ac:dyDescent="0.2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3:26" x14ac:dyDescent="0.2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3:26" x14ac:dyDescent="0.2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3:26" x14ac:dyDescent="0.2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3:26" x14ac:dyDescent="0.2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3:26" x14ac:dyDescent="0.2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3:26" x14ac:dyDescent="0.2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3:26" x14ac:dyDescent="0.2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3:26" x14ac:dyDescent="0.2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3:26" x14ac:dyDescent="0.2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3:26" x14ac:dyDescent="0.2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3:26" x14ac:dyDescent="0.2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3:26" x14ac:dyDescent="0.2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3:26" x14ac:dyDescent="0.2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3:26" x14ac:dyDescent="0.2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3:26" x14ac:dyDescent="0.2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3:26" x14ac:dyDescent="0.2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3:26" x14ac:dyDescent="0.2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3:26" x14ac:dyDescent="0.2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3:26" x14ac:dyDescent="0.2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3:26" x14ac:dyDescent="0.2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3:26" x14ac:dyDescent="0.2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3:26" x14ac:dyDescent="0.2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3:26" x14ac:dyDescent="0.2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3:26" x14ac:dyDescent="0.2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3:26" x14ac:dyDescent="0.2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3:26" x14ac:dyDescent="0.2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3:26" x14ac:dyDescent="0.2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3:26" x14ac:dyDescent="0.2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3:26" x14ac:dyDescent="0.2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3:26" x14ac:dyDescent="0.2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3:26" x14ac:dyDescent="0.2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3:26" x14ac:dyDescent="0.2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3:26" x14ac:dyDescent="0.2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3:26" x14ac:dyDescent="0.2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3:26" x14ac:dyDescent="0.2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3:26" x14ac:dyDescent="0.2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3:26" x14ac:dyDescent="0.2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3:26" x14ac:dyDescent="0.2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3:26" x14ac:dyDescent="0.2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3:26" x14ac:dyDescent="0.2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3:26" x14ac:dyDescent="0.2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3:26" x14ac:dyDescent="0.2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3:26" x14ac:dyDescent="0.2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3:26" x14ac:dyDescent="0.2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3:26" x14ac:dyDescent="0.2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3:26" x14ac:dyDescent="0.2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3:26" x14ac:dyDescent="0.2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3:26" x14ac:dyDescent="0.2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3:26" x14ac:dyDescent="0.2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3:26" x14ac:dyDescent="0.2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3:26" x14ac:dyDescent="0.2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3:26" x14ac:dyDescent="0.2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3:26" x14ac:dyDescent="0.2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3:26" x14ac:dyDescent="0.2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3:26" x14ac:dyDescent="0.2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3:26" x14ac:dyDescent="0.2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3:26" x14ac:dyDescent="0.2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3:26" x14ac:dyDescent="0.2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3:26" x14ac:dyDescent="0.2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3:26" x14ac:dyDescent="0.2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3:26" x14ac:dyDescent="0.2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3:26" x14ac:dyDescent="0.2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3:26" x14ac:dyDescent="0.2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3:26" x14ac:dyDescent="0.2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3:26" x14ac:dyDescent="0.2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3:26" x14ac:dyDescent="0.2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3:26" x14ac:dyDescent="0.2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3:26" x14ac:dyDescent="0.2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3:26" x14ac:dyDescent="0.2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3:26" x14ac:dyDescent="0.2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3:26" x14ac:dyDescent="0.2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3:26" x14ac:dyDescent="0.2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3:26" x14ac:dyDescent="0.2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3:26" x14ac:dyDescent="0.2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3:26" x14ac:dyDescent="0.2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3:26" x14ac:dyDescent="0.2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3:26" x14ac:dyDescent="0.2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3:26" x14ac:dyDescent="0.2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3:26" x14ac:dyDescent="0.2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3:26" x14ac:dyDescent="0.2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3:26" x14ac:dyDescent="0.2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3:26" x14ac:dyDescent="0.2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3:26" x14ac:dyDescent="0.2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3:26" x14ac:dyDescent="0.2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3:26" x14ac:dyDescent="0.2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3:26" x14ac:dyDescent="0.2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3:26" x14ac:dyDescent="0.2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3:26" x14ac:dyDescent="0.2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3:26" x14ac:dyDescent="0.2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3:26" x14ac:dyDescent="0.2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3:26" x14ac:dyDescent="0.2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3:26" x14ac:dyDescent="0.2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3:26" x14ac:dyDescent="0.2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3:26" x14ac:dyDescent="0.2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3:26" x14ac:dyDescent="0.2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3:26" x14ac:dyDescent="0.2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3:26" x14ac:dyDescent="0.2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3:26" x14ac:dyDescent="0.2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3:26" x14ac:dyDescent="0.2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3:26" x14ac:dyDescent="0.2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3:26" x14ac:dyDescent="0.2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3:26" x14ac:dyDescent="0.2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3:26" x14ac:dyDescent="0.2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3:26" x14ac:dyDescent="0.2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3:26" x14ac:dyDescent="0.2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3:26" x14ac:dyDescent="0.2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3:26" x14ac:dyDescent="0.2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3:26" x14ac:dyDescent="0.2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3:26" x14ac:dyDescent="0.2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3:26" x14ac:dyDescent="0.2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3:26" x14ac:dyDescent="0.2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3:26" x14ac:dyDescent="0.2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3:26" x14ac:dyDescent="0.2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3:26" x14ac:dyDescent="0.2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3:26" x14ac:dyDescent="0.2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3:26" x14ac:dyDescent="0.2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3:26" x14ac:dyDescent="0.2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3:26" x14ac:dyDescent="0.2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3:26" x14ac:dyDescent="0.2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3:26" x14ac:dyDescent="0.2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3:26" x14ac:dyDescent="0.2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3:26" x14ac:dyDescent="0.2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3:26" x14ac:dyDescent="0.2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3:26" x14ac:dyDescent="0.2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3:26" x14ac:dyDescent="0.2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3:26" x14ac:dyDescent="0.2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3:26" x14ac:dyDescent="0.2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3:26" x14ac:dyDescent="0.2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3:26" x14ac:dyDescent="0.2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3:26" x14ac:dyDescent="0.2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3:26" x14ac:dyDescent="0.2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3:26" x14ac:dyDescent="0.2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3:26" x14ac:dyDescent="0.2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3:26" x14ac:dyDescent="0.2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3:26" x14ac:dyDescent="0.2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3:26" x14ac:dyDescent="0.2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3:26" x14ac:dyDescent="0.2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3:26" x14ac:dyDescent="0.2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3:26" x14ac:dyDescent="0.2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3:26" x14ac:dyDescent="0.2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3:26" x14ac:dyDescent="0.2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3:26" x14ac:dyDescent="0.2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3:26" x14ac:dyDescent="0.2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3:26" x14ac:dyDescent="0.2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3:26" x14ac:dyDescent="0.2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3:26" x14ac:dyDescent="0.2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3:26" x14ac:dyDescent="0.2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3:26" x14ac:dyDescent="0.2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3:26" x14ac:dyDescent="0.2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3:26" x14ac:dyDescent="0.2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3:26" x14ac:dyDescent="0.2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3:26" x14ac:dyDescent="0.2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3:26" x14ac:dyDescent="0.2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3:26" x14ac:dyDescent="0.2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3:26" x14ac:dyDescent="0.2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3:26" x14ac:dyDescent="0.2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3:26" x14ac:dyDescent="0.2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3:26" x14ac:dyDescent="0.2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3:26" x14ac:dyDescent="0.2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3:26" x14ac:dyDescent="0.2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3:26" x14ac:dyDescent="0.2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3:26" x14ac:dyDescent="0.2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3:26" x14ac:dyDescent="0.2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3:26" x14ac:dyDescent="0.2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3:26" x14ac:dyDescent="0.2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3:26" x14ac:dyDescent="0.2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3:26" x14ac:dyDescent="0.2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3:26" x14ac:dyDescent="0.2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3:26" x14ac:dyDescent="0.2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3:26" x14ac:dyDescent="0.2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3:26" x14ac:dyDescent="0.2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3:26" x14ac:dyDescent="0.2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3:26" x14ac:dyDescent="0.2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3:26" x14ac:dyDescent="0.2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3:26" x14ac:dyDescent="0.2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3:26" x14ac:dyDescent="0.2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3:26" x14ac:dyDescent="0.2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3:26" x14ac:dyDescent="0.2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3:26" x14ac:dyDescent="0.2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3:26" x14ac:dyDescent="0.2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3:26" x14ac:dyDescent="0.2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3:26" x14ac:dyDescent="0.2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3:26" x14ac:dyDescent="0.2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3:26" x14ac:dyDescent="0.2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3:26" x14ac:dyDescent="0.2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3:26" x14ac:dyDescent="0.2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3:26" x14ac:dyDescent="0.2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3:26" x14ac:dyDescent="0.2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3:26" x14ac:dyDescent="0.2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3:26" x14ac:dyDescent="0.2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3:26" x14ac:dyDescent="0.2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3:26" x14ac:dyDescent="0.2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3:26" x14ac:dyDescent="0.2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3:26" x14ac:dyDescent="0.2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3:26" x14ac:dyDescent="0.2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3:26" x14ac:dyDescent="0.2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3:26" x14ac:dyDescent="0.2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3:26" x14ac:dyDescent="0.2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3:26" x14ac:dyDescent="0.2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3:26" x14ac:dyDescent="0.2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3:26" x14ac:dyDescent="0.2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3:26" x14ac:dyDescent="0.2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3:26" x14ac:dyDescent="0.2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3:26" x14ac:dyDescent="0.2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3:26" x14ac:dyDescent="0.2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3:26" x14ac:dyDescent="0.2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3:26" x14ac:dyDescent="0.2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3:26" x14ac:dyDescent="0.2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3:26" x14ac:dyDescent="0.2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3:26" x14ac:dyDescent="0.2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3:26" x14ac:dyDescent="0.2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3:26" x14ac:dyDescent="0.2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3:26" x14ac:dyDescent="0.2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3:26" x14ac:dyDescent="0.2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3:26" x14ac:dyDescent="0.2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3:26" x14ac:dyDescent="0.2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3:26" x14ac:dyDescent="0.2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3:26" x14ac:dyDescent="0.2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3:26" x14ac:dyDescent="0.2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3:26" x14ac:dyDescent="0.2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3:26" x14ac:dyDescent="0.2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3:26" x14ac:dyDescent="0.2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3:26" x14ac:dyDescent="0.2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3:26" x14ac:dyDescent="0.2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3:26" x14ac:dyDescent="0.2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3:26" x14ac:dyDescent="0.2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3:26" x14ac:dyDescent="0.2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3:26" x14ac:dyDescent="0.2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3:26" x14ac:dyDescent="0.2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3:26" x14ac:dyDescent="0.2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3:26" x14ac:dyDescent="0.2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3:26" x14ac:dyDescent="0.2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3:26" x14ac:dyDescent="0.2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3:26" x14ac:dyDescent="0.2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3:26" x14ac:dyDescent="0.2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3:26" x14ac:dyDescent="0.2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3:26" x14ac:dyDescent="0.2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3:26" x14ac:dyDescent="0.2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3:26" x14ac:dyDescent="0.2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3:26" x14ac:dyDescent="0.2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3:26" x14ac:dyDescent="0.2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3:26" x14ac:dyDescent="0.2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3:26" x14ac:dyDescent="0.2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3:26" x14ac:dyDescent="0.2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3:26" x14ac:dyDescent="0.2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3:26" x14ac:dyDescent="0.2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3:26" x14ac:dyDescent="0.2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3:26" x14ac:dyDescent="0.2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3:26" x14ac:dyDescent="0.2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3:26" x14ac:dyDescent="0.2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3:26" x14ac:dyDescent="0.2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3:26" x14ac:dyDescent="0.2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3:26" x14ac:dyDescent="0.2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3:26" x14ac:dyDescent="0.2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3:26" x14ac:dyDescent="0.2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</sheetData>
  <hyperlinks>
    <hyperlink ref="A1" location="Main!A1" display="Main" xr:uid="{4C63A239-4C0A-48B3-8C90-38E2389F67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2024-10-01T08:39:25Z</dcterms:created>
  <dcterms:modified xsi:type="dcterms:W3CDTF">2026-07-23T09:28:52Z</dcterms:modified>
</cp:coreProperties>
</file>