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EE221AE-D9CB-4513-BE2E-AC15A111A4DC}" xr6:coauthVersionLast="47" xr6:coauthVersionMax="47" xr10:uidLastSave="{00000000-0000-0000-0000-000000000000}"/>
  <bookViews>
    <workbookView xWindow="19095" yWindow="0" windowWidth="19410" windowHeight="20925" xr2:uid="{A6A9719B-65E6-4B85-BB9B-7231670B31D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2" l="1"/>
  <c r="N40" i="2"/>
  <c r="N39" i="2"/>
  <c r="N38" i="2"/>
  <c r="N37" i="2"/>
  <c r="N36" i="2"/>
  <c r="N35" i="2"/>
  <c r="N34" i="2"/>
  <c r="N33" i="2"/>
  <c r="N32" i="2"/>
  <c r="N29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6" i="2" s="1"/>
  <c r="N10" i="2"/>
  <c r="N9" i="2"/>
  <c r="N8" i="2"/>
  <c r="V41" i="2"/>
  <c r="V40" i="2"/>
  <c r="V39" i="2"/>
  <c r="V38" i="2"/>
  <c r="V37" i="2"/>
  <c r="V36" i="2"/>
  <c r="V35" i="2"/>
  <c r="V34" i="2"/>
  <c r="V33" i="2"/>
  <c r="V32" i="2"/>
  <c r="V29" i="2"/>
  <c r="V27" i="2"/>
  <c r="V25" i="2"/>
  <c r="V21" i="2"/>
  <c r="V22" i="2"/>
  <c r="V19" i="2"/>
  <c r="V13" i="2"/>
  <c r="H5" i="1"/>
  <c r="N5" i="2"/>
  <c r="N4" i="2"/>
  <c r="N3" i="2"/>
  <c r="V6" i="2"/>
  <c r="M6" i="2"/>
  <c r="M41" i="2"/>
  <c r="M40" i="2"/>
  <c r="M39" i="2"/>
  <c r="M38" i="2"/>
  <c r="M37" i="2"/>
  <c r="M36" i="2"/>
  <c r="M35" i="2"/>
  <c r="M34" i="2"/>
  <c r="M33" i="2"/>
  <c r="M32" i="2"/>
  <c r="M29" i="2"/>
  <c r="M27" i="2"/>
  <c r="M25" i="2"/>
  <c r="M22" i="2"/>
  <c r="M19" i="2"/>
  <c r="M13" i="2"/>
  <c r="L6" i="2"/>
  <c r="L41" i="2"/>
  <c r="L40" i="2"/>
  <c r="L39" i="2"/>
  <c r="L38" i="2"/>
  <c r="L37" i="2"/>
  <c r="L36" i="2"/>
  <c r="L35" i="2"/>
  <c r="L34" i="2"/>
  <c r="L33" i="2"/>
  <c r="L32" i="2"/>
  <c r="L29" i="2"/>
  <c r="L27" i="2"/>
  <c r="L25" i="2"/>
  <c r="L22" i="2"/>
  <c r="L19" i="2"/>
  <c r="L13" i="2"/>
  <c r="K6" i="2"/>
  <c r="K41" i="2"/>
  <c r="K40" i="2"/>
  <c r="K39" i="2"/>
  <c r="K38" i="2"/>
  <c r="K37" i="2"/>
  <c r="K36" i="2"/>
  <c r="K35" i="2"/>
  <c r="K34" i="2"/>
  <c r="K33" i="2"/>
  <c r="K32" i="2"/>
  <c r="K29" i="2"/>
  <c r="K27" i="2"/>
  <c r="K25" i="2"/>
  <c r="K22" i="2"/>
  <c r="K19" i="2"/>
  <c r="K13" i="2"/>
  <c r="Q32" i="2"/>
  <c r="S35" i="2"/>
  <c r="R35" i="2"/>
  <c r="Q35" i="2"/>
  <c r="S34" i="2"/>
  <c r="R34" i="2"/>
  <c r="Q34" i="2"/>
  <c r="S33" i="2"/>
  <c r="R33" i="2"/>
  <c r="Q33" i="2"/>
  <c r="S32" i="2"/>
  <c r="R32" i="2"/>
  <c r="R38" i="2"/>
  <c r="T36" i="2"/>
  <c r="S36" i="2"/>
  <c r="R36" i="2"/>
  <c r="Q36" i="2"/>
  <c r="T37" i="2"/>
  <c r="Q37" i="2"/>
  <c r="R10" i="2"/>
  <c r="S37" i="2" s="1"/>
  <c r="U6" i="2"/>
  <c r="T6" i="2"/>
  <c r="S6" i="2"/>
  <c r="R6" i="2"/>
  <c r="Q6" i="2"/>
  <c r="P6" i="2"/>
  <c r="I6" i="2"/>
  <c r="H6" i="2"/>
  <c r="G6" i="2"/>
  <c r="E6" i="2"/>
  <c r="D6" i="2"/>
  <c r="C6" i="2"/>
  <c r="J30" i="2"/>
  <c r="F30" i="2"/>
  <c r="F26" i="2"/>
  <c r="F24" i="2"/>
  <c r="F23" i="2"/>
  <c r="F21" i="2"/>
  <c r="F20" i="2"/>
  <c r="F18" i="2"/>
  <c r="F17" i="2"/>
  <c r="F16" i="2"/>
  <c r="F15" i="2"/>
  <c r="F14" i="2"/>
  <c r="F12" i="2"/>
  <c r="F11" i="2"/>
  <c r="F6" i="2" s="1"/>
  <c r="F10" i="2"/>
  <c r="F9" i="2"/>
  <c r="F8" i="2"/>
  <c r="J26" i="2"/>
  <c r="J24" i="2"/>
  <c r="J23" i="2"/>
  <c r="J21" i="2"/>
  <c r="J20" i="2"/>
  <c r="J18" i="2"/>
  <c r="J17" i="2"/>
  <c r="J16" i="2"/>
  <c r="J15" i="2"/>
  <c r="J14" i="2"/>
  <c r="J12" i="2"/>
  <c r="J11" i="2"/>
  <c r="J6" i="2" s="1"/>
  <c r="J10" i="2"/>
  <c r="J9" i="2"/>
  <c r="J8" i="2"/>
  <c r="S38" i="2"/>
  <c r="T38" i="2"/>
  <c r="I34" i="2"/>
  <c r="H34" i="2"/>
  <c r="G34" i="2"/>
  <c r="I33" i="2"/>
  <c r="H33" i="2"/>
  <c r="G33" i="2"/>
  <c r="I32" i="2"/>
  <c r="H32" i="2"/>
  <c r="G32" i="2"/>
  <c r="J34" i="2"/>
  <c r="J33" i="2"/>
  <c r="J32" i="2"/>
  <c r="T34" i="2"/>
  <c r="T33" i="2"/>
  <c r="T32" i="2"/>
  <c r="U34" i="2"/>
  <c r="U33" i="2"/>
  <c r="U32" i="2"/>
  <c r="U38" i="2"/>
  <c r="U37" i="2"/>
  <c r="U36" i="2"/>
  <c r="T35" i="2"/>
  <c r="U35" i="2"/>
  <c r="T13" i="2"/>
  <c r="T39" i="2" s="1"/>
  <c r="T19" i="2"/>
  <c r="T40" i="2" s="1"/>
  <c r="S13" i="2"/>
  <c r="S19" i="2" s="1"/>
  <c r="S22" i="2" s="1"/>
  <c r="S25" i="2" s="1"/>
  <c r="S27" i="2" s="1"/>
  <c r="S29" i="2" s="1"/>
  <c r="R13" i="2"/>
  <c r="R39" i="2" s="1"/>
  <c r="Q13" i="2"/>
  <c r="Q39" i="2" s="1"/>
  <c r="P13" i="2"/>
  <c r="P39" i="2" s="1"/>
  <c r="U13" i="2"/>
  <c r="U39" i="2" s="1"/>
  <c r="I13" i="2"/>
  <c r="I19" i="2" s="1"/>
  <c r="G38" i="2"/>
  <c r="G37" i="2"/>
  <c r="G36" i="2"/>
  <c r="G35" i="2"/>
  <c r="I38" i="2"/>
  <c r="I37" i="2"/>
  <c r="I36" i="2"/>
  <c r="I35" i="2"/>
  <c r="H38" i="2"/>
  <c r="H37" i="2"/>
  <c r="H36" i="2"/>
  <c r="H35" i="2"/>
  <c r="H13" i="2"/>
  <c r="H19" i="2" s="1"/>
  <c r="H22" i="2" s="1"/>
  <c r="H25" i="2" s="1"/>
  <c r="H27" i="2" s="1"/>
  <c r="H29" i="2" s="1"/>
  <c r="J13" i="2"/>
  <c r="G13" i="2"/>
  <c r="G19" i="2" s="1"/>
  <c r="G22" i="2" s="1"/>
  <c r="G25" i="2" s="1"/>
  <c r="G27" i="2" s="1"/>
  <c r="G29" i="2" s="1"/>
  <c r="E13" i="2"/>
  <c r="E19" i="2" s="1"/>
  <c r="E22" i="2" s="1"/>
  <c r="E25" i="2" s="1"/>
  <c r="E27" i="2" s="1"/>
  <c r="E29" i="2" s="1"/>
  <c r="D13" i="2"/>
  <c r="D19" i="2" s="1"/>
  <c r="D22" i="2" s="1"/>
  <c r="D25" i="2" s="1"/>
  <c r="D27" i="2" s="1"/>
  <c r="D29" i="2" s="1"/>
  <c r="C13" i="2"/>
  <c r="C19" i="2" s="1"/>
  <c r="C22" i="2" s="1"/>
  <c r="C25" i="2" s="1"/>
  <c r="C27" i="2" s="1"/>
  <c r="C29" i="2" s="1"/>
  <c r="H4" i="1"/>
  <c r="J35" i="2" l="1"/>
  <c r="I39" i="2"/>
  <c r="R37" i="2"/>
  <c r="J37" i="2"/>
  <c r="J38" i="2"/>
  <c r="F13" i="2"/>
  <c r="F39" i="2" s="1"/>
  <c r="F19" i="2"/>
  <c r="F22" i="2" s="1"/>
  <c r="F25" i="2" s="1"/>
  <c r="F27" i="2" s="1"/>
  <c r="F29" i="2" s="1"/>
  <c r="J36" i="2"/>
  <c r="J19" i="2"/>
  <c r="J22" i="2" s="1"/>
  <c r="J25" i="2" s="1"/>
  <c r="J27" i="2" s="1"/>
  <c r="J29" i="2" s="1"/>
  <c r="P19" i="2"/>
  <c r="P22" i="2" s="1"/>
  <c r="P25" i="2" s="1"/>
  <c r="P27" i="2" s="1"/>
  <c r="Q19" i="2"/>
  <c r="Q40" i="2" s="1"/>
  <c r="R19" i="2"/>
  <c r="R22" i="2" s="1"/>
  <c r="R25" i="2" s="1"/>
  <c r="R27" i="2" s="1"/>
  <c r="R29" i="2" s="1"/>
  <c r="U19" i="2"/>
  <c r="U40" i="2" s="1"/>
  <c r="T22" i="2"/>
  <c r="U22" i="2"/>
  <c r="S41" i="2"/>
  <c r="S39" i="2"/>
  <c r="S40" i="2"/>
  <c r="G39" i="2"/>
  <c r="H39" i="2"/>
  <c r="C39" i="2"/>
  <c r="D39" i="2"/>
  <c r="C40" i="2"/>
  <c r="D40" i="2"/>
  <c r="G40" i="2"/>
  <c r="C41" i="2"/>
  <c r="D41" i="2"/>
  <c r="G41" i="2"/>
  <c r="J39" i="2"/>
  <c r="I40" i="2"/>
  <c r="I22" i="2"/>
  <c r="H40" i="2"/>
  <c r="H41" i="2"/>
  <c r="E41" i="2"/>
  <c r="E40" i="2"/>
  <c r="E39" i="2"/>
  <c r="H7" i="1"/>
  <c r="F41" i="2" l="1"/>
  <c r="R41" i="2"/>
  <c r="R40" i="2"/>
  <c r="Q22" i="2"/>
  <c r="Q25" i="2" s="1"/>
  <c r="Q27" i="2" s="1"/>
  <c r="Q29" i="2" s="1"/>
  <c r="F40" i="2"/>
  <c r="J40" i="2"/>
  <c r="J41" i="2"/>
  <c r="P40" i="2"/>
  <c r="P41" i="2"/>
  <c r="U41" i="2"/>
  <c r="U25" i="2"/>
  <c r="U27" i="2" s="1"/>
  <c r="U29" i="2" s="1"/>
  <c r="T41" i="2"/>
  <c r="T25" i="2"/>
  <c r="T27" i="2" s="1"/>
  <c r="T29" i="2" s="1"/>
  <c r="I25" i="2"/>
  <c r="I27" i="2" s="1"/>
  <c r="I29" i="2" s="1"/>
  <c r="I41" i="2"/>
  <c r="Q41" i="2" l="1"/>
</calcChain>
</file>

<file path=xl/sharedStrings.xml><?xml version="1.0" encoding="utf-8"?>
<sst xmlns="http://schemas.openxmlformats.org/spreadsheetml/2006/main" count="75" uniqueCount="71">
  <si>
    <t>numbers in mio USD</t>
  </si>
  <si>
    <t>Price</t>
  </si>
  <si>
    <t>Shares</t>
  </si>
  <si>
    <t>MC</t>
  </si>
  <si>
    <t>Cash</t>
  </si>
  <si>
    <t>Debt</t>
  </si>
  <si>
    <t>EV</t>
  </si>
  <si>
    <t>UBER</t>
  </si>
  <si>
    <t>SEC</t>
  </si>
  <si>
    <t>Uber  Technologies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</si>
  <si>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</si>
  <si>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</si>
  <si>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</si>
  <si>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</si>
  <si>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</si>
  <si>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</si>
  <si>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</si>
  <si>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</si>
  <si>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</si>
  <si>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Notes</t>
  </si>
  <si>
    <t>Pretax Income</t>
  </si>
  <si>
    <t>Other Income</t>
  </si>
  <si>
    <t>Inerest Expense</t>
  </si>
  <si>
    <t>Operating Profit</t>
  </si>
  <si>
    <t>D&amp;A</t>
  </si>
  <si>
    <t>Revenue</t>
  </si>
  <si>
    <t>COGS</t>
  </si>
  <si>
    <t>Gross Profit</t>
  </si>
  <si>
    <t>Operations &amp; Support</t>
  </si>
  <si>
    <t>G&amp;A</t>
  </si>
  <si>
    <t>R&amp;D</t>
  </si>
  <si>
    <t>S&amp;M</t>
  </si>
  <si>
    <t>Net Income</t>
  </si>
  <si>
    <t>Tax Expense</t>
  </si>
  <si>
    <t>Minorities</t>
  </si>
  <si>
    <t>NI to Company</t>
  </si>
  <si>
    <t>Mobility Revenue</t>
  </si>
  <si>
    <t>Delivery Revenue</t>
  </si>
  <si>
    <t>Freight Revenue</t>
  </si>
  <si>
    <t>EPS</t>
  </si>
  <si>
    <t>Mobility Growth</t>
  </si>
  <si>
    <t>Deleivery Growth</t>
  </si>
  <si>
    <t>Freight Growth</t>
  </si>
  <si>
    <t>Revenue Growth</t>
  </si>
  <si>
    <t>Gross Margin</t>
  </si>
  <si>
    <t>Operating Margin</t>
  </si>
  <si>
    <t>Tax Rate</t>
  </si>
  <si>
    <t xml:space="preserve">Acquistion of Expedia -&gt; canceld </t>
  </si>
  <si>
    <t>Segments</t>
  </si>
  <si>
    <t>Mobility</t>
  </si>
  <si>
    <t>Delivery</t>
  </si>
  <si>
    <t>Freight Platform</t>
  </si>
  <si>
    <t>MAPCs</t>
  </si>
  <si>
    <t>Trips</t>
  </si>
  <si>
    <t>Gross Bookings</t>
  </si>
  <si>
    <t>FY19</t>
  </si>
  <si>
    <t>FY20</t>
  </si>
  <si>
    <t>FY21</t>
  </si>
  <si>
    <t>FY22</t>
  </si>
  <si>
    <t>FY23</t>
  </si>
  <si>
    <t>FY24</t>
  </si>
  <si>
    <t>MPACs Growth</t>
  </si>
  <si>
    <t>Trip Growth</t>
  </si>
  <si>
    <t>Booking Growth</t>
  </si>
  <si>
    <t>Income from Investments</t>
  </si>
  <si>
    <t>Take Rate</t>
  </si>
  <si>
    <t>Q125</t>
  </si>
  <si>
    <t>Q225</t>
  </si>
  <si>
    <t>Q325</t>
  </si>
  <si>
    <t>Q425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</si>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</sst>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6" fillId="0" borderId="0" xfId="2" applyFont="1"/>
    <xf numFmtId="0" fontId="2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/>
    <xf numFmtId="9" fontId="2" fillId="0" borderId="0" xfId="1" applyFont="1"/>
    <xf numFmtId="0" fontId="5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5" fillId="0" borderId="0" xfId="1" applyFont="1"/>
    <xf numFmtId="0" fontId="7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ec.gov/edgar/browse/?CIK=1543151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16416-215A-409B-9E01-599FA4FEB68F}">
  <dimension ref="A1:I13"/>
  <sheetViews>
    <sheetView tabSelected="1" zoomScale="200" zoomScaleNormal="200" workbookViewId="0">
      <selection activeCell="H7" sqref="H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9" x14ac:dyDescent="0.2">
      <c r="A1" s="7" t="s">
        <v>9</v>
      </c>
    </row>
    <row r="2" spans="1:9" x14ac:dyDescent="0.2">
      <c r="A2" s="2" t="s">
        <v>0</v>
      </c>
      <c r="G2" s="2" t="s">
        <v>1</v>
      </c>
      <c r="H2" s="2">
        <v>75.69</v>
      </c>
    </row>
    <row r="3" spans="1:9" x14ac:dyDescent="0.2">
      <c r="G3" s="2" t="s">
        <v>2</v>
      </c>
      <c r="H3" s="5">
        <v>2058.1159830000001</v>
      </c>
      <c r="I3" s="12" t="s">
        <v>69</v>
      </c>
    </row>
    <row r="4" spans="1:9" x14ac:dyDescent="0.2">
      <c r="B4" s="2" t="s">
        <v>7</v>
      </c>
      <c r="G4" s="2" t="s">
        <v>3</v>
      </c>
      <c r="H4" s="5">
        <f>+H2*H3</f>
        <v>155778.79875327001</v>
      </c>
    </row>
    <row r="5" spans="1:9" x14ac:dyDescent="0.2">
      <c r="B5" s="1" t="s">
        <v>8</v>
      </c>
      <c r="G5" s="2" t="s">
        <v>4</v>
      </c>
      <c r="H5" s="5">
        <f>7105+528</f>
        <v>7633</v>
      </c>
      <c r="I5" s="12" t="s">
        <v>69</v>
      </c>
    </row>
    <row r="6" spans="1:9" x14ac:dyDescent="0.2">
      <c r="G6" s="2" t="s">
        <v>5</v>
      </c>
      <c r="H6" s="5">
        <v>10521</v>
      </c>
      <c r="I6" s="12" t="s">
        <v>69</v>
      </c>
    </row>
    <row r="7" spans="1:9" x14ac:dyDescent="0.2">
      <c r="B7" s="2" t="s">
        <v>48</v>
      </c>
      <c r="G7" s="2" t="s">
        <v>6</v>
      </c>
      <c r="H7" s="5">
        <f>+H4-H5+H6</f>
        <v>158666.79875327001</v>
      </c>
    </row>
    <row r="8" spans="1:9" x14ac:dyDescent="0.2">
      <c r="B8" s="2" t="s">
        <v>49</v>
      </c>
    </row>
    <row r="9" spans="1:9" x14ac:dyDescent="0.2">
      <c r="B9" s="2" t="s">
        <v>50</v>
      </c>
    </row>
    <row r="10" spans="1:9" x14ac:dyDescent="0.2">
      <c r="B10" s="2" t="s">
        <v>51</v>
      </c>
    </row>
    <row r="12" spans="1:9" x14ac:dyDescent="0.2">
      <c r="B12" s="11" t="s">
        <v>19</v>
      </c>
    </row>
    <row r="13" spans="1:9" x14ac:dyDescent="0.2">
      <c r="B13" s="2" t="s">
        <v>47</v>
      </c>
    </row>
  </sheetData>
  <hyperlinks>
    <hyperlink ref="B5" r:id="rId1" xr:uid="{DE4C75D5-F376-414F-9926-4B782D2E8A1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9A702-87E9-41A0-B660-23DDD0826055}">
  <dimension ref="A1:BK367"/>
  <sheetViews>
    <sheetView zoomScale="200" zoomScaleNormal="200" workbookViewId="0">
      <pane xSplit="2" ySplit="2" topLeftCell="M13" activePane="bottomRight" state="frozen"/>
      <selection pane="topRight" activeCell="C1" sqref="C1"/>
      <selection pane="bottomLeft" activeCell="A3" sqref="A3"/>
      <selection pane="bottomRight" activeCell="M27" sqref="M27"/>
    </sheetView>
  </sheetViews>
  <sheetFormatPr defaultRowHeight="12.75" x14ac:dyDescent="0.2"/>
  <cols>
    <col min="1" max="1" width="4.7109375" style="2" bestFit="1" customWidth="1"/>
    <col min="2" max="2" width="22.5703125" style="2" bestFit="1" customWidth="1"/>
    <col min="3" max="16384" width="9.140625" style="2"/>
  </cols>
  <sheetData>
    <row r="1" spans="1:63" x14ac:dyDescent="0.2">
      <c r="A1" s="1" t="s">
        <v>11</v>
      </c>
    </row>
    <row r="2" spans="1:63" x14ac:dyDescent="0.2">
      <c r="B2" s="3"/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10</v>
      </c>
      <c r="I2" s="4" t="s">
        <v>17</v>
      </c>
      <c r="J2" s="4" t="s">
        <v>18</v>
      </c>
      <c r="K2" s="4" t="s">
        <v>66</v>
      </c>
      <c r="L2" s="4" t="s">
        <v>67</v>
      </c>
      <c r="M2" s="4" t="s">
        <v>68</v>
      </c>
      <c r="N2" s="4" t="s">
        <v>69</v>
      </c>
      <c r="P2" s="4" t="s">
        <v>55</v>
      </c>
      <c r="Q2" s="4" t="s">
        <v>56</v>
      </c>
      <c r="R2" s="4" t="s">
        <v>57</v>
      </c>
      <c r="S2" s="4" t="s">
        <v>58</v>
      </c>
      <c r="T2" s="4" t="s">
        <v>59</v>
      </c>
      <c r="U2" s="4" t="s">
        <v>60</v>
      </c>
      <c r="V2" s="12" t="s">
        <v>70</v>
      </c>
    </row>
    <row r="3" spans="1:63" x14ac:dyDescent="0.2">
      <c r="B3" s="2" t="s">
        <v>52</v>
      </c>
      <c r="C3" s="5">
        <v>130</v>
      </c>
      <c r="D3" s="5">
        <v>137</v>
      </c>
      <c r="E3" s="5">
        <v>142</v>
      </c>
      <c r="F3" s="5">
        <v>150</v>
      </c>
      <c r="G3" s="5">
        <v>149</v>
      </c>
      <c r="H3" s="5">
        <v>156</v>
      </c>
      <c r="I3" s="5">
        <v>161</v>
      </c>
      <c r="J3" s="5">
        <v>171</v>
      </c>
      <c r="K3" s="5">
        <v>149</v>
      </c>
      <c r="L3" s="5">
        <v>180</v>
      </c>
      <c r="M3" s="5">
        <v>189</v>
      </c>
      <c r="N3" s="5">
        <f>+V3</f>
        <v>202</v>
      </c>
      <c r="O3" s="5"/>
      <c r="P3" s="5"/>
      <c r="Q3" s="5"/>
      <c r="R3" s="5">
        <v>118</v>
      </c>
      <c r="S3" s="5">
        <v>131</v>
      </c>
      <c r="T3" s="5">
        <v>150</v>
      </c>
      <c r="U3" s="5">
        <v>171</v>
      </c>
      <c r="V3" s="5">
        <v>202</v>
      </c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</row>
    <row r="4" spans="1:63" x14ac:dyDescent="0.2">
      <c r="B4" s="2" t="s">
        <v>53</v>
      </c>
      <c r="C4" s="5">
        <v>2124</v>
      </c>
      <c r="D4" s="5">
        <v>2282</v>
      </c>
      <c r="E4" s="5">
        <v>2441</v>
      </c>
      <c r="F4" s="5">
        <v>2601</v>
      </c>
      <c r="G4" s="5">
        <v>2572</v>
      </c>
      <c r="H4" s="5">
        <v>2765</v>
      </c>
      <c r="I4" s="5">
        <v>2868</v>
      </c>
      <c r="J4" s="5">
        <v>3068</v>
      </c>
      <c r="K4" s="5">
        <v>2572</v>
      </c>
      <c r="L4" s="5">
        <v>3268</v>
      </c>
      <c r="M4" s="5">
        <v>3512</v>
      </c>
      <c r="N4" s="5">
        <f>+V4-SUM(K4:M4)</f>
        <v>4215</v>
      </c>
      <c r="O4" s="5"/>
      <c r="P4" s="5"/>
      <c r="Q4" s="5"/>
      <c r="R4" s="5">
        <v>6368</v>
      </c>
      <c r="S4" s="5">
        <v>7642</v>
      </c>
      <c r="T4" s="5">
        <v>9488</v>
      </c>
      <c r="U4" s="5">
        <v>11273</v>
      </c>
      <c r="V4" s="5">
        <v>13567</v>
      </c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</row>
    <row r="5" spans="1:63" x14ac:dyDescent="0.2">
      <c r="B5" s="2" t="s">
        <v>54</v>
      </c>
      <c r="C5" s="5">
        <v>31408</v>
      </c>
      <c r="D5" s="5">
        <v>33601</v>
      </c>
      <c r="E5" s="5">
        <v>35281</v>
      </c>
      <c r="F5" s="5">
        <v>37575</v>
      </c>
      <c r="G5" s="5">
        <v>37651</v>
      </c>
      <c r="H5" s="5">
        <v>39952</v>
      </c>
      <c r="I5" s="5">
        <v>40973</v>
      </c>
      <c r="J5" s="5">
        <v>44197</v>
      </c>
      <c r="K5" s="5">
        <v>37651</v>
      </c>
      <c r="L5" s="5">
        <v>46756</v>
      </c>
      <c r="M5" s="5">
        <v>49740</v>
      </c>
      <c r="N5" s="5">
        <f>+V5-SUM(K5:M5)</f>
        <v>59307</v>
      </c>
      <c r="O5" s="5"/>
      <c r="P5" s="5"/>
      <c r="Q5" s="5"/>
      <c r="R5" s="5">
        <v>90415</v>
      </c>
      <c r="S5" s="5">
        <v>115395</v>
      </c>
      <c r="T5" s="5">
        <v>137865</v>
      </c>
      <c r="U5" s="5">
        <v>162773</v>
      </c>
      <c r="V5" s="5">
        <v>193454</v>
      </c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</row>
    <row r="6" spans="1:63" x14ac:dyDescent="0.2">
      <c r="B6" s="2" t="s">
        <v>65</v>
      </c>
      <c r="C6" s="6">
        <f>+C11/C5</f>
        <v>0.28091569026999491</v>
      </c>
      <c r="D6" s="6">
        <f t="shared" ref="D6:N6" si="0">+D11/D5</f>
        <v>0.27469420552959734</v>
      </c>
      <c r="E6" s="6">
        <f t="shared" si="0"/>
        <v>0.26337121963663163</v>
      </c>
      <c r="F6" s="6">
        <f t="shared" si="0"/>
        <v>0.2644311377245509</v>
      </c>
      <c r="G6" s="6">
        <f t="shared" si="0"/>
        <v>0.26907651855196407</v>
      </c>
      <c r="H6" s="6">
        <f t="shared" si="0"/>
        <v>0.26782138566279534</v>
      </c>
      <c r="I6" s="6">
        <f t="shared" si="0"/>
        <v>0.2730578673760769</v>
      </c>
      <c r="J6" s="6">
        <f t="shared" si="0"/>
        <v>0.27058397628798336</v>
      </c>
      <c r="K6" s="6">
        <f t="shared" si="0"/>
        <v>0.30631324533212928</v>
      </c>
      <c r="L6" s="6">
        <f t="shared" si="0"/>
        <v>0.27057489947814184</v>
      </c>
      <c r="M6" s="6">
        <f t="shared" si="0"/>
        <v>0.27074788902291919</v>
      </c>
      <c r="N6" s="6">
        <f t="shared" si="0"/>
        <v>0.24223110256799366</v>
      </c>
      <c r="O6" s="5"/>
      <c r="P6" s="6" t="e">
        <f t="shared" ref="P6" si="1">+P11/P5</f>
        <v>#DIV/0!</v>
      </c>
      <c r="Q6" s="6" t="e">
        <f t="shared" ref="Q6" si="2">+Q11/Q5</f>
        <v>#DIV/0!</v>
      </c>
      <c r="R6" s="6">
        <f t="shared" ref="R6" si="3">+R11/R5</f>
        <v>0.19305424984792346</v>
      </c>
      <c r="S6" s="6">
        <f t="shared" ref="S6" si="4">+S11/S5</f>
        <v>0.27624247151089737</v>
      </c>
      <c r="T6" s="6">
        <f t="shared" ref="T6" si="5">+T11/T5</f>
        <v>0.27041671200087042</v>
      </c>
      <c r="U6" s="6">
        <f t="shared" ref="U6:V6" si="6">+U11/U5</f>
        <v>0.27017994384818123</v>
      </c>
      <c r="V6" s="6">
        <f t="shared" si="6"/>
        <v>0.26888562655721776</v>
      </c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</row>
    <row r="7" spans="1:63" x14ac:dyDescent="0.2"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</row>
    <row r="8" spans="1:63" x14ac:dyDescent="0.2">
      <c r="B8" s="2" t="s">
        <v>36</v>
      </c>
      <c r="C8" s="5">
        <v>4330</v>
      </c>
      <c r="D8" s="5">
        <v>4894</v>
      </c>
      <c r="E8" s="5">
        <v>5071</v>
      </c>
      <c r="F8" s="5">
        <f>+T8-SUM(C8:E8)</f>
        <v>5537</v>
      </c>
      <c r="G8" s="5">
        <v>5633</v>
      </c>
      <c r="H8" s="5">
        <v>6134</v>
      </c>
      <c r="I8" s="5">
        <v>6409</v>
      </c>
      <c r="J8" s="5">
        <f>+U8-SUM(G8:I8)</f>
        <v>6911</v>
      </c>
      <c r="K8" s="5">
        <v>6496</v>
      </c>
      <c r="L8" s="5">
        <v>7288</v>
      </c>
      <c r="M8" s="5">
        <v>7682</v>
      </c>
      <c r="N8" s="5">
        <f>+V8-SUM(K8:M8)</f>
        <v>8204</v>
      </c>
      <c r="O8" s="5"/>
      <c r="P8" s="5"/>
      <c r="Q8" s="5"/>
      <c r="R8" s="5">
        <v>6953</v>
      </c>
      <c r="S8" s="5">
        <v>14029</v>
      </c>
      <c r="T8" s="5">
        <v>19832</v>
      </c>
      <c r="U8" s="5">
        <v>25087</v>
      </c>
      <c r="V8" s="5">
        <v>29670</v>
      </c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</row>
    <row r="9" spans="1:63" x14ac:dyDescent="0.2">
      <c r="B9" s="2" t="s">
        <v>37</v>
      </c>
      <c r="C9" s="5">
        <v>3093</v>
      </c>
      <c r="D9" s="5">
        <v>3057</v>
      </c>
      <c r="E9" s="5">
        <v>2935</v>
      </c>
      <c r="F9" s="5">
        <f t="shared" ref="F9:F26" si="7">+T9-SUM(C9:E9)</f>
        <v>3119</v>
      </c>
      <c r="G9" s="5">
        <v>3214</v>
      </c>
      <c r="H9" s="5">
        <v>3293</v>
      </c>
      <c r="I9" s="5">
        <v>3470</v>
      </c>
      <c r="J9" s="5">
        <f t="shared" ref="J9:J26" si="8">+U9-SUM(G9:I9)</f>
        <v>3773</v>
      </c>
      <c r="K9" s="5">
        <v>3777</v>
      </c>
      <c r="L9" s="5">
        <v>4102</v>
      </c>
      <c r="M9" s="5">
        <v>4477</v>
      </c>
      <c r="N9" s="5">
        <f>+V9-SUM(K9:M9)</f>
        <v>4892</v>
      </c>
      <c r="O9" s="5"/>
      <c r="P9" s="5"/>
      <c r="Q9" s="5"/>
      <c r="R9" s="5">
        <v>8362</v>
      </c>
      <c r="S9" s="5">
        <v>10901</v>
      </c>
      <c r="T9" s="5">
        <v>12204</v>
      </c>
      <c r="U9" s="5">
        <v>13750</v>
      </c>
      <c r="V9" s="5">
        <v>17248</v>
      </c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</row>
    <row r="10" spans="1:63" x14ac:dyDescent="0.2">
      <c r="B10" s="2" t="s">
        <v>38</v>
      </c>
      <c r="C10" s="5">
        <v>1400</v>
      </c>
      <c r="D10" s="5">
        <v>1279</v>
      </c>
      <c r="E10" s="5">
        <v>1286</v>
      </c>
      <c r="F10" s="5">
        <f t="shared" si="7"/>
        <v>1280</v>
      </c>
      <c r="G10" s="5">
        <v>1284</v>
      </c>
      <c r="H10" s="5">
        <v>1273</v>
      </c>
      <c r="I10" s="5">
        <v>1309</v>
      </c>
      <c r="J10" s="5">
        <f t="shared" si="8"/>
        <v>1275</v>
      </c>
      <c r="K10" s="5">
        <v>1260</v>
      </c>
      <c r="L10" s="5">
        <v>1261</v>
      </c>
      <c r="M10" s="5">
        <v>1308</v>
      </c>
      <c r="N10" s="5">
        <f>+V10-SUM(K10:M10)</f>
        <v>1270</v>
      </c>
      <c r="O10" s="5"/>
      <c r="P10" s="5"/>
      <c r="Q10" s="5"/>
      <c r="R10" s="5">
        <f>2132+8</f>
        <v>2140</v>
      </c>
      <c r="S10" s="5">
        <v>6947</v>
      </c>
      <c r="T10" s="5">
        <v>5245</v>
      </c>
      <c r="U10" s="5">
        <v>5141</v>
      </c>
      <c r="V10" s="5">
        <v>5099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</row>
    <row r="11" spans="1:63" x14ac:dyDescent="0.2">
      <c r="B11" s="7" t="s">
        <v>25</v>
      </c>
      <c r="C11" s="8">
        <v>8823</v>
      </c>
      <c r="D11" s="8">
        <v>9230</v>
      </c>
      <c r="E11" s="8">
        <v>9292</v>
      </c>
      <c r="F11" s="8">
        <f t="shared" si="7"/>
        <v>9936</v>
      </c>
      <c r="G11" s="8">
        <v>10131</v>
      </c>
      <c r="H11" s="8">
        <v>10700</v>
      </c>
      <c r="I11" s="8">
        <v>11188</v>
      </c>
      <c r="J11" s="8">
        <f t="shared" si="8"/>
        <v>11959</v>
      </c>
      <c r="K11" s="8">
        <v>11533</v>
      </c>
      <c r="L11" s="8">
        <v>12651</v>
      </c>
      <c r="M11" s="8">
        <v>13467</v>
      </c>
      <c r="N11" s="8">
        <f>+V11-SUM(K11:M11)</f>
        <v>14366</v>
      </c>
      <c r="O11" s="8"/>
      <c r="P11" s="8"/>
      <c r="Q11" s="8">
        <v>11139</v>
      </c>
      <c r="R11" s="8">
        <v>17455</v>
      </c>
      <c r="S11" s="8">
        <v>31877</v>
      </c>
      <c r="T11" s="8">
        <v>37281</v>
      </c>
      <c r="U11" s="8">
        <v>43978</v>
      </c>
      <c r="V11" s="8">
        <v>52017</v>
      </c>
      <c r="W11" s="8"/>
      <c r="X11" s="8"/>
      <c r="Y11" s="8"/>
      <c r="Z11" s="8"/>
      <c r="AA11" s="8"/>
      <c r="AB11" s="8"/>
      <c r="AC11" s="8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</row>
    <row r="12" spans="1:63" x14ac:dyDescent="0.2">
      <c r="B12" s="2" t="s">
        <v>26</v>
      </c>
      <c r="C12" s="5">
        <v>5259</v>
      </c>
      <c r="D12" s="5">
        <v>5515</v>
      </c>
      <c r="E12" s="5">
        <v>5626</v>
      </c>
      <c r="F12" s="5">
        <f t="shared" si="7"/>
        <v>6057</v>
      </c>
      <c r="G12" s="5">
        <v>6168</v>
      </c>
      <c r="H12" s="5">
        <v>6488</v>
      </c>
      <c r="I12" s="5">
        <v>6761</v>
      </c>
      <c r="J12" s="5">
        <f t="shared" si="8"/>
        <v>7234</v>
      </c>
      <c r="K12" s="5">
        <v>6937</v>
      </c>
      <c r="L12" s="5">
        <v>7611</v>
      </c>
      <c r="M12" s="5">
        <v>8109</v>
      </c>
      <c r="N12" s="5">
        <f>+V12-SUM(K12:M12)</f>
        <v>8681</v>
      </c>
      <c r="O12" s="5"/>
      <c r="P12" s="5"/>
      <c r="Q12" s="5">
        <v>5154</v>
      </c>
      <c r="R12" s="5">
        <v>9351</v>
      </c>
      <c r="S12" s="5">
        <v>19659</v>
      </c>
      <c r="T12" s="5">
        <v>22457</v>
      </c>
      <c r="U12" s="5">
        <v>26651</v>
      </c>
      <c r="V12" s="5">
        <v>31338</v>
      </c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</row>
    <row r="13" spans="1:63" x14ac:dyDescent="0.2">
      <c r="B13" s="2" t="s">
        <v>27</v>
      </c>
      <c r="C13" s="5">
        <f t="shared" ref="C13:G13" si="9">+C11-C12</f>
        <v>3564</v>
      </c>
      <c r="D13" s="5">
        <f t="shared" si="9"/>
        <v>3715</v>
      </c>
      <c r="E13" s="5">
        <f t="shared" si="9"/>
        <v>3666</v>
      </c>
      <c r="F13" s="5">
        <f t="shared" si="9"/>
        <v>3879</v>
      </c>
      <c r="G13" s="5">
        <f t="shared" si="9"/>
        <v>3963</v>
      </c>
      <c r="H13" s="5">
        <f>+H11-H12</f>
        <v>4212</v>
      </c>
      <c r="I13" s="5">
        <f t="shared" ref="I13:L13" si="10">+I11-I12</f>
        <v>4427</v>
      </c>
      <c r="J13" s="5">
        <f t="shared" si="10"/>
        <v>4725</v>
      </c>
      <c r="K13" s="5">
        <f t="shared" si="10"/>
        <v>4596</v>
      </c>
      <c r="L13" s="5">
        <f t="shared" si="10"/>
        <v>5040</v>
      </c>
      <c r="M13" s="5">
        <f>+M11-M12</f>
        <v>5358</v>
      </c>
      <c r="N13" s="5">
        <f>+N11-N12</f>
        <v>5685</v>
      </c>
      <c r="O13" s="5"/>
      <c r="P13" s="5">
        <f t="shared" ref="P13:S13" si="11">+P11-P12</f>
        <v>0</v>
      </c>
      <c r="Q13" s="5">
        <f t="shared" si="11"/>
        <v>5985</v>
      </c>
      <c r="R13" s="5">
        <f t="shared" si="11"/>
        <v>8104</v>
      </c>
      <c r="S13" s="5">
        <f t="shared" si="11"/>
        <v>12218</v>
      </c>
      <c r="T13" s="5">
        <f>+T11-T12</f>
        <v>14824</v>
      </c>
      <c r="U13" s="5">
        <f>+U11-U12</f>
        <v>17327</v>
      </c>
      <c r="V13" s="5">
        <f>+V11-V12</f>
        <v>20679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</row>
    <row r="14" spans="1:63" x14ac:dyDescent="0.2">
      <c r="B14" s="2" t="s">
        <v>28</v>
      </c>
      <c r="C14" s="5">
        <v>640</v>
      </c>
      <c r="D14" s="5">
        <v>664</v>
      </c>
      <c r="E14" s="5">
        <v>683</v>
      </c>
      <c r="F14" s="5">
        <f t="shared" si="7"/>
        <v>702</v>
      </c>
      <c r="G14" s="5">
        <v>685</v>
      </c>
      <c r="H14" s="5">
        <v>687</v>
      </c>
      <c r="I14" s="5">
        <v>687</v>
      </c>
      <c r="J14" s="5">
        <f t="shared" si="8"/>
        <v>673</v>
      </c>
      <c r="K14" s="5">
        <v>668</v>
      </c>
      <c r="L14" s="5">
        <v>696</v>
      </c>
      <c r="M14" s="5">
        <v>735</v>
      </c>
      <c r="N14" s="5">
        <f>+V14-SUM(K14:M14)</f>
        <v>755</v>
      </c>
      <c r="O14" s="5"/>
      <c r="P14" s="5"/>
      <c r="Q14" s="5">
        <v>1819</v>
      </c>
      <c r="R14" s="5">
        <v>1877</v>
      </c>
      <c r="S14" s="5">
        <v>2413</v>
      </c>
      <c r="T14" s="5">
        <v>2689</v>
      </c>
      <c r="U14" s="5">
        <v>2732</v>
      </c>
      <c r="V14" s="5">
        <v>2854</v>
      </c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</row>
    <row r="15" spans="1:63" x14ac:dyDescent="0.2">
      <c r="B15" s="2" t="s">
        <v>31</v>
      </c>
      <c r="C15" s="5">
        <v>1262</v>
      </c>
      <c r="D15" s="5">
        <v>1218</v>
      </c>
      <c r="E15" s="5">
        <v>941</v>
      </c>
      <c r="F15" s="5">
        <f t="shared" si="7"/>
        <v>935</v>
      </c>
      <c r="G15" s="5">
        <v>917</v>
      </c>
      <c r="H15" s="5">
        <v>1115</v>
      </c>
      <c r="I15" s="5">
        <v>1096</v>
      </c>
      <c r="J15" s="5">
        <f t="shared" si="8"/>
        <v>1209</v>
      </c>
      <c r="K15" s="5">
        <v>1057</v>
      </c>
      <c r="L15" s="5">
        <v>1210</v>
      </c>
      <c r="M15" s="5">
        <v>1277</v>
      </c>
      <c r="N15" s="5">
        <f>+V15-SUM(K15:M15)</f>
        <v>1354</v>
      </c>
      <c r="O15" s="5"/>
      <c r="P15" s="5"/>
      <c r="Q15" s="5">
        <v>3583</v>
      </c>
      <c r="R15" s="5">
        <v>4789</v>
      </c>
      <c r="S15" s="5">
        <v>4756</v>
      </c>
      <c r="T15" s="5">
        <v>4356</v>
      </c>
      <c r="U15" s="5">
        <v>4337</v>
      </c>
      <c r="V15" s="5">
        <v>4898</v>
      </c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</row>
    <row r="16" spans="1:63" x14ac:dyDescent="0.2">
      <c r="B16" s="2" t="s">
        <v>30</v>
      </c>
      <c r="C16" s="5">
        <v>775</v>
      </c>
      <c r="D16" s="5">
        <v>808</v>
      </c>
      <c r="E16" s="5">
        <v>797</v>
      </c>
      <c r="F16" s="5">
        <f t="shared" si="7"/>
        <v>784</v>
      </c>
      <c r="G16" s="5">
        <v>790</v>
      </c>
      <c r="H16" s="5">
        <v>760</v>
      </c>
      <c r="I16" s="5">
        <v>774</v>
      </c>
      <c r="J16" s="5">
        <f t="shared" si="8"/>
        <v>785</v>
      </c>
      <c r="K16" s="5">
        <v>815</v>
      </c>
      <c r="L16" s="5">
        <v>840</v>
      </c>
      <c r="M16" s="5">
        <v>862</v>
      </c>
      <c r="N16" s="5">
        <f>+V16-SUM(K16:M16)</f>
        <v>885</v>
      </c>
      <c r="O16" s="5"/>
      <c r="P16" s="5"/>
      <c r="Q16" s="5">
        <v>2205</v>
      </c>
      <c r="R16" s="5">
        <v>2054</v>
      </c>
      <c r="S16" s="5">
        <v>2798</v>
      </c>
      <c r="T16" s="5">
        <v>3164</v>
      </c>
      <c r="U16" s="5">
        <v>3109</v>
      </c>
      <c r="V16" s="5">
        <v>3402</v>
      </c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</row>
    <row r="17" spans="2:63" x14ac:dyDescent="0.2">
      <c r="B17" s="2" t="s">
        <v>29</v>
      </c>
      <c r="C17" s="5">
        <v>942</v>
      </c>
      <c r="D17" s="5">
        <v>491</v>
      </c>
      <c r="E17" s="5">
        <v>646</v>
      </c>
      <c r="F17" s="5">
        <f t="shared" si="7"/>
        <v>603</v>
      </c>
      <c r="G17" s="5">
        <v>1209</v>
      </c>
      <c r="H17" s="5">
        <v>686</v>
      </c>
      <c r="I17" s="5">
        <v>630</v>
      </c>
      <c r="J17" s="5">
        <f t="shared" si="8"/>
        <v>1114</v>
      </c>
      <c r="K17" s="5">
        <v>657</v>
      </c>
      <c r="L17" s="5">
        <v>669</v>
      </c>
      <c r="M17" s="5">
        <v>1183</v>
      </c>
      <c r="N17" s="5">
        <f>+V17-SUM(K17:M17)</f>
        <v>732</v>
      </c>
      <c r="O17" s="5"/>
      <c r="P17" s="5"/>
      <c r="Q17" s="5">
        <v>2666</v>
      </c>
      <c r="R17" s="5">
        <v>2316</v>
      </c>
      <c r="S17" s="5">
        <v>3136</v>
      </c>
      <c r="T17" s="5">
        <v>2682</v>
      </c>
      <c r="U17" s="5">
        <v>3639</v>
      </c>
      <c r="V17" s="5">
        <v>3241</v>
      </c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</row>
    <row r="18" spans="2:63" x14ac:dyDescent="0.2">
      <c r="B18" s="2" t="s">
        <v>24</v>
      </c>
      <c r="C18" s="5">
        <v>207</v>
      </c>
      <c r="D18" s="5">
        <v>208</v>
      </c>
      <c r="E18" s="5">
        <v>205</v>
      </c>
      <c r="F18" s="5">
        <f t="shared" si="7"/>
        <v>203</v>
      </c>
      <c r="G18" s="5">
        <v>190</v>
      </c>
      <c r="H18" s="5">
        <v>173</v>
      </c>
      <c r="I18" s="5">
        <v>179</v>
      </c>
      <c r="J18" s="5">
        <f t="shared" si="8"/>
        <v>169</v>
      </c>
      <c r="K18" s="5">
        <v>171</v>
      </c>
      <c r="L18" s="5">
        <v>175</v>
      </c>
      <c r="M18" s="5">
        <v>188</v>
      </c>
      <c r="N18" s="5">
        <f>+V18-SUM(K18:M18)</f>
        <v>185</v>
      </c>
      <c r="O18" s="5"/>
      <c r="P18" s="5"/>
      <c r="Q18" s="5">
        <v>575</v>
      </c>
      <c r="R18" s="5">
        <v>902</v>
      </c>
      <c r="S18" s="5">
        <v>947</v>
      </c>
      <c r="T18" s="5">
        <v>823</v>
      </c>
      <c r="U18" s="5">
        <v>711</v>
      </c>
      <c r="V18" s="5">
        <v>719</v>
      </c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</row>
    <row r="19" spans="2:63" x14ac:dyDescent="0.2">
      <c r="B19" s="2" t="s">
        <v>23</v>
      </c>
      <c r="C19" s="5">
        <f t="shared" ref="C19:G19" si="12">+C13-SUM(C14:C18)</f>
        <v>-262</v>
      </c>
      <c r="D19" s="5">
        <f t="shared" si="12"/>
        <v>326</v>
      </c>
      <c r="E19" s="5">
        <f t="shared" si="12"/>
        <v>394</v>
      </c>
      <c r="F19" s="5">
        <f t="shared" si="12"/>
        <v>652</v>
      </c>
      <c r="G19" s="5">
        <f t="shared" si="12"/>
        <v>172</v>
      </c>
      <c r="H19" s="5">
        <f>+H13-SUM(H14:H18)</f>
        <v>791</v>
      </c>
      <c r="I19" s="5">
        <f t="shared" ref="I19:V19" si="13">+I13-SUM(I14:I18)</f>
        <v>1061</v>
      </c>
      <c r="J19" s="5">
        <f t="shared" si="13"/>
        <v>775</v>
      </c>
      <c r="K19" s="5">
        <f t="shared" si="13"/>
        <v>1228</v>
      </c>
      <c r="L19" s="5">
        <f t="shared" si="13"/>
        <v>1450</v>
      </c>
      <c r="M19" s="5">
        <f t="shared" si="13"/>
        <v>1113</v>
      </c>
      <c r="N19" s="5">
        <f t="shared" si="13"/>
        <v>1774</v>
      </c>
      <c r="O19" s="5"/>
      <c r="P19" s="5">
        <f t="shared" si="13"/>
        <v>0</v>
      </c>
      <c r="Q19" s="5">
        <f t="shared" si="13"/>
        <v>-4863</v>
      </c>
      <c r="R19" s="5">
        <f t="shared" si="13"/>
        <v>-3834</v>
      </c>
      <c r="S19" s="5">
        <f t="shared" si="13"/>
        <v>-1832</v>
      </c>
      <c r="T19" s="5">
        <f>+T13-SUM(T14:T18)</f>
        <v>1110</v>
      </c>
      <c r="U19" s="5">
        <f t="shared" si="13"/>
        <v>2799</v>
      </c>
      <c r="V19" s="5">
        <f t="shared" si="13"/>
        <v>5565</v>
      </c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</row>
    <row r="20" spans="2:63" x14ac:dyDescent="0.2">
      <c r="B20" s="2" t="s">
        <v>22</v>
      </c>
      <c r="C20" s="5"/>
      <c r="D20" s="5">
        <v>144</v>
      </c>
      <c r="E20" s="5">
        <v>166</v>
      </c>
      <c r="F20" s="5">
        <f t="shared" si="7"/>
        <v>323</v>
      </c>
      <c r="G20" s="5">
        <v>124</v>
      </c>
      <c r="H20" s="5">
        <v>139</v>
      </c>
      <c r="I20" s="5">
        <v>143</v>
      </c>
      <c r="J20" s="5">
        <f t="shared" si="8"/>
        <v>117</v>
      </c>
      <c r="K20" s="5">
        <v>105</v>
      </c>
      <c r="L20" s="5">
        <v>108</v>
      </c>
      <c r="M20" s="5">
        <v>112</v>
      </c>
      <c r="N20" s="5">
        <f>+V20-SUM(K20:M20)</f>
        <v>115</v>
      </c>
      <c r="O20" s="5"/>
      <c r="P20" s="5"/>
      <c r="Q20" s="5">
        <v>458</v>
      </c>
      <c r="R20" s="5">
        <v>483</v>
      </c>
      <c r="S20" s="5">
        <v>565</v>
      </c>
      <c r="T20" s="5">
        <v>633</v>
      </c>
      <c r="U20" s="5">
        <v>523</v>
      </c>
      <c r="V20" s="5">
        <v>440</v>
      </c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</row>
    <row r="21" spans="2:63" x14ac:dyDescent="0.2">
      <c r="B21" s="2" t="s">
        <v>21</v>
      </c>
      <c r="C21" s="5"/>
      <c r="D21" s="5">
        <v>273</v>
      </c>
      <c r="E21" s="5">
        <v>-52</v>
      </c>
      <c r="F21" s="5">
        <f t="shared" si="7"/>
        <v>1623</v>
      </c>
      <c r="G21" s="5">
        <v>-678</v>
      </c>
      <c r="H21" s="5">
        <v>420</v>
      </c>
      <c r="I21" s="5">
        <v>1851</v>
      </c>
      <c r="J21" s="5">
        <f t="shared" si="8"/>
        <v>256</v>
      </c>
      <c r="K21" s="5">
        <v>262</v>
      </c>
      <c r="L21" s="5">
        <v>162</v>
      </c>
      <c r="M21" s="5">
        <v>1619</v>
      </c>
      <c r="N21" s="5">
        <f>+V21-SUM(K21:M21)</f>
        <v>-1368</v>
      </c>
      <c r="O21" s="5"/>
      <c r="P21" s="5"/>
      <c r="Q21" s="5">
        <v>-1625</v>
      </c>
      <c r="R21" s="5">
        <v>3292</v>
      </c>
      <c r="S21" s="5">
        <v>-7029</v>
      </c>
      <c r="T21" s="5">
        <v>1844</v>
      </c>
      <c r="U21" s="5">
        <v>1849</v>
      </c>
      <c r="V21" s="13">
        <f>743-68</f>
        <v>675</v>
      </c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</row>
    <row r="22" spans="2:63" x14ac:dyDescent="0.2">
      <c r="B22" s="2" t="s">
        <v>20</v>
      </c>
      <c r="C22" s="5">
        <f t="shared" ref="C22:G22" si="14">+C19-C20+C21</f>
        <v>-262</v>
      </c>
      <c r="D22" s="5">
        <f t="shared" si="14"/>
        <v>455</v>
      </c>
      <c r="E22" s="5">
        <f t="shared" si="14"/>
        <v>176</v>
      </c>
      <c r="F22" s="5">
        <f t="shared" si="14"/>
        <v>1952</v>
      </c>
      <c r="G22" s="5">
        <f t="shared" si="14"/>
        <v>-630</v>
      </c>
      <c r="H22" s="5">
        <f>+H19-H20+H21</f>
        <v>1072</v>
      </c>
      <c r="I22" s="5">
        <f>+I19-I20+I21</f>
        <v>2769</v>
      </c>
      <c r="J22" s="5">
        <f t="shared" ref="J22:V22" si="15">+J19-J20+J21</f>
        <v>914</v>
      </c>
      <c r="K22" s="5">
        <f t="shared" si="15"/>
        <v>1385</v>
      </c>
      <c r="L22" s="5">
        <f t="shared" si="15"/>
        <v>1504</v>
      </c>
      <c r="M22" s="5">
        <f t="shared" si="15"/>
        <v>2620</v>
      </c>
      <c r="N22" s="5">
        <f t="shared" si="15"/>
        <v>291</v>
      </c>
      <c r="O22" s="5"/>
      <c r="P22" s="5">
        <f t="shared" si="15"/>
        <v>0</v>
      </c>
      <c r="Q22" s="5">
        <f t="shared" si="15"/>
        <v>-6946</v>
      </c>
      <c r="R22" s="5">
        <f t="shared" si="15"/>
        <v>-1025</v>
      </c>
      <c r="S22" s="5">
        <f t="shared" si="15"/>
        <v>-9426</v>
      </c>
      <c r="T22" s="5">
        <f t="shared" si="15"/>
        <v>2321</v>
      </c>
      <c r="U22" s="5">
        <f t="shared" si="15"/>
        <v>4125</v>
      </c>
      <c r="V22" s="5">
        <f t="shared" si="15"/>
        <v>5800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</row>
    <row r="23" spans="2:63" x14ac:dyDescent="0.2">
      <c r="B23" s="2" t="s">
        <v>33</v>
      </c>
      <c r="C23" s="5"/>
      <c r="D23" s="5">
        <v>65</v>
      </c>
      <c r="E23" s="5">
        <v>-40</v>
      </c>
      <c r="F23" s="5">
        <f t="shared" si="7"/>
        <v>188</v>
      </c>
      <c r="G23" s="5">
        <v>29</v>
      </c>
      <c r="H23" s="5">
        <v>57</v>
      </c>
      <c r="I23" s="5">
        <v>158</v>
      </c>
      <c r="J23" s="5">
        <f t="shared" si="8"/>
        <v>-6002</v>
      </c>
      <c r="K23" s="5">
        <v>-402</v>
      </c>
      <c r="L23" s="5">
        <v>142</v>
      </c>
      <c r="M23" s="5">
        <v>-4046</v>
      </c>
      <c r="N23" s="5">
        <f>+V23-SUM(K23:M23)</f>
        <v>-40</v>
      </c>
      <c r="O23" s="5"/>
      <c r="P23" s="5"/>
      <c r="Q23" s="5">
        <v>-192</v>
      </c>
      <c r="R23" s="5">
        <v>-492</v>
      </c>
      <c r="S23" s="5">
        <v>-181</v>
      </c>
      <c r="T23" s="5">
        <v>213</v>
      </c>
      <c r="U23" s="5">
        <v>-5758</v>
      </c>
      <c r="V23" s="5">
        <v>-4346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</row>
    <row r="24" spans="2:63" x14ac:dyDescent="0.2">
      <c r="B24" s="2" t="s">
        <v>64</v>
      </c>
      <c r="C24" s="5"/>
      <c r="D24" s="5">
        <v>4</v>
      </c>
      <c r="E24" s="5">
        <v>3</v>
      </c>
      <c r="F24" s="5">
        <f t="shared" si="7"/>
        <v>41</v>
      </c>
      <c r="G24" s="5">
        <v>-4</v>
      </c>
      <c r="H24" s="5">
        <v>-12</v>
      </c>
      <c r="I24" s="5">
        <v>-12</v>
      </c>
      <c r="J24" s="5">
        <f t="shared" si="8"/>
        <v>-10</v>
      </c>
      <c r="K24" s="5">
        <v>-13</v>
      </c>
      <c r="L24" s="5">
        <v>-12</v>
      </c>
      <c r="M24" s="5">
        <v>-14</v>
      </c>
      <c r="N24" s="5">
        <f>+V24-SUM(K24:M24)</f>
        <v>-14</v>
      </c>
      <c r="O24" s="5"/>
      <c r="P24" s="5"/>
      <c r="Q24" s="5">
        <v>-34</v>
      </c>
      <c r="R24" s="5">
        <v>-37</v>
      </c>
      <c r="S24" s="5">
        <v>107</v>
      </c>
      <c r="T24" s="5">
        <v>48</v>
      </c>
      <c r="U24" s="5">
        <v>-38</v>
      </c>
      <c r="V24" s="5">
        <v>-53</v>
      </c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</row>
    <row r="25" spans="2:63" x14ac:dyDescent="0.2">
      <c r="B25" s="2" t="s">
        <v>32</v>
      </c>
      <c r="C25" s="5">
        <f t="shared" ref="C25:G25" si="16">+C22-C23+C24</f>
        <v>-262</v>
      </c>
      <c r="D25" s="5">
        <f t="shared" si="16"/>
        <v>394</v>
      </c>
      <c r="E25" s="5">
        <f t="shared" si="16"/>
        <v>219</v>
      </c>
      <c r="F25" s="5">
        <f t="shared" si="16"/>
        <v>1805</v>
      </c>
      <c r="G25" s="5">
        <f t="shared" si="16"/>
        <v>-663</v>
      </c>
      <c r="H25" s="5">
        <f>+H22-H23+H24</f>
        <v>1003</v>
      </c>
      <c r="I25" s="5">
        <f>+I22-I23+I24</f>
        <v>2599</v>
      </c>
      <c r="J25" s="5">
        <f t="shared" ref="J25:V25" si="17">+J22-J23+J24</f>
        <v>6906</v>
      </c>
      <c r="K25" s="5">
        <f t="shared" si="17"/>
        <v>1774</v>
      </c>
      <c r="L25" s="5">
        <f t="shared" si="17"/>
        <v>1350</v>
      </c>
      <c r="M25" s="5">
        <f t="shared" si="17"/>
        <v>6652</v>
      </c>
      <c r="N25" s="5">
        <f t="shared" si="17"/>
        <v>317</v>
      </c>
      <c r="O25" s="5"/>
      <c r="P25" s="5">
        <f t="shared" si="17"/>
        <v>0</v>
      </c>
      <c r="Q25" s="5">
        <f t="shared" si="17"/>
        <v>-6788</v>
      </c>
      <c r="R25" s="5">
        <f t="shared" si="17"/>
        <v>-570</v>
      </c>
      <c r="S25" s="5">
        <f t="shared" si="17"/>
        <v>-9138</v>
      </c>
      <c r="T25" s="5">
        <f t="shared" si="17"/>
        <v>2156</v>
      </c>
      <c r="U25" s="5">
        <f t="shared" si="17"/>
        <v>9845</v>
      </c>
      <c r="V25" s="5">
        <f t="shared" si="17"/>
        <v>10093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</row>
    <row r="26" spans="2:63" x14ac:dyDescent="0.2">
      <c r="B26" s="2" t="s">
        <v>34</v>
      </c>
      <c r="C26" s="5"/>
      <c r="D26" s="5">
        <v>0</v>
      </c>
      <c r="E26" s="5">
        <v>2</v>
      </c>
      <c r="F26" s="5">
        <f t="shared" si="7"/>
        <v>267</v>
      </c>
      <c r="G26" s="5">
        <v>-9</v>
      </c>
      <c r="H26" s="5">
        <v>-7</v>
      </c>
      <c r="I26" s="5">
        <v>13</v>
      </c>
      <c r="J26" s="5">
        <f t="shared" si="8"/>
        <v>-8</v>
      </c>
      <c r="K26" s="5">
        <v>-2</v>
      </c>
      <c r="L26" s="5">
        <v>-5</v>
      </c>
      <c r="M26" s="5">
        <v>26</v>
      </c>
      <c r="N26" s="5">
        <f>+V26-SUM(K26:M26)</f>
        <v>21</v>
      </c>
      <c r="O26" s="5"/>
      <c r="P26" s="5"/>
      <c r="Q26" s="5">
        <v>-20</v>
      </c>
      <c r="R26" s="5">
        <v>-74</v>
      </c>
      <c r="S26" s="5">
        <v>3</v>
      </c>
      <c r="T26" s="5">
        <v>269</v>
      </c>
      <c r="U26" s="5">
        <v>-11</v>
      </c>
      <c r="V26" s="5">
        <v>40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</row>
    <row r="27" spans="2:63" x14ac:dyDescent="0.2">
      <c r="B27" s="2" t="s">
        <v>35</v>
      </c>
      <c r="C27" s="5">
        <f t="shared" ref="C27:G27" si="18">+C25-C26</f>
        <v>-262</v>
      </c>
      <c r="D27" s="5">
        <f t="shared" si="18"/>
        <v>394</v>
      </c>
      <c r="E27" s="5">
        <f t="shared" si="18"/>
        <v>217</v>
      </c>
      <c r="F27" s="5">
        <f t="shared" si="18"/>
        <v>1538</v>
      </c>
      <c r="G27" s="5">
        <f t="shared" si="18"/>
        <v>-654</v>
      </c>
      <c r="H27" s="5">
        <f>+H25-H26</f>
        <v>1010</v>
      </c>
      <c r="I27" s="5">
        <f>+I25-I26</f>
        <v>2586</v>
      </c>
      <c r="J27" s="5">
        <f t="shared" ref="J27:V27" si="19">+J25-J26</f>
        <v>6914</v>
      </c>
      <c r="K27" s="5">
        <f t="shared" si="19"/>
        <v>1776</v>
      </c>
      <c r="L27" s="5">
        <f t="shared" si="19"/>
        <v>1355</v>
      </c>
      <c r="M27" s="5">
        <f t="shared" si="19"/>
        <v>6626</v>
      </c>
      <c r="N27" s="5">
        <f t="shared" si="19"/>
        <v>296</v>
      </c>
      <c r="O27" s="5"/>
      <c r="P27" s="5">
        <f t="shared" si="19"/>
        <v>0</v>
      </c>
      <c r="Q27" s="5">
        <f t="shared" si="19"/>
        <v>-6768</v>
      </c>
      <c r="R27" s="5">
        <f t="shared" si="19"/>
        <v>-496</v>
      </c>
      <c r="S27" s="5">
        <f t="shared" si="19"/>
        <v>-9141</v>
      </c>
      <c r="T27" s="5">
        <f t="shared" si="19"/>
        <v>1887</v>
      </c>
      <c r="U27" s="5">
        <f t="shared" si="19"/>
        <v>9856</v>
      </c>
      <c r="V27" s="5">
        <f t="shared" si="19"/>
        <v>10053</v>
      </c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</row>
    <row r="28" spans="2:63" x14ac:dyDescent="0.2"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</row>
    <row r="29" spans="2:63" x14ac:dyDescent="0.2">
      <c r="B29" s="2" t="s">
        <v>39</v>
      </c>
      <c r="C29" s="9">
        <f t="shared" ref="C29:H29" si="20">+C27/C30</f>
        <v>-0.13037699353638638</v>
      </c>
      <c r="D29" s="9">
        <f t="shared" si="20"/>
        <v>0.19439385873289741</v>
      </c>
      <c r="E29" s="9">
        <f t="shared" si="20"/>
        <v>0.10612866119427511</v>
      </c>
      <c r="F29" s="9">
        <f t="shared" si="20"/>
        <v>0.755532259704635</v>
      </c>
      <c r="G29" s="9">
        <f t="shared" si="20"/>
        <v>-0.31465498369711908</v>
      </c>
      <c r="H29" s="9">
        <f t="shared" si="20"/>
        <v>0.48275005018688644</v>
      </c>
      <c r="I29" s="9">
        <f>+I27/I30</f>
        <v>1.2304559253161786</v>
      </c>
      <c r="J29" s="9">
        <f t="shared" ref="J29:N29" si="21">+J27/J30</f>
        <v>3.3008657491972224</v>
      </c>
      <c r="K29" s="9">
        <f t="shared" si="21"/>
        <v>0.84876012203794193</v>
      </c>
      <c r="L29" s="9">
        <f t="shared" si="21"/>
        <v>0.6479824552174781</v>
      </c>
      <c r="M29" s="9">
        <f t="shared" si="21"/>
        <v>3.1791879780057388</v>
      </c>
      <c r="N29" s="9">
        <f t="shared" si="21"/>
        <v>0.14194920232700778</v>
      </c>
      <c r="O29" s="5"/>
      <c r="P29" s="5"/>
      <c r="Q29" s="9">
        <f t="shared" ref="Q29:T29" si="22">+Q27/Q30</f>
        <v>-3.8608981380065717</v>
      </c>
      <c r="R29" s="9">
        <f t="shared" si="22"/>
        <v>-0.26208081600130195</v>
      </c>
      <c r="S29" s="9">
        <f t="shared" si="22"/>
        <v>-4.6350876285601714</v>
      </c>
      <c r="T29" s="9">
        <f t="shared" si="22"/>
        <v>0.92697618599651899</v>
      </c>
      <c r="U29" s="9">
        <f>+U27/U30</f>
        <v>4.7054285253236658</v>
      </c>
      <c r="V29" s="9">
        <f>+V27/V30</f>
        <v>4.8209977398425989</v>
      </c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</row>
    <row r="30" spans="2:63" x14ac:dyDescent="0.2">
      <c r="B30" s="2" t="s">
        <v>2</v>
      </c>
      <c r="C30" s="5">
        <v>2009.557</v>
      </c>
      <c r="D30" s="5">
        <v>2026.8130000000001</v>
      </c>
      <c r="E30" s="5">
        <v>2044.6880000000001</v>
      </c>
      <c r="F30" s="5">
        <f>+T30</f>
        <v>2035.6510000000001</v>
      </c>
      <c r="G30" s="5">
        <v>2078.4670000000001</v>
      </c>
      <c r="H30" s="5">
        <v>2092.1799999999998</v>
      </c>
      <c r="I30" s="5">
        <v>2101.66</v>
      </c>
      <c r="J30" s="5">
        <f>+U30</f>
        <v>2094.6019999999999</v>
      </c>
      <c r="K30" s="5">
        <v>2092.4639999999999</v>
      </c>
      <c r="L30" s="5">
        <v>2091.1060000000002</v>
      </c>
      <c r="M30" s="5">
        <v>2084.1799999999998</v>
      </c>
      <c r="N30" s="5">
        <v>2085.2530000000002</v>
      </c>
      <c r="O30" s="5"/>
      <c r="P30" s="5"/>
      <c r="Q30" s="5">
        <v>1752.96</v>
      </c>
      <c r="R30" s="5">
        <v>1892.546</v>
      </c>
      <c r="S30" s="5">
        <v>1972.1310000000001</v>
      </c>
      <c r="T30" s="5">
        <v>2035.6510000000001</v>
      </c>
      <c r="U30" s="5">
        <v>2094.6019999999999</v>
      </c>
      <c r="V30" s="5">
        <v>2085.2530000000002</v>
      </c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</row>
    <row r="31" spans="2:63" x14ac:dyDescent="0.2"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</row>
    <row r="32" spans="2:63" x14ac:dyDescent="0.2">
      <c r="B32" s="2" t="s">
        <v>61</v>
      </c>
      <c r="C32" s="5"/>
      <c r="D32" s="5"/>
      <c r="E32" s="5"/>
      <c r="F32" s="5"/>
      <c r="G32" s="6">
        <f t="shared" ref="G32:N34" si="23">+G3/C3-1</f>
        <v>0.14615384615384608</v>
      </c>
      <c r="H32" s="6">
        <f t="shared" si="23"/>
        <v>0.13868613138686126</v>
      </c>
      <c r="I32" s="6">
        <f t="shared" si="23"/>
        <v>0.13380281690140849</v>
      </c>
      <c r="J32" s="6">
        <f t="shared" si="23"/>
        <v>0.1399999999999999</v>
      </c>
      <c r="K32" s="6">
        <f t="shared" si="23"/>
        <v>0</v>
      </c>
      <c r="L32" s="6">
        <f t="shared" si="23"/>
        <v>0.15384615384615374</v>
      </c>
      <c r="M32" s="6">
        <f t="shared" si="23"/>
        <v>0.17391304347826098</v>
      </c>
      <c r="N32" s="6">
        <f t="shared" si="23"/>
        <v>0.18128654970760238</v>
      </c>
      <c r="O32" s="5"/>
      <c r="P32" s="5"/>
      <c r="Q32" s="6" t="e">
        <f t="shared" ref="Q32:Q34" si="24">+Q3/P3-1</f>
        <v>#DIV/0!</v>
      </c>
      <c r="R32" s="6" t="e">
        <f t="shared" ref="R32:R34" si="25">+R3/Q3-1</f>
        <v>#DIV/0!</v>
      </c>
      <c r="S32" s="6">
        <f t="shared" ref="S32:S34" si="26">+S3/R3-1</f>
        <v>0.11016949152542366</v>
      </c>
      <c r="T32" s="6">
        <f t="shared" ref="T32" si="27">+T3/S3-1</f>
        <v>0.14503816793893121</v>
      </c>
      <c r="U32" s="6">
        <f>+U3/T3-1</f>
        <v>0.1399999999999999</v>
      </c>
      <c r="V32" s="6">
        <f>+V3/U3-1</f>
        <v>0.18128654970760238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</row>
    <row r="33" spans="2:63" x14ac:dyDescent="0.2">
      <c r="B33" s="2" t="s">
        <v>62</v>
      </c>
      <c r="C33" s="5"/>
      <c r="D33" s="5"/>
      <c r="E33" s="5"/>
      <c r="F33" s="5"/>
      <c r="G33" s="6">
        <f t="shared" si="23"/>
        <v>0.21092278719397362</v>
      </c>
      <c r="H33" s="6">
        <f t="shared" si="23"/>
        <v>0.21165644171779152</v>
      </c>
      <c r="I33" s="6">
        <f t="shared" si="23"/>
        <v>0.17492830807046289</v>
      </c>
      <c r="J33" s="6">
        <f t="shared" si="23"/>
        <v>0.17954632833525563</v>
      </c>
      <c r="K33" s="6">
        <f t="shared" si="23"/>
        <v>0</v>
      </c>
      <c r="L33" s="6">
        <f t="shared" si="23"/>
        <v>0.18191681735985532</v>
      </c>
      <c r="M33" s="6">
        <f t="shared" si="23"/>
        <v>0.22454672245467222</v>
      </c>
      <c r="N33" s="6">
        <f t="shared" si="23"/>
        <v>0.37385919165580184</v>
      </c>
      <c r="O33" s="5"/>
      <c r="P33" s="5"/>
      <c r="Q33" s="6" t="e">
        <f t="shared" si="24"/>
        <v>#DIV/0!</v>
      </c>
      <c r="R33" s="6" t="e">
        <f t="shared" si="25"/>
        <v>#DIV/0!</v>
      </c>
      <c r="S33" s="6">
        <f t="shared" si="26"/>
        <v>0.20006281407035176</v>
      </c>
      <c r="T33" s="6">
        <f>+T4/S4-1</f>
        <v>0.24155980109918862</v>
      </c>
      <c r="U33" s="6">
        <f>+U4/T4-1</f>
        <v>0.18813237774030345</v>
      </c>
      <c r="V33" s="6">
        <f>+V4/U4-1</f>
        <v>0.2034950767320145</v>
      </c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</row>
    <row r="34" spans="2:63" x14ac:dyDescent="0.2">
      <c r="B34" s="2" t="s">
        <v>63</v>
      </c>
      <c r="C34" s="5"/>
      <c r="D34" s="5"/>
      <c r="E34" s="5"/>
      <c r="F34" s="5"/>
      <c r="G34" s="6">
        <f t="shared" si="23"/>
        <v>0.19877101375445738</v>
      </c>
      <c r="H34" s="6">
        <f t="shared" si="23"/>
        <v>0.1890122317788161</v>
      </c>
      <c r="I34" s="6">
        <f t="shared" si="23"/>
        <v>0.16133329554150966</v>
      </c>
      <c r="J34" s="6">
        <f t="shared" si="23"/>
        <v>0.17623419827012632</v>
      </c>
      <c r="K34" s="6">
        <f t="shared" si="23"/>
        <v>0</v>
      </c>
      <c r="L34" s="6">
        <f t="shared" si="23"/>
        <v>0.17030436523828585</v>
      </c>
      <c r="M34" s="6">
        <f t="shared" si="23"/>
        <v>0.2139701754814145</v>
      </c>
      <c r="N34" s="6">
        <f t="shared" si="23"/>
        <v>0.34187840803674452</v>
      </c>
      <c r="O34" s="5"/>
      <c r="P34" s="5"/>
      <c r="Q34" s="6" t="e">
        <f t="shared" si="24"/>
        <v>#DIV/0!</v>
      </c>
      <c r="R34" s="6" t="e">
        <f t="shared" si="25"/>
        <v>#DIV/0!</v>
      </c>
      <c r="S34" s="6">
        <f t="shared" si="26"/>
        <v>0.27628159044406342</v>
      </c>
      <c r="T34" s="6">
        <f>+T5/S5-1</f>
        <v>0.19472247497725204</v>
      </c>
      <c r="U34" s="6">
        <f>+U5/T5-1</f>
        <v>0.18066949552098066</v>
      </c>
      <c r="V34" s="6">
        <f>+V5/U5-1</f>
        <v>0.18848949150043315</v>
      </c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</row>
    <row r="35" spans="2:63" x14ac:dyDescent="0.2">
      <c r="B35" s="2" t="s">
        <v>40</v>
      </c>
      <c r="C35" s="5"/>
      <c r="D35" s="5"/>
      <c r="E35" s="5"/>
      <c r="F35" s="5"/>
      <c r="G35" s="6">
        <f>G8/C8-1</f>
        <v>0.30092378752886839</v>
      </c>
      <c r="H35" s="6">
        <f>H8/D8-1</f>
        <v>0.25337147527584802</v>
      </c>
      <c r="I35" s="6">
        <f t="shared" ref="I35:N38" si="28">I8/E8-1</f>
        <v>0.26385328337605984</v>
      </c>
      <c r="J35" s="6">
        <f t="shared" si="28"/>
        <v>0.24814881704894343</v>
      </c>
      <c r="K35" s="6">
        <f t="shared" si="28"/>
        <v>0.15320433161725555</v>
      </c>
      <c r="L35" s="6">
        <f t="shared" si="28"/>
        <v>0.18813172481252027</v>
      </c>
      <c r="M35" s="6">
        <f t="shared" si="28"/>
        <v>0.19862693087845207</v>
      </c>
      <c r="N35" s="6">
        <f t="shared" si="28"/>
        <v>0.18709304008103023</v>
      </c>
      <c r="O35" s="5"/>
      <c r="P35" s="5"/>
      <c r="Q35" s="6" t="e">
        <f t="shared" ref="Q35" si="29">+Q8/P8-1</f>
        <v>#DIV/0!</v>
      </c>
      <c r="R35" s="6" t="e">
        <f t="shared" ref="R35" si="30">+R8/Q8-1</f>
        <v>#DIV/0!</v>
      </c>
      <c r="S35" s="6">
        <f t="shared" ref="S35" si="31">+S8/R8-1</f>
        <v>1.0176902056666188</v>
      </c>
      <c r="T35" s="6">
        <f t="shared" ref="T35:T36" si="32">+T8/S8-1</f>
        <v>0.41364316772400023</v>
      </c>
      <c r="U35" s="6">
        <f>+U8/T8-1</f>
        <v>0.2649757966922146</v>
      </c>
      <c r="V35" s="6">
        <f>+V8/U8-1</f>
        <v>0.18268425877944749</v>
      </c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</row>
    <row r="36" spans="2:63" x14ac:dyDescent="0.2">
      <c r="B36" s="2" t="s">
        <v>41</v>
      </c>
      <c r="C36" s="5"/>
      <c r="D36" s="5"/>
      <c r="E36" s="5"/>
      <c r="F36" s="5"/>
      <c r="G36" s="6">
        <f t="shared" ref="G36:H38" si="33">G9/C9-1</f>
        <v>3.9120594891690841E-2</v>
      </c>
      <c r="H36" s="6">
        <f t="shared" si="33"/>
        <v>7.7199869152764222E-2</v>
      </c>
      <c r="I36" s="6">
        <f t="shared" si="28"/>
        <v>0.18228279386712098</v>
      </c>
      <c r="J36" s="6">
        <f t="shared" si="28"/>
        <v>0.20968259057390193</v>
      </c>
      <c r="K36" s="6">
        <f t="shared" si="28"/>
        <v>0.17517112632233967</v>
      </c>
      <c r="L36" s="6">
        <f t="shared" si="28"/>
        <v>0.24567263893106595</v>
      </c>
      <c r="M36" s="6">
        <f t="shared" si="28"/>
        <v>0.29020172910662834</v>
      </c>
      <c r="N36" s="6">
        <f t="shared" si="28"/>
        <v>0.29658097005035788</v>
      </c>
      <c r="O36" s="5"/>
      <c r="P36" s="6"/>
      <c r="Q36" s="6" t="e">
        <f t="shared" ref="Q36:S36" si="34">+Q9/P9-1</f>
        <v>#DIV/0!</v>
      </c>
      <c r="R36" s="6" t="e">
        <f t="shared" si="34"/>
        <v>#DIV/0!</v>
      </c>
      <c r="S36" s="6">
        <f t="shared" si="34"/>
        <v>0.30363549390098066</v>
      </c>
      <c r="T36" s="6">
        <f t="shared" si="32"/>
        <v>0.11953031831942029</v>
      </c>
      <c r="U36" s="6">
        <f>+U9/T9-1</f>
        <v>0.12667977712225498</v>
      </c>
      <c r="V36" s="6">
        <f>+V9/U9-1</f>
        <v>0.25439999999999996</v>
      </c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</row>
    <row r="37" spans="2:63" x14ac:dyDescent="0.2">
      <c r="B37" s="2" t="s">
        <v>42</v>
      </c>
      <c r="C37" s="5"/>
      <c r="D37" s="5"/>
      <c r="E37" s="5"/>
      <c r="F37" s="5"/>
      <c r="G37" s="6">
        <f t="shared" si="33"/>
        <v>-8.2857142857142851E-2</v>
      </c>
      <c r="H37" s="6">
        <f t="shared" si="33"/>
        <v>-4.691164972634887E-3</v>
      </c>
      <c r="I37" s="6">
        <f t="shared" si="28"/>
        <v>1.7884914463452528E-2</v>
      </c>
      <c r="J37" s="6">
        <f t="shared" si="28"/>
        <v>-3.90625E-3</v>
      </c>
      <c r="K37" s="6">
        <f t="shared" si="28"/>
        <v>-1.8691588785046731E-2</v>
      </c>
      <c r="L37" s="6">
        <f t="shared" si="28"/>
        <v>-9.4265514532599903E-3</v>
      </c>
      <c r="M37" s="6">
        <f t="shared" si="28"/>
        <v>-7.6394194041251584E-4</v>
      </c>
      <c r="N37" s="6">
        <f t="shared" si="28"/>
        <v>-3.9215686274509665E-3</v>
      </c>
      <c r="O37" s="5"/>
      <c r="P37" s="5"/>
      <c r="Q37" s="6" t="e">
        <f t="shared" ref="Q37:T37" si="35">+Q10/P10-1</f>
        <v>#DIV/0!</v>
      </c>
      <c r="R37" s="6" t="e">
        <f t="shared" si="35"/>
        <v>#DIV/0!</v>
      </c>
      <c r="S37" s="6">
        <f t="shared" si="35"/>
        <v>2.2462616822429906</v>
      </c>
      <c r="T37" s="6">
        <f t="shared" si="35"/>
        <v>-0.24499784079458764</v>
      </c>
      <c r="U37" s="6">
        <f>+U10/T10-1</f>
        <v>-1.9828408007626308E-2</v>
      </c>
      <c r="V37" s="6">
        <f>+V10/U10-1</f>
        <v>-8.169616806068869E-3</v>
      </c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</row>
    <row r="38" spans="2:63" x14ac:dyDescent="0.2">
      <c r="B38" s="7" t="s">
        <v>43</v>
      </c>
      <c r="C38" s="5"/>
      <c r="D38" s="5"/>
      <c r="E38" s="5"/>
      <c r="F38" s="5"/>
      <c r="G38" s="10">
        <f t="shared" si="33"/>
        <v>0.14824889493369597</v>
      </c>
      <c r="H38" s="10">
        <f t="shared" si="33"/>
        <v>0.15926327193932832</v>
      </c>
      <c r="I38" s="10">
        <f t="shared" si="28"/>
        <v>0.20404649160568233</v>
      </c>
      <c r="J38" s="10">
        <f t="shared" si="28"/>
        <v>0.20360305958132052</v>
      </c>
      <c r="K38" s="10">
        <f t="shared" si="28"/>
        <v>0.13838712861514169</v>
      </c>
      <c r="L38" s="10">
        <f t="shared" si="28"/>
        <v>0.18233644859813092</v>
      </c>
      <c r="M38" s="10">
        <f t="shared" si="28"/>
        <v>0.20370039327851264</v>
      </c>
      <c r="N38" s="10">
        <f t="shared" si="28"/>
        <v>0.20127100928171249</v>
      </c>
      <c r="O38" s="5"/>
      <c r="P38" s="5"/>
      <c r="Q38" s="5"/>
      <c r="R38" s="10">
        <f>+R11/Q11-1</f>
        <v>0.56701678786246523</v>
      </c>
      <c r="S38" s="10">
        <f>+S11/R11-1</f>
        <v>0.8262389000286452</v>
      </c>
      <c r="T38" s="10">
        <f>+T11/S11-1</f>
        <v>0.16952661793769797</v>
      </c>
      <c r="U38" s="10">
        <f>+U11/T11-1</f>
        <v>0.17963573938467325</v>
      </c>
      <c r="V38" s="10">
        <f>+V11/U11-1</f>
        <v>0.18279594342625849</v>
      </c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</row>
    <row r="39" spans="2:63" x14ac:dyDescent="0.2">
      <c r="B39" s="2" t="s">
        <v>44</v>
      </c>
      <c r="C39" s="6">
        <f t="shared" ref="C39:G39" si="36">+C13/C11</f>
        <v>0.40394423665419926</v>
      </c>
      <c r="D39" s="6">
        <f t="shared" si="36"/>
        <v>0.40249187432286027</v>
      </c>
      <c r="E39" s="6">
        <f t="shared" si="36"/>
        <v>0.39453293155402497</v>
      </c>
      <c r="F39" s="6">
        <f t="shared" si="36"/>
        <v>0.39039855072463769</v>
      </c>
      <c r="G39" s="6">
        <f t="shared" si="36"/>
        <v>0.39117559964465504</v>
      </c>
      <c r="H39" s="6">
        <f>+H13/H11</f>
        <v>0.39364485981308411</v>
      </c>
      <c r="I39" s="6">
        <f t="shared" ref="I39:J39" si="37">+I13/I11</f>
        <v>0.39569181265641756</v>
      </c>
      <c r="J39" s="6">
        <f t="shared" si="37"/>
        <v>0.39509992474287148</v>
      </c>
      <c r="K39" s="6">
        <f t="shared" ref="K39:L39" si="38">+K13/K11</f>
        <v>0.39850862741697735</v>
      </c>
      <c r="L39" s="6">
        <f t="shared" si="38"/>
        <v>0.3983874792506521</v>
      </c>
      <c r="M39" s="6">
        <f t="shared" ref="M39:N39" si="39">+M13/M11</f>
        <v>0.39786143907329025</v>
      </c>
      <c r="N39" s="6">
        <f t="shared" si="39"/>
        <v>0.39572601976889876</v>
      </c>
      <c r="O39" s="5"/>
      <c r="P39" s="6" t="e">
        <f t="shared" ref="P39:U39" si="40">+P13/P11</f>
        <v>#DIV/0!</v>
      </c>
      <c r="Q39" s="6">
        <f t="shared" si="40"/>
        <v>0.5373013735523835</v>
      </c>
      <c r="R39" s="6">
        <f t="shared" si="40"/>
        <v>0.46427957605270698</v>
      </c>
      <c r="S39" s="6">
        <f t="shared" si="40"/>
        <v>0.38328575461931802</v>
      </c>
      <c r="T39" s="6">
        <f t="shared" si="40"/>
        <v>0.39762881896944824</v>
      </c>
      <c r="U39" s="6">
        <f t="shared" si="40"/>
        <v>0.39399245077083994</v>
      </c>
      <c r="V39" s="6">
        <f t="shared" ref="V39" si="41">+V13/V11</f>
        <v>0.39754311090604993</v>
      </c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</row>
    <row r="40" spans="2:63" x14ac:dyDescent="0.2">
      <c r="B40" s="2" t="s">
        <v>45</v>
      </c>
      <c r="C40" s="6">
        <f t="shared" ref="C40:G40" si="42">+C19/C11</f>
        <v>-2.9695115040235746E-2</v>
      </c>
      <c r="D40" s="6">
        <f t="shared" si="42"/>
        <v>3.5319609967497292E-2</v>
      </c>
      <c r="E40" s="6">
        <f t="shared" si="42"/>
        <v>4.240206629358588E-2</v>
      </c>
      <c r="F40" s="6">
        <f t="shared" si="42"/>
        <v>6.5619967793880837E-2</v>
      </c>
      <c r="G40" s="6">
        <f t="shared" si="42"/>
        <v>1.6977593524824794E-2</v>
      </c>
      <c r="H40" s="6">
        <f>+H19/H11</f>
        <v>7.3925233644859811E-2</v>
      </c>
      <c r="I40" s="6">
        <f t="shared" ref="I40:J40" si="43">+I19/I11</f>
        <v>9.4833750446907394E-2</v>
      </c>
      <c r="J40" s="6">
        <f t="shared" si="43"/>
        <v>6.4804749561000088E-2</v>
      </c>
      <c r="K40" s="6">
        <f t="shared" ref="K40:L40" si="44">+K19/K11</f>
        <v>0.10647706581115061</v>
      </c>
      <c r="L40" s="6">
        <f t="shared" si="44"/>
        <v>0.11461544541933444</v>
      </c>
      <c r="M40" s="6">
        <f t="shared" ref="M40:N40" si="45">+M19/M11</f>
        <v>8.2646469146803292E-2</v>
      </c>
      <c r="N40" s="6">
        <f t="shared" si="45"/>
        <v>0.12348600863149102</v>
      </c>
      <c r="O40" s="5"/>
      <c r="P40" s="6" t="e">
        <f t="shared" ref="P40:U40" si="46">+P19/P11</f>
        <v>#DIV/0!</v>
      </c>
      <c r="Q40" s="6">
        <f t="shared" si="46"/>
        <v>-0.43657419876110959</v>
      </c>
      <c r="R40" s="6">
        <f t="shared" si="46"/>
        <v>-0.2196505299341163</v>
      </c>
      <c r="S40" s="6">
        <f t="shared" si="46"/>
        <v>-5.7470903786429085E-2</v>
      </c>
      <c r="T40" s="6">
        <f t="shared" si="46"/>
        <v>2.9773879456023174E-2</v>
      </c>
      <c r="U40" s="6">
        <f t="shared" si="46"/>
        <v>6.3645459093182949E-2</v>
      </c>
      <c r="V40" s="6">
        <f t="shared" ref="V40" si="47">+V19/V11</f>
        <v>0.10698425514735567</v>
      </c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</row>
    <row r="41" spans="2:63" x14ac:dyDescent="0.2">
      <c r="B41" s="2" t="s">
        <v>46</v>
      </c>
      <c r="C41" s="6">
        <f t="shared" ref="C41:G41" si="48">+C23/C22</f>
        <v>0</v>
      </c>
      <c r="D41" s="6">
        <f t="shared" si="48"/>
        <v>0.14285714285714285</v>
      </c>
      <c r="E41" s="6">
        <f t="shared" si="48"/>
        <v>-0.22727272727272727</v>
      </c>
      <c r="F41" s="6">
        <f t="shared" si="48"/>
        <v>9.6311475409836061E-2</v>
      </c>
      <c r="G41" s="6">
        <f t="shared" si="48"/>
        <v>-4.6031746031746035E-2</v>
      </c>
      <c r="H41" s="6">
        <f>+H23/H22</f>
        <v>5.3171641791044777E-2</v>
      </c>
      <c r="I41" s="6">
        <f t="shared" ref="I41:J41" si="49">+I23/I22</f>
        <v>5.7060310581437339E-2</v>
      </c>
      <c r="J41" s="6">
        <f t="shared" si="49"/>
        <v>-6.566739606126915</v>
      </c>
      <c r="K41" s="6">
        <f t="shared" ref="K41:L41" si="50">+K23/K22</f>
        <v>-0.29025270758122745</v>
      </c>
      <c r="L41" s="6">
        <f t="shared" si="50"/>
        <v>9.4414893617021281E-2</v>
      </c>
      <c r="M41" s="6">
        <f t="shared" ref="M41:N41" si="51">+M23/M22</f>
        <v>-1.5442748091603054</v>
      </c>
      <c r="N41" s="6">
        <f t="shared" si="51"/>
        <v>-0.13745704467353953</v>
      </c>
      <c r="O41" s="5"/>
      <c r="P41" s="6" t="e">
        <f t="shared" ref="P41:U41" si="52">+P23/P22</f>
        <v>#DIV/0!</v>
      </c>
      <c r="Q41" s="6">
        <f t="shared" si="52"/>
        <v>2.7641808234955371E-2</v>
      </c>
      <c r="R41" s="6">
        <f t="shared" si="52"/>
        <v>0.48</v>
      </c>
      <c r="S41" s="6">
        <f t="shared" si="52"/>
        <v>1.9202206662423085E-2</v>
      </c>
      <c r="T41" s="6">
        <f t="shared" si="52"/>
        <v>9.1770788453252913E-2</v>
      </c>
      <c r="U41" s="6">
        <f t="shared" si="52"/>
        <v>-1.3958787878787879</v>
      </c>
      <c r="V41" s="6">
        <f t="shared" ref="V41" si="53">+V23/V22</f>
        <v>-0.74931034482758618</v>
      </c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</row>
    <row r="42" spans="2:63" x14ac:dyDescent="0.2"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</row>
    <row r="43" spans="2:63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</row>
    <row r="44" spans="2:63" x14ac:dyDescent="0.2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</row>
    <row r="45" spans="2:63" x14ac:dyDescent="0.2"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</row>
    <row r="46" spans="2:63" x14ac:dyDescent="0.2"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</row>
    <row r="47" spans="2:63" x14ac:dyDescent="0.2"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</row>
    <row r="48" spans="2:63" x14ac:dyDescent="0.2"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</row>
    <row r="49" spans="3:63" x14ac:dyDescent="0.2"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</row>
    <row r="50" spans="3:63" x14ac:dyDescent="0.2"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</row>
    <row r="51" spans="3:63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</row>
    <row r="52" spans="3:63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</row>
    <row r="53" spans="3:63" x14ac:dyDescent="0.2"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</row>
    <row r="54" spans="3:63" x14ac:dyDescent="0.2"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</row>
    <row r="55" spans="3:63" x14ac:dyDescent="0.2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</row>
    <row r="56" spans="3:63" x14ac:dyDescent="0.2"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</row>
    <row r="57" spans="3:63" x14ac:dyDescent="0.2"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</row>
    <row r="58" spans="3:63" x14ac:dyDescent="0.2"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</row>
    <row r="59" spans="3:63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</row>
    <row r="60" spans="3:63" x14ac:dyDescent="0.2"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</row>
    <row r="61" spans="3:63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</row>
    <row r="62" spans="3:63" x14ac:dyDescent="0.2"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</row>
    <row r="63" spans="3:63" x14ac:dyDescent="0.2"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</row>
    <row r="64" spans="3:63" x14ac:dyDescent="0.2"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</row>
    <row r="65" spans="3:63" x14ac:dyDescent="0.2"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</row>
    <row r="66" spans="3:63" x14ac:dyDescent="0.2"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</row>
    <row r="67" spans="3:63" x14ac:dyDescent="0.2"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</row>
    <row r="68" spans="3:63" x14ac:dyDescent="0.2"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</row>
    <row r="69" spans="3:63" x14ac:dyDescent="0.2"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</row>
    <row r="70" spans="3:63" x14ac:dyDescent="0.2"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</row>
    <row r="71" spans="3:63" x14ac:dyDescent="0.2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</row>
    <row r="72" spans="3:63" x14ac:dyDescent="0.2"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</row>
    <row r="73" spans="3:63" x14ac:dyDescent="0.2"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</row>
    <row r="74" spans="3:63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</row>
    <row r="75" spans="3:63" x14ac:dyDescent="0.2"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</row>
    <row r="76" spans="3:63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</row>
    <row r="77" spans="3:63" x14ac:dyDescent="0.2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</row>
    <row r="78" spans="3:63" x14ac:dyDescent="0.2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</row>
    <row r="79" spans="3:63" x14ac:dyDescent="0.2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</row>
    <row r="80" spans="3:63" x14ac:dyDescent="0.2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</row>
    <row r="81" spans="3:63" x14ac:dyDescent="0.2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</row>
    <row r="82" spans="3:63" x14ac:dyDescent="0.2"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</row>
    <row r="83" spans="3:63" x14ac:dyDescent="0.2"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</row>
    <row r="84" spans="3:63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</row>
    <row r="85" spans="3:63" x14ac:dyDescent="0.2"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</row>
    <row r="86" spans="3:63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</row>
    <row r="87" spans="3:63" x14ac:dyDescent="0.2"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</row>
    <row r="88" spans="3:63" x14ac:dyDescent="0.2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</row>
    <row r="89" spans="3:63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</row>
    <row r="90" spans="3:63" x14ac:dyDescent="0.2"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</row>
    <row r="91" spans="3:63" x14ac:dyDescent="0.2"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</row>
    <row r="92" spans="3:63" x14ac:dyDescent="0.2"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</row>
    <row r="93" spans="3:63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</row>
    <row r="94" spans="3:63" x14ac:dyDescent="0.2"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</row>
    <row r="95" spans="3:63" x14ac:dyDescent="0.2"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</row>
    <row r="96" spans="3:63" x14ac:dyDescent="0.2"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</row>
    <row r="97" spans="3:63" x14ac:dyDescent="0.2"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</row>
    <row r="98" spans="3:63" x14ac:dyDescent="0.2"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</row>
    <row r="99" spans="3:63" x14ac:dyDescent="0.2"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</row>
    <row r="100" spans="3:63" x14ac:dyDescent="0.2"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</row>
    <row r="101" spans="3:63" x14ac:dyDescent="0.2"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</row>
    <row r="102" spans="3:63" x14ac:dyDescent="0.2"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</row>
    <row r="103" spans="3:63" x14ac:dyDescent="0.2"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</row>
    <row r="104" spans="3:63" x14ac:dyDescent="0.2"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</row>
    <row r="105" spans="3:63" x14ac:dyDescent="0.2"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</row>
    <row r="106" spans="3:63" x14ac:dyDescent="0.2"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</row>
    <row r="107" spans="3:63" x14ac:dyDescent="0.2"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</row>
    <row r="108" spans="3:63" x14ac:dyDescent="0.2"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</row>
    <row r="109" spans="3:63" x14ac:dyDescent="0.2"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</row>
    <row r="110" spans="3:63" x14ac:dyDescent="0.2"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</row>
    <row r="111" spans="3:63" x14ac:dyDescent="0.2"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</row>
    <row r="112" spans="3:63" x14ac:dyDescent="0.2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</row>
    <row r="113" spans="3:63" x14ac:dyDescent="0.2"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</row>
    <row r="114" spans="3:63" x14ac:dyDescent="0.2"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</row>
    <row r="115" spans="3:63" x14ac:dyDescent="0.2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</row>
    <row r="116" spans="3:63" x14ac:dyDescent="0.2"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</row>
    <row r="117" spans="3:63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</row>
    <row r="118" spans="3:63" x14ac:dyDescent="0.2"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</row>
    <row r="119" spans="3:63" x14ac:dyDescent="0.2"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</row>
    <row r="120" spans="3:63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</row>
    <row r="121" spans="3:63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</row>
    <row r="122" spans="3:63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</row>
    <row r="123" spans="3:63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</row>
    <row r="124" spans="3:63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</row>
    <row r="125" spans="3:63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</row>
    <row r="126" spans="3:63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</row>
    <row r="127" spans="3:63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</row>
    <row r="128" spans="3:63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</row>
    <row r="129" spans="3:63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</row>
    <row r="130" spans="3:63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</row>
    <row r="131" spans="3:63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</row>
    <row r="132" spans="3:63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</row>
    <row r="133" spans="3:63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</row>
    <row r="134" spans="3:63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</row>
    <row r="135" spans="3:63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</row>
    <row r="136" spans="3:63" x14ac:dyDescent="0.2"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</row>
    <row r="137" spans="3:63" x14ac:dyDescent="0.2"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</row>
    <row r="138" spans="3:63" x14ac:dyDescent="0.2"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</row>
    <row r="139" spans="3:63" x14ac:dyDescent="0.2"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</row>
    <row r="140" spans="3:63" x14ac:dyDescent="0.2"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</row>
    <row r="141" spans="3:63" x14ac:dyDescent="0.2"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</row>
    <row r="142" spans="3:63" x14ac:dyDescent="0.2"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</row>
    <row r="143" spans="3:63" x14ac:dyDescent="0.2"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</row>
    <row r="144" spans="3:63" x14ac:dyDescent="0.2"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</row>
    <row r="145" spans="3:63" x14ac:dyDescent="0.2"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</row>
    <row r="146" spans="3:63" x14ac:dyDescent="0.2"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</row>
    <row r="147" spans="3:63" x14ac:dyDescent="0.2"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</row>
    <row r="148" spans="3:63" x14ac:dyDescent="0.2"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</row>
    <row r="149" spans="3:63" x14ac:dyDescent="0.2"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</row>
    <row r="150" spans="3:63" x14ac:dyDescent="0.2"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</row>
    <row r="151" spans="3:63" x14ac:dyDescent="0.2"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</row>
    <row r="152" spans="3:63" x14ac:dyDescent="0.2"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</row>
    <row r="153" spans="3:63" x14ac:dyDescent="0.2"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</row>
    <row r="154" spans="3:63" x14ac:dyDescent="0.2"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</row>
    <row r="155" spans="3:63" x14ac:dyDescent="0.2"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</row>
    <row r="156" spans="3:63" x14ac:dyDescent="0.2"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</row>
    <row r="157" spans="3:63" x14ac:dyDescent="0.2"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</row>
    <row r="158" spans="3:63" x14ac:dyDescent="0.2"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</row>
    <row r="159" spans="3:63" x14ac:dyDescent="0.2"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</row>
    <row r="160" spans="3:63" x14ac:dyDescent="0.2"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</row>
    <row r="161" spans="3:63" x14ac:dyDescent="0.2"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</row>
    <row r="162" spans="3:63" x14ac:dyDescent="0.2"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</row>
    <row r="163" spans="3:63" x14ac:dyDescent="0.2"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</row>
    <row r="164" spans="3:63" x14ac:dyDescent="0.2"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</row>
    <row r="165" spans="3:63" x14ac:dyDescent="0.2"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</row>
    <row r="166" spans="3:63" x14ac:dyDescent="0.2"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</row>
    <row r="167" spans="3:63" x14ac:dyDescent="0.2"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</row>
    <row r="168" spans="3:63" x14ac:dyDescent="0.2"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</row>
    <row r="169" spans="3:63" x14ac:dyDescent="0.2"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</row>
    <row r="170" spans="3:63" x14ac:dyDescent="0.2"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</row>
    <row r="171" spans="3:63" x14ac:dyDescent="0.2"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</row>
    <row r="172" spans="3:63" x14ac:dyDescent="0.2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</row>
    <row r="173" spans="3:63" x14ac:dyDescent="0.2"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</row>
    <row r="174" spans="3:63" x14ac:dyDescent="0.2"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</row>
    <row r="175" spans="3:63" x14ac:dyDescent="0.2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</row>
    <row r="176" spans="3:63" x14ac:dyDescent="0.2"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</row>
    <row r="177" spans="3:63" x14ac:dyDescent="0.2"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</row>
    <row r="178" spans="3:63" x14ac:dyDescent="0.2"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</row>
    <row r="179" spans="3:63" x14ac:dyDescent="0.2"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</row>
    <row r="180" spans="3:63" x14ac:dyDescent="0.2"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</row>
    <row r="181" spans="3:63" x14ac:dyDescent="0.2"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</row>
    <row r="182" spans="3:63" x14ac:dyDescent="0.2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</row>
    <row r="183" spans="3:63" x14ac:dyDescent="0.2"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</row>
    <row r="184" spans="3:63" x14ac:dyDescent="0.2"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</row>
    <row r="185" spans="3:63" x14ac:dyDescent="0.2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</row>
    <row r="186" spans="3:63" x14ac:dyDescent="0.2"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</row>
    <row r="187" spans="3:63" x14ac:dyDescent="0.2"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</row>
    <row r="188" spans="3:63" x14ac:dyDescent="0.2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</row>
    <row r="189" spans="3:63" x14ac:dyDescent="0.2"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</row>
    <row r="190" spans="3:63" x14ac:dyDescent="0.2"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</row>
    <row r="191" spans="3:63" x14ac:dyDescent="0.2"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</row>
    <row r="192" spans="3:63" x14ac:dyDescent="0.2"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</row>
    <row r="193" spans="3:63" x14ac:dyDescent="0.2"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</row>
    <row r="194" spans="3:63" x14ac:dyDescent="0.2"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</row>
    <row r="195" spans="3:63" x14ac:dyDescent="0.2"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</row>
    <row r="196" spans="3:63" x14ac:dyDescent="0.2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</row>
    <row r="197" spans="3:63" x14ac:dyDescent="0.2"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</row>
    <row r="198" spans="3:63" x14ac:dyDescent="0.2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</row>
    <row r="199" spans="3:63" x14ac:dyDescent="0.2"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</row>
    <row r="200" spans="3:63" x14ac:dyDescent="0.2"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</row>
    <row r="201" spans="3:63" x14ac:dyDescent="0.2"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</row>
    <row r="202" spans="3:63" x14ac:dyDescent="0.2"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</row>
    <row r="203" spans="3:63" x14ac:dyDescent="0.2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</row>
    <row r="204" spans="3:63" x14ac:dyDescent="0.2"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</row>
    <row r="205" spans="3:63" x14ac:dyDescent="0.2"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</row>
    <row r="206" spans="3:63" x14ac:dyDescent="0.2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</row>
    <row r="207" spans="3:63" x14ac:dyDescent="0.2"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</row>
    <row r="208" spans="3:63" x14ac:dyDescent="0.2"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</row>
    <row r="209" spans="3:63" x14ac:dyDescent="0.2"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</row>
    <row r="210" spans="3:63" x14ac:dyDescent="0.2"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</row>
    <row r="211" spans="3:63" x14ac:dyDescent="0.2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</row>
    <row r="212" spans="3:63" x14ac:dyDescent="0.2"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</row>
    <row r="213" spans="3:63" x14ac:dyDescent="0.2"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</row>
    <row r="214" spans="3:63" x14ac:dyDescent="0.2"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</row>
    <row r="215" spans="3:63" x14ac:dyDescent="0.2"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</row>
    <row r="216" spans="3:63" x14ac:dyDescent="0.2"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</row>
    <row r="217" spans="3:63" x14ac:dyDescent="0.2"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</row>
    <row r="218" spans="3:63" x14ac:dyDescent="0.2"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</row>
    <row r="219" spans="3:63" x14ac:dyDescent="0.2"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</row>
    <row r="220" spans="3:63" x14ac:dyDescent="0.2"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</row>
    <row r="221" spans="3:63" x14ac:dyDescent="0.2"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</row>
    <row r="222" spans="3:63" x14ac:dyDescent="0.2"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</row>
    <row r="223" spans="3:63" x14ac:dyDescent="0.2"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</row>
    <row r="224" spans="3:63" x14ac:dyDescent="0.2"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</row>
    <row r="225" spans="3:63" x14ac:dyDescent="0.2"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</row>
    <row r="226" spans="3:63" x14ac:dyDescent="0.2"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</row>
    <row r="227" spans="3:63" x14ac:dyDescent="0.2"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</row>
    <row r="228" spans="3:63" x14ac:dyDescent="0.2"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</row>
    <row r="229" spans="3:63" x14ac:dyDescent="0.2"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</row>
    <row r="230" spans="3:63" x14ac:dyDescent="0.2"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</row>
    <row r="231" spans="3:63" x14ac:dyDescent="0.2"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</row>
    <row r="232" spans="3:63" x14ac:dyDescent="0.2"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</row>
    <row r="233" spans="3:63" x14ac:dyDescent="0.2"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</row>
    <row r="234" spans="3:63" x14ac:dyDescent="0.2"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</row>
    <row r="235" spans="3:63" x14ac:dyDescent="0.2"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</row>
    <row r="236" spans="3:63" x14ac:dyDescent="0.2"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</row>
    <row r="237" spans="3:63" x14ac:dyDescent="0.2"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</row>
    <row r="238" spans="3:63" x14ac:dyDescent="0.2"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</row>
    <row r="239" spans="3:63" x14ac:dyDescent="0.2"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</row>
    <row r="240" spans="3:63" x14ac:dyDescent="0.2"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</row>
    <row r="241" spans="3:63" x14ac:dyDescent="0.2"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</row>
    <row r="242" spans="3:63" x14ac:dyDescent="0.2"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</row>
    <row r="243" spans="3:63" x14ac:dyDescent="0.2"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</row>
    <row r="244" spans="3:63" x14ac:dyDescent="0.2"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</row>
    <row r="245" spans="3:63" x14ac:dyDescent="0.2"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</row>
    <row r="246" spans="3:63" x14ac:dyDescent="0.2"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</row>
    <row r="247" spans="3:63" x14ac:dyDescent="0.2"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</row>
    <row r="248" spans="3:63" x14ac:dyDescent="0.2"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</row>
    <row r="249" spans="3:63" x14ac:dyDescent="0.2"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</row>
    <row r="250" spans="3:63" x14ac:dyDescent="0.2"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</row>
    <row r="251" spans="3:63" x14ac:dyDescent="0.2"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</row>
    <row r="252" spans="3:63" x14ac:dyDescent="0.2"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</row>
    <row r="253" spans="3:63" x14ac:dyDescent="0.2"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</row>
    <row r="254" spans="3:63" x14ac:dyDescent="0.2"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</row>
    <row r="255" spans="3:63" x14ac:dyDescent="0.2"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</row>
    <row r="256" spans="3:63" x14ac:dyDescent="0.2"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</row>
    <row r="257" spans="3:63" x14ac:dyDescent="0.2"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</row>
    <row r="258" spans="3:63" x14ac:dyDescent="0.2"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</row>
    <row r="259" spans="3:63" x14ac:dyDescent="0.2"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</row>
    <row r="260" spans="3:63" x14ac:dyDescent="0.2"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</row>
    <row r="261" spans="3:63" x14ac:dyDescent="0.2"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</row>
    <row r="262" spans="3:63" x14ac:dyDescent="0.2"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</row>
    <row r="263" spans="3:63" x14ac:dyDescent="0.2"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</row>
    <row r="264" spans="3:63" x14ac:dyDescent="0.2"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</row>
    <row r="265" spans="3:63" x14ac:dyDescent="0.2"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</row>
    <row r="266" spans="3:63" x14ac:dyDescent="0.2"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</row>
    <row r="267" spans="3:63" x14ac:dyDescent="0.2"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</row>
    <row r="268" spans="3:63" x14ac:dyDescent="0.2"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</row>
    <row r="269" spans="3:63" x14ac:dyDescent="0.2"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</row>
    <row r="270" spans="3:63" x14ac:dyDescent="0.2"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</row>
    <row r="271" spans="3:63" x14ac:dyDescent="0.2"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</row>
    <row r="272" spans="3:63" x14ac:dyDescent="0.2"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</row>
    <row r="273" spans="3:63" x14ac:dyDescent="0.2"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</row>
    <row r="274" spans="3:63" x14ac:dyDescent="0.2"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</row>
    <row r="275" spans="3:63" x14ac:dyDescent="0.2"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</row>
    <row r="276" spans="3:63" x14ac:dyDescent="0.2"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</row>
    <row r="277" spans="3:63" x14ac:dyDescent="0.2"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</row>
    <row r="278" spans="3:63" x14ac:dyDescent="0.2"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</row>
    <row r="279" spans="3:63" x14ac:dyDescent="0.2"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</row>
    <row r="280" spans="3:63" x14ac:dyDescent="0.2"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</row>
    <row r="281" spans="3:63" x14ac:dyDescent="0.2"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</row>
    <row r="282" spans="3:63" x14ac:dyDescent="0.2"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</row>
    <row r="283" spans="3:63" x14ac:dyDescent="0.2"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</row>
    <row r="284" spans="3:63" x14ac:dyDescent="0.2"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</row>
    <row r="285" spans="3:63" x14ac:dyDescent="0.2"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</row>
    <row r="286" spans="3:63" x14ac:dyDescent="0.2"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</row>
    <row r="287" spans="3:63" x14ac:dyDescent="0.2"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</row>
    <row r="288" spans="3:63" x14ac:dyDescent="0.2"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</row>
    <row r="289" spans="3:63" x14ac:dyDescent="0.2"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</row>
    <row r="290" spans="3:63" x14ac:dyDescent="0.2"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</row>
    <row r="291" spans="3:63" x14ac:dyDescent="0.2"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</row>
    <row r="292" spans="3:63" x14ac:dyDescent="0.2"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</row>
    <row r="293" spans="3:63" x14ac:dyDescent="0.2"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</row>
    <row r="294" spans="3:63" x14ac:dyDescent="0.2"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</row>
    <row r="295" spans="3:63" x14ac:dyDescent="0.2"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</row>
    <row r="296" spans="3:63" x14ac:dyDescent="0.2"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</row>
    <row r="297" spans="3:63" x14ac:dyDescent="0.2"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</row>
    <row r="298" spans="3:63" x14ac:dyDescent="0.2"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</row>
    <row r="299" spans="3:63" x14ac:dyDescent="0.2"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</row>
    <row r="300" spans="3:63" x14ac:dyDescent="0.2"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</row>
    <row r="301" spans="3:63" x14ac:dyDescent="0.2"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</row>
    <row r="302" spans="3:63" x14ac:dyDescent="0.2"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</row>
    <row r="303" spans="3:63" x14ac:dyDescent="0.2"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</row>
    <row r="304" spans="3:63" x14ac:dyDescent="0.2"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</row>
    <row r="305" spans="3:63" x14ac:dyDescent="0.2"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</row>
    <row r="306" spans="3:63" x14ac:dyDescent="0.2"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</row>
    <row r="307" spans="3:63" x14ac:dyDescent="0.2"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</row>
    <row r="308" spans="3:63" x14ac:dyDescent="0.2"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</row>
    <row r="309" spans="3:63" x14ac:dyDescent="0.2"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</row>
    <row r="310" spans="3:63" x14ac:dyDescent="0.2"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</row>
    <row r="311" spans="3:63" x14ac:dyDescent="0.2"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</row>
    <row r="312" spans="3:63" x14ac:dyDescent="0.2"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</row>
    <row r="313" spans="3:63" x14ac:dyDescent="0.2"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</row>
    <row r="314" spans="3:63" x14ac:dyDescent="0.2"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</row>
    <row r="315" spans="3:63" x14ac:dyDescent="0.2"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</row>
    <row r="316" spans="3:63" x14ac:dyDescent="0.2"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</row>
    <row r="317" spans="3:63" x14ac:dyDescent="0.2"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</row>
    <row r="318" spans="3:63" x14ac:dyDescent="0.2"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</row>
    <row r="319" spans="3:63" x14ac:dyDescent="0.2"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</row>
    <row r="320" spans="3:63" x14ac:dyDescent="0.2"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</row>
    <row r="321" spans="3:63" x14ac:dyDescent="0.2"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</row>
    <row r="322" spans="3:63" x14ac:dyDescent="0.2"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</row>
    <row r="323" spans="3:63" x14ac:dyDescent="0.2"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</row>
    <row r="324" spans="3:63" x14ac:dyDescent="0.2"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</row>
    <row r="325" spans="3:63" x14ac:dyDescent="0.2"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</row>
    <row r="326" spans="3:63" x14ac:dyDescent="0.2"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</row>
    <row r="327" spans="3:63" x14ac:dyDescent="0.2"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</row>
    <row r="328" spans="3:63" x14ac:dyDescent="0.2"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</row>
    <row r="329" spans="3:63" x14ac:dyDescent="0.2"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</row>
    <row r="330" spans="3:63" x14ac:dyDescent="0.2"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</row>
    <row r="331" spans="3:63" x14ac:dyDescent="0.2"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</row>
    <row r="332" spans="3:63" x14ac:dyDescent="0.2"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</row>
    <row r="333" spans="3:63" x14ac:dyDescent="0.2"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</row>
    <row r="334" spans="3:63" x14ac:dyDescent="0.2"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</row>
    <row r="335" spans="3:63" x14ac:dyDescent="0.2"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</row>
    <row r="336" spans="3:63" x14ac:dyDescent="0.2"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</row>
    <row r="337" spans="3:63" x14ac:dyDescent="0.2"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</row>
    <row r="338" spans="3:63" x14ac:dyDescent="0.2"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</row>
    <row r="339" spans="3:63" x14ac:dyDescent="0.2"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</row>
    <row r="340" spans="3:63" x14ac:dyDescent="0.2"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</row>
    <row r="341" spans="3:63" x14ac:dyDescent="0.2"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</row>
    <row r="342" spans="3:63" x14ac:dyDescent="0.2"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</row>
    <row r="343" spans="3:63" x14ac:dyDescent="0.2"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</row>
    <row r="344" spans="3:63" x14ac:dyDescent="0.2"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</row>
    <row r="345" spans="3:63" x14ac:dyDescent="0.2"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</row>
    <row r="346" spans="3:63" x14ac:dyDescent="0.2"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</row>
    <row r="347" spans="3:63" x14ac:dyDescent="0.2"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</row>
    <row r="348" spans="3:63" x14ac:dyDescent="0.2"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</row>
    <row r="349" spans="3:63" x14ac:dyDescent="0.2"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</row>
    <row r="350" spans="3:63" x14ac:dyDescent="0.2"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</row>
    <row r="351" spans="3:63" x14ac:dyDescent="0.2"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</row>
    <row r="352" spans="3:63" x14ac:dyDescent="0.2"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</row>
    <row r="353" spans="3:63" x14ac:dyDescent="0.2"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</row>
    <row r="354" spans="3:63" x14ac:dyDescent="0.2"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</row>
    <row r="355" spans="3:63" x14ac:dyDescent="0.2"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</row>
    <row r="356" spans="3:63" x14ac:dyDescent="0.2"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</row>
    <row r="357" spans="3:63" x14ac:dyDescent="0.2"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</row>
    <row r="358" spans="3:63" x14ac:dyDescent="0.2"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</row>
    <row r="359" spans="3:63" x14ac:dyDescent="0.2"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</row>
    <row r="360" spans="3:63" x14ac:dyDescent="0.2"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</row>
    <row r="361" spans="3:63" x14ac:dyDescent="0.2"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</row>
    <row r="362" spans="3:63" x14ac:dyDescent="0.2"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</row>
    <row r="363" spans="3:63" x14ac:dyDescent="0.2"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</row>
    <row r="364" spans="3:63" x14ac:dyDescent="0.2"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</row>
    <row r="365" spans="3:63" x14ac:dyDescent="0.2"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</row>
    <row r="366" spans="3:63" x14ac:dyDescent="0.2"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</row>
    <row r="367" spans="3:63" x14ac:dyDescent="0.2"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</row>
  </sheetData>
  <hyperlinks>
    <hyperlink ref="A1" location="Main!A1" display="Main" xr:uid="{6275E25D-3ABB-4FD3-BAAF-2C726BEAAB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2024-10-23T12:54:04Z</dcterms:created>
  <dcterms:modified xsi:type="dcterms:W3CDTF">2026-03-19T17:02:15Z</dcterms:modified>
</cp:coreProperties>
</file>