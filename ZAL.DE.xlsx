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80CCDC61-3572-4300-8807-35C42A0B3FD9}" xr6:coauthVersionLast="47" xr6:coauthVersionMax="47" xr10:uidLastSave="{00000000-0000-0000-0000-000000000000}"/>
  <bookViews>
    <workbookView xWindow="19095" yWindow="0" windowWidth="19410" windowHeight="20925" activeTab="1" xr2:uid="{98C648A9-E26D-4C03-ABFB-F82A267C3134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" i="1" l="1"/>
  <c r="I6" i="1"/>
  <c r="M29" i="2"/>
  <c r="M27" i="2"/>
  <c r="M25" i="2"/>
  <c r="M21" i="2"/>
  <c r="M15" i="2"/>
  <c r="M9" i="2"/>
  <c r="M8" i="2"/>
  <c r="M7" i="2"/>
  <c r="M6" i="2"/>
  <c r="L42" i="2"/>
  <c r="L41" i="2"/>
  <c r="L40" i="2"/>
  <c r="L39" i="2"/>
  <c r="L38" i="2"/>
  <c r="L37" i="2"/>
  <c r="L36" i="2"/>
  <c r="L35" i="2"/>
  <c r="L34" i="2"/>
  <c r="J29" i="2"/>
  <c r="G29" i="2"/>
  <c r="F29" i="2"/>
  <c r="D29" i="2"/>
  <c r="C29" i="2"/>
  <c r="L29" i="2"/>
  <c r="K29" i="2"/>
  <c r="L27" i="2"/>
  <c r="L25" i="2"/>
  <c r="L21" i="2"/>
  <c r="L15" i="2"/>
  <c r="L9" i="2"/>
  <c r="L8" i="2"/>
  <c r="L7" i="2"/>
  <c r="L6" i="2"/>
  <c r="K39" i="2"/>
  <c r="K42" i="2"/>
  <c r="K41" i="2"/>
  <c r="K40" i="2"/>
  <c r="K38" i="2"/>
  <c r="K37" i="2"/>
  <c r="K36" i="2"/>
  <c r="K35" i="2"/>
  <c r="K34" i="2"/>
  <c r="K27" i="2"/>
  <c r="K25" i="2"/>
  <c r="K21" i="2"/>
  <c r="K15" i="2"/>
  <c r="K9" i="2"/>
  <c r="K8" i="2"/>
  <c r="K7" i="2"/>
  <c r="K6" i="2"/>
  <c r="R29" i="2"/>
  <c r="Q29" i="2"/>
  <c r="P29" i="2"/>
  <c r="T8" i="2"/>
  <c r="S8" i="2"/>
  <c r="R8" i="2"/>
  <c r="Q8" i="2"/>
  <c r="P8" i="2"/>
  <c r="T7" i="2"/>
  <c r="S7" i="2"/>
  <c r="R7" i="2"/>
  <c r="Q7" i="2"/>
  <c r="P7" i="2"/>
  <c r="T6" i="2"/>
  <c r="S6" i="2"/>
  <c r="R6" i="2"/>
  <c r="Q6" i="2"/>
  <c r="P6" i="2"/>
  <c r="T9" i="2"/>
  <c r="S9" i="2"/>
  <c r="R9" i="2"/>
  <c r="Q9" i="2"/>
  <c r="P9" i="2"/>
  <c r="T15" i="2"/>
  <c r="T21" i="2" s="1"/>
  <c r="T25" i="2" s="1"/>
  <c r="T27" i="2" s="1"/>
  <c r="T29" i="2" s="1"/>
  <c r="S15" i="2"/>
  <c r="S21" i="2" s="1"/>
  <c r="S25" i="2" s="1"/>
  <c r="S27" i="2" s="1"/>
  <c r="S29" i="2" s="1"/>
  <c r="R15" i="2"/>
  <c r="R21" i="2" s="1"/>
  <c r="R25" i="2" s="1"/>
  <c r="Q15" i="2"/>
  <c r="Q21" i="2" s="1"/>
  <c r="Q25" i="2" s="1"/>
  <c r="P15" i="2"/>
  <c r="P21" i="2" s="1"/>
  <c r="P25" i="2" s="1"/>
  <c r="J39" i="2"/>
  <c r="I39" i="2"/>
  <c r="H39" i="2"/>
  <c r="J38" i="2"/>
  <c r="I38" i="2"/>
  <c r="H38" i="2"/>
  <c r="J37" i="2"/>
  <c r="I37" i="2"/>
  <c r="H37" i="2"/>
  <c r="G38" i="2"/>
  <c r="G37" i="2"/>
  <c r="G39" i="2"/>
  <c r="J36" i="2"/>
  <c r="J35" i="2"/>
  <c r="J34" i="2"/>
  <c r="H36" i="2"/>
  <c r="G36" i="2"/>
  <c r="H35" i="2"/>
  <c r="G35" i="2"/>
  <c r="H34" i="2"/>
  <c r="G34" i="2"/>
  <c r="I36" i="2"/>
  <c r="I35" i="2"/>
  <c r="I34" i="2"/>
  <c r="J9" i="2"/>
  <c r="I9" i="2"/>
  <c r="H9" i="2"/>
  <c r="G9" i="2"/>
  <c r="F9" i="2"/>
  <c r="D9" i="2"/>
  <c r="C9" i="2"/>
  <c r="E9" i="2"/>
  <c r="J7" i="2"/>
  <c r="H7" i="2"/>
  <c r="G7" i="2"/>
  <c r="F7" i="2"/>
  <c r="E7" i="2"/>
  <c r="D7" i="2"/>
  <c r="C7" i="2"/>
  <c r="J8" i="2"/>
  <c r="H8" i="2"/>
  <c r="G8" i="2"/>
  <c r="F8" i="2"/>
  <c r="E8" i="2"/>
  <c r="D8" i="2"/>
  <c r="C8" i="2"/>
  <c r="I8" i="2"/>
  <c r="I7" i="2"/>
  <c r="I6" i="2"/>
  <c r="J6" i="2"/>
  <c r="H6" i="2"/>
  <c r="G6" i="2"/>
  <c r="F6" i="2"/>
  <c r="E6" i="2"/>
  <c r="D6" i="2"/>
  <c r="C6" i="2"/>
  <c r="J15" i="2"/>
  <c r="J21" i="2" s="1"/>
  <c r="H15" i="2"/>
  <c r="H21" i="2" s="1"/>
  <c r="H25" i="2" s="1"/>
  <c r="H27" i="2" s="1"/>
  <c r="H29" i="2" s="1"/>
  <c r="G15" i="2"/>
  <c r="G21" i="2" s="1"/>
  <c r="F15" i="2"/>
  <c r="F21" i="2" s="1"/>
  <c r="F25" i="2" s="1"/>
  <c r="F27" i="2" s="1"/>
  <c r="E15" i="2"/>
  <c r="E21" i="2" s="1"/>
  <c r="E25" i="2" s="1"/>
  <c r="E27" i="2" s="1"/>
  <c r="D15" i="2"/>
  <c r="D21" i="2" s="1"/>
  <c r="D25" i="2" s="1"/>
  <c r="D27" i="2" s="1"/>
  <c r="C15" i="2"/>
  <c r="C21" i="2" s="1"/>
  <c r="C25" i="2" s="1"/>
  <c r="C27" i="2" s="1"/>
  <c r="I15" i="2"/>
  <c r="I21" i="2" s="1"/>
  <c r="I25" i="2" s="1"/>
  <c r="I27" i="2" s="1"/>
  <c r="I4" i="1"/>
  <c r="J25" i="2" l="1"/>
  <c r="J27" i="2" s="1"/>
  <c r="I7" i="1"/>
  <c r="I40" i="2"/>
  <c r="I41" i="2"/>
  <c r="I42" i="2"/>
  <c r="G25" i="2"/>
  <c r="G27" i="2" s="1"/>
  <c r="G41" i="2"/>
  <c r="C40" i="2"/>
  <c r="D40" i="2"/>
  <c r="E40" i="2"/>
  <c r="F40" i="2"/>
  <c r="G40" i="2"/>
  <c r="C41" i="2"/>
  <c r="D41" i="2"/>
  <c r="E41" i="2"/>
  <c r="F41" i="2"/>
  <c r="C42" i="2"/>
  <c r="D42" i="2"/>
  <c r="E42" i="2"/>
  <c r="F42" i="2"/>
  <c r="H40" i="2"/>
  <c r="H42" i="2"/>
  <c r="J40" i="2"/>
  <c r="H41" i="2"/>
  <c r="J41" i="2"/>
  <c r="J42" i="2"/>
  <c r="G42" i="2" l="1"/>
  <c r="I29" i="2" l="1"/>
  <c r="E29" i="2"/>
</calcChain>
</file>

<file path=xl/sharedStrings.xml><?xml version="1.0" encoding="utf-8"?>
<sst xmlns="http://schemas.openxmlformats.org/spreadsheetml/2006/main" count="72" uniqueCount="68">
  <si>
    <t>ZAL.DE</t>
  </si>
  <si>
    <t>Zalando</t>
  </si>
  <si>
    <t>numbers in mio EUR</t>
  </si>
  <si>
    <t>IR</t>
  </si>
  <si>
    <t>Price</t>
  </si>
  <si>
    <t>Shares</t>
  </si>
  <si>
    <t>MC</t>
  </si>
  <si>
    <t>Cash</t>
  </si>
  <si>
    <t>Debt</t>
  </si>
  <si>
    <t>EV</t>
  </si>
  <si>
    <t>Q324</t>
  </si>
  <si>
    <t>Notes</t>
  </si>
  <si>
    <t>Acqusition of About You</t>
  </si>
  <si>
    <t>Main</t>
  </si>
  <si>
    <t>Q123</t>
  </si>
  <si>
    <t>Q223</t>
  </si>
  <si>
    <t>Q323</t>
  </si>
  <si>
    <t>Q423</t>
  </si>
  <si>
    <t>Q124</t>
  </si>
  <si>
    <t>Q224</t>
  </si>
  <si>
    <t>Q424</t>
  </si>
  <si>
    <t>Revenue</t>
  </si>
  <si>
    <t>COGS</t>
  </si>
  <si>
    <t>Gross Profit</t>
  </si>
  <si>
    <t>Fulfilment</t>
  </si>
  <si>
    <t>Marketing</t>
  </si>
  <si>
    <t>Administrative</t>
  </si>
  <si>
    <t>Other Operating Income</t>
  </si>
  <si>
    <t>Other Operating Expenses</t>
  </si>
  <si>
    <t>Operating Income</t>
  </si>
  <si>
    <t>Finance Income</t>
  </si>
  <si>
    <t>Finance Expenses</t>
  </si>
  <si>
    <t>Other</t>
  </si>
  <si>
    <t>Pretax Income</t>
  </si>
  <si>
    <t>Tax Expenses</t>
  </si>
  <si>
    <t>Net Income</t>
  </si>
  <si>
    <t>EPS</t>
  </si>
  <si>
    <t>Employee Count</t>
  </si>
  <si>
    <t>GMV</t>
  </si>
  <si>
    <t>Number of Costumers</t>
  </si>
  <si>
    <t>Number of Orders</t>
  </si>
  <si>
    <t>GMV per Costumer</t>
  </si>
  <si>
    <t>Orders per Costumer</t>
  </si>
  <si>
    <t>Average Value of Order</t>
  </si>
  <si>
    <t>Conversion Rate</t>
  </si>
  <si>
    <t>GMV Growth</t>
  </si>
  <si>
    <t>Costumer Growth</t>
  </si>
  <si>
    <t>Order Growth</t>
  </si>
  <si>
    <t>Revenue Growth</t>
  </si>
  <si>
    <t xml:space="preserve">Gross Margin </t>
  </si>
  <si>
    <t xml:space="preserve">Operating Margin </t>
  </si>
  <si>
    <t>Tax Rate</t>
  </si>
  <si>
    <t>B2C Revenue</t>
  </si>
  <si>
    <t>B2B Revenue</t>
  </si>
  <si>
    <t>B2C Growth</t>
  </si>
  <si>
    <t>B2B Growth</t>
  </si>
  <si>
    <t>Guidance</t>
  </si>
  <si>
    <t>GMV 3-5%</t>
  </si>
  <si>
    <t>Revenue 2-5%</t>
  </si>
  <si>
    <t>FY20</t>
  </si>
  <si>
    <t>FY21</t>
  </si>
  <si>
    <t>FY22</t>
  </si>
  <si>
    <t>FY23</t>
  </si>
  <si>
    <t>FY24</t>
  </si>
  <si>
    <t>Q125</t>
  </si>
  <si>
    <t>Q225</t>
  </si>
  <si>
    <t>Q325</t>
  </si>
  <si>
    <t>Q425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</si>
</sst>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.0"/>
    <numFmt numFmtId="165" formatCode="#,##0.0;\(#,##0.0\)"/>
    <numFmt numFmtId="166" formatCode="#,##0;\(#,##0\)"/>
    <numFmt numFmtId="167" formatCode="#,##0.00;\(#,##0.00\)"/>
  </numFmts>
  <fonts count="8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u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14">
    <xf numFmtId="0" fontId="0" fillId="0" borderId="0" xfId="0"/>
    <xf numFmtId="0" fontId="5" fillId="0" borderId="0" xfId="0" applyFont="1"/>
    <xf numFmtId="0" fontId="2" fillId="0" borderId="0" xfId="0" applyFont="1"/>
    <xf numFmtId="165" fontId="2" fillId="0" borderId="0" xfId="0" applyNumberFormat="1" applyFont="1"/>
    <xf numFmtId="0" fontId="2" fillId="0" borderId="0" xfId="0" applyFont="1" applyAlignment="1">
      <alignment horizontal="right"/>
    </xf>
    <xf numFmtId="0" fontId="6" fillId="0" borderId="0" xfId="2" applyFont="1"/>
    <xf numFmtId="0" fontId="7" fillId="0" borderId="0" xfId="0" applyFont="1"/>
    <xf numFmtId="164" fontId="2" fillId="0" borderId="0" xfId="0" applyNumberFormat="1" applyFont="1"/>
    <xf numFmtId="9" fontId="2" fillId="0" borderId="0" xfId="1" applyFont="1"/>
    <xf numFmtId="165" fontId="5" fillId="0" borderId="0" xfId="0" applyNumberFormat="1" applyFont="1"/>
    <xf numFmtId="167" fontId="2" fillId="0" borderId="0" xfId="0" applyNumberFormat="1" applyFont="1"/>
    <xf numFmtId="166" fontId="2" fillId="0" borderId="0" xfId="0" applyNumberFormat="1" applyFont="1"/>
    <xf numFmtId="9" fontId="5" fillId="0" borderId="0" xfId="1" applyFont="1"/>
    <xf numFmtId="0" fontId="1" fillId="0" borderId="0" xfId="0" applyFont="1" applyAlignment="1">
      <alignment horizontal="right"/>
    </xf>
  </cellXfs>
  <cellStyles count="3">
    <cellStyle name="Hyperlink" xfId="2" builtinId="8"/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corporate.zalando.com/de/investor-relation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BCB31F-2D56-46E3-B670-4DC6239CE78A}">
  <dimension ref="A1:J19"/>
  <sheetViews>
    <sheetView zoomScale="200" zoomScaleNormal="200" workbookViewId="0">
      <selection activeCell="I6" sqref="I6"/>
    </sheetView>
  </sheetViews>
  <sheetFormatPr defaultRowHeight="12.75" x14ac:dyDescent="0.2"/>
  <cols>
    <col min="1" max="1" width="3.42578125" style="2" customWidth="1"/>
    <col min="2" max="16384" width="9.140625" style="2"/>
  </cols>
  <sheetData>
    <row r="1" spans="1:10" x14ac:dyDescent="0.2">
      <c r="A1" s="1" t="s">
        <v>1</v>
      </c>
    </row>
    <row r="2" spans="1:10" x14ac:dyDescent="0.2">
      <c r="A2" s="2" t="s">
        <v>2</v>
      </c>
      <c r="H2" s="2" t="s">
        <v>4</v>
      </c>
      <c r="I2" s="2">
        <v>23.02</v>
      </c>
    </row>
    <row r="3" spans="1:10" x14ac:dyDescent="0.2">
      <c r="H3" s="2" t="s">
        <v>5</v>
      </c>
      <c r="I3" s="3">
        <v>260.3</v>
      </c>
      <c r="J3" s="13" t="s">
        <v>66</v>
      </c>
    </row>
    <row r="4" spans="1:10" x14ac:dyDescent="0.2">
      <c r="B4" s="2" t="s">
        <v>0</v>
      </c>
      <c r="H4" s="2" t="s">
        <v>6</v>
      </c>
      <c r="I4" s="3">
        <f>+I2*I3</f>
        <v>5992.1059999999998</v>
      </c>
    </row>
    <row r="5" spans="1:10" x14ac:dyDescent="0.2">
      <c r="B5" s="5" t="s">
        <v>3</v>
      </c>
      <c r="H5" s="2" t="s">
        <v>7</v>
      </c>
      <c r="I5" s="3">
        <f>1319.3+117.7</f>
        <v>1437</v>
      </c>
      <c r="J5" s="13" t="s">
        <v>66</v>
      </c>
    </row>
    <row r="6" spans="1:10" x14ac:dyDescent="0.2">
      <c r="H6" s="2" t="s">
        <v>8</v>
      </c>
      <c r="I6" s="3">
        <f>0+268.3+478.3+8.3</f>
        <v>754.9</v>
      </c>
      <c r="J6" s="13" t="s">
        <v>66</v>
      </c>
    </row>
    <row r="7" spans="1:10" x14ac:dyDescent="0.2">
      <c r="H7" s="2" t="s">
        <v>9</v>
      </c>
      <c r="I7" s="3">
        <f>+I4-I5+I6</f>
        <v>5310.0059999999994</v>
      </c>
    </row>
    <row r="15" spans="1:10" x14ac:dyDescent="0.2">
      <c r="B15" s="6" t="s">
        <v>11</v>
      </c>
    </row>
    <row r="16" spans="1:10" x14ac:dyDescent="0.2">
      <c r="B16" s="2" t="s">
        <v>12</v>
      </c>
    </row>
    <row r="17" spans="2:2" x14ac:dyDescent="0.2">
      <c r="B17" s="6" t="s">
        <v>56</v>
      </c>
    </row>
    <row r="18" spans="2:2" x14ac:dyDescent="0.2">
      <c r="B18" s="2" t="s">
        <v>57</v>
      </c>
    </row>
    <row r="19" spans="2:2" x14ac:dyDescent="0.2">
      <c r="B19" s="2" t="s">
        <v>58</v>
      </c>
    </row>
  </sheetData>
  <hyperlinks>
    <hyperlink ref="B5" r:id="rId1" xr:uid="{2E71AB40-DF71-4450-B663-D7C206ADFF6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5B6BCF-56F9-4A6F-A0B9-70CA233D4BF4}">
  <dimension ref="A1:BM464"/>
  <sheetViews>
    <sheetView tabSelected="1" zoomScale="200" zoomScaleNormal="200" workbookViewId="0">
      <pane xSplit="2" ySplit="2" topLeftCell="K3" activePane="bottomRight" state="frozen"/>
      <selection pane="topRight" activeCell="C1" sqref="C1"/>
      <selection pane="bottomLeft" activeCell="A3" sqref="A3"/>
      <selection pane="bottomRight" activeCell="M13" sqref="M13"/>
    </sheetView>
  </sheetViews>
  <sheetFormatPr defaultRowHeight="12.75" x14ac:dyDescent="0.2"/>
  <cols>
    <col min="1" max="1" width="5.42578125" style="2" bestFit="1" customWidth="1"/>
    <col min="2" max="2" width="28.140625" style="2" customWidth="1"/>
    <col min="3" max="16384" width="9.140625" style="2"/>
  </cols>
  <sheetData>
    <row r="1" spans="1:65" x14ac:dyDescent="0.2">
      <c r="A1" s="5" t="s">
        <v>13</v>
      </c>
    </row>
    <row r="2" spans="1:65" x14ac:dyDescent="0.2">
      <c r="C2" s="4" t="s">
        <v>14</v>
      </c>
      <c r="D2" s="4" t="s">
        <v>15</v>
      </c>
      <c r="E2" s="4" t="s">
        <v>16</v>
      </c>
      <c r="F2" s="4" t="s">
        <v>17</v>
      </c>
      <c r="G2" s="4" t="s">
        <v>18</v>
      </c>
      <c r="H2" s="4" t="s">
        <v>19</v>
      </c>
      <c r="I2" s="4" t="s">
        <v>10</v>
      </c>
      <c r="J2" s="4" t="s">
        <v>20</v>
      </c>
      <c r="K2" s="4" t="s">
        <v>64</v>
      </c>
      <c r="L2" s="4" t="s">
        <v>65</v>
      </c>
      <c r="M2" s="4" t="s">
        <v>66</v>
      </c>
      <c r="N2" s="4" t="s">
        <v>67</v>
      </c>
      <c r="P2" s="4" t="s">
        <v>59</v>
      </c>
      <c r="Q2" s="4" t="s">
        <v>60</v>
      </c>
      <c r="R2" s="4" t="s">
        <v>61</v>
      </c>
      <c r="S2" s="4" t="s">
        <v>62</v>
      </c>
      <c r="T2" s="4" t="s">
        <v>63</v>
      </c>
    </row>
    <row r="3" spans="1:65" x14ac:dyDescent="0.2">
      <c r="B3" s="2" t="s">
        <v>38</v>
      </c>
      <c r="C3" s="3"/>
      <c r="D3" s="3"/>
      <c r="E3" s="3">
        <v>3209.3</v>
      </c>
      <c r="F3" s="3"/>
      <c r="G3" s="3">
        <v>3284.5</v>
      </c>
      <c r="H3" s="3">
        <v>3867.9</v>
      </c>
      <c r="I3" s="3">
        <v>3458.5</v>
      </c>
      <c r="J3" s="3">
        <v>4674.3999999999996</v>
      </c>
      <c r="K3" s="3">
        <v>3945.7</v>
      </c>
      <c r="L3" s="3">
        <v>4058.1</v>
      </c>
      <c r="M3" s="3">
        <v>4209.6000000000004</v>
      </c>
      <c r="N3" s="3"/>
      <c r="O3" s="3"/>
      <c r="P3" s="3">
        <v>10696</v>
      </c>
      <c r="Q3" s="3">
        <v>14332.7</v>
      </c>
      <c r="R3" s="3">
        <v>14788.7</v>
      </c>
      <c r="S3" s="3">
        <v>14631</v>
      </c>
      <c r="T3" s="3">
        <v>15296.2</v>
      </c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7"/>
      <c r="AU3" s="7"/>
      <c r="AV3" s="7"/>
      <c r="AW3" s="7"/>
      <c r="AX3" s="7"/>
      <c r="AY3" s="7"/>
      <c r="AZ3" s="7"/>
      <c r="BA3" s="7"/>
      <c r="BB3" s="7"/>
      <c r="BC3" s="7"/>
      <c r="BD3" s="7"/>
      <c r="BE3" s="7"/>
      <c r="BF3" s="7"/>
      <c r="BG3" s="7"/>
      <c r="BH3" s="7"/>
      <c r="BI3" s="7"/>
      <c r="BJ3" s="7"/>
      <c r="BK3" s="7"/>
      <c r="BL3" s="7"/>
      <c r="BM3" s="7"/>
    </row>
    <row r="4" spans="1:65" x14ac:dyDescent="0.2">
      <c r="B4" s="2" t="s">
        <v>39</v>
      </c>
      <c r="C4" s="3"/>
      <c r="D4" s="3"/>
      <c r="E4" s="3">
        <v>50.1</v>
      </c>
      <c r="F4" s="3"/>
      <c r="G4" s="3">
        <v>49.5</v>
      </c>
      <c r="H4" s="3">
        <v>49.8</v>
      </c>
      <c r="I4" s="3">
        <v>50.3</v>
      </c>
      <c r="J4" s="3">
        <v>51.8</v>
      </c>
      <c r="K4" s="3">
        <v>52.4</v>
      </c>
      <c r="L4" s="3">
        <v>52.9</v>
      </c>
      <c r="M4" s="3">
        <v>61.4</v>
      </c>
      <c r="N4" s="3"/>
      <c r="O4" s="3"/>
      <c r="P4" s="3">
        <v>38.700000000000003</v>
      </c>
      <c r="Q4" s="3">
        <v>48.5</v>
      </c>
      <c r="R4" s="3">
        <v>51.2</v>
      </c>
      <c r="S4" s="3">
        <v>49.6</v>
      </c>
      <c r="T4" s="3">
        <v>51.8</v>
      </c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7"/>
      <c r="AU4" s="7"/>
      <c r="AV4" s="7"/>
      <c r="AW4" s="7"/>
      <c r="AX4" s="7"/>
      <c r="AY4" s="7"/>
      <c r="AZ4" s="7"/>
      <c r="BA4" s="7"/>
      <c r="BB4" s="7"/>
      <c r="BC4" s="7"/>
      <c r="BD4" s="7"/>
      <c r="BE4" s="7"/>
      <c r="BF4" s="7"/>
      <c r="BG4" s="7"/>
      <c r="BH4" s="7"/>
      <c r="BI4" s="7"/>
      <c r="BJ4" s="7"/>
      <c r="BK4" s="7"/>
      <c r="BL4" s="7"/>
      <c r="BM4" s="7"/>
    </row>
    <row r="5" spans="1:65" x14ac:dyDescent="0.2">
      <c r="B5" s="2" t="s">
        <v>40</v>
      </c>
      <c r="C5" s="3"/>
      <c r="D5" s="3"/>
      <c r="E5" s="3">
        <v>54.5</v>
      </c>
      <c r="F5" s="3"/>
      <c r="G5" s="3">
        <v>55.2</v>
      </c>
      <c r="H5" s="3">
        <v>63.4</v>
      </c>
      <c r="I5" s="3">
        <v>57.9</v>
      </c>
      <c r="J5" s="3">
        <v>74.5</v>
      </c>
      <c r="K5" s="3">
        <v>58.5</v>
      </c>
      <c r="L5" s="3">
        <v>65</v>
      </c>
      <c r="M5" s="3">
        <v>68.5</v>
      </c>
      <c r="N5" s="3"/>
      <c r="O5" s="3"/>
      <c r="P5" s="3">
        <v>185.5</v>
      </c>
      <c r="Q5" s="3">
        <v>252.2</v>
      </c>
      <c r="R5" s="3">
        <v>261.10000000000002</v>
      </c>
      <c r="S5" s="3">
        <v>244.8</v>
      </c>
      <c r="T5" s="3">
        <v>251</v>
      </c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7"/>
      <c r="AU5" s="7"/>
      <c r="AV5" s="7"/>
      <c r="AW5" s="7"/>
      <c r="AX5" s="7"/>
      <c r="AY5" s="7"/>
      <c r="AZ5" s="7"/>
      <c r="BA5" s="7"/>
      <c r="BB5" s="7"/>
      <c r="BC5" s="7"/>
      <c r="BD5" s="7"/>
      <c r="BE5" s="7"/>
      <c r="BF5" s="7"/>
      <c r="BG5" s="7"/>
      <c r="BH5" s="7"/>
      <c r="BI5" s="7"/>
      <c r="BJ5" s="7"/>
      <c r="BK5" s="7"/>
      <c r="BL5" s="7"/>
      <c r="BM5" s="7"/>
    </row>
    <row r="6" spans="1:65" x14ac:dyDescent="0.2">
      <c r="B6" s="2" t="s">
        <v>41</v>
      </c>
      <c r="C6" s="3" t="e">
        <f>+C3/C4</f>
        <v>#DIV/0!</v>
      </c>
      <c r="D6" s="3" t="e">
        <f t="shared" ref="D6:K6" si="0">+D3/D4</f>
        <v>#DIV/0!</v>
      </c>
      <c r="E6" s="3">
        <f t="shared" si="0"/>
        <v>64.057884231536931</v>
      </c>
      <c r="F6" s="3" t="e">
        <f t="shared" si="0"/>
        <v>#DIV/0!</v>
      </c>
      <c r="G6" s="3">
        <f t="shared" si="0"/>
        <v>66.353535353535349</v>
      </c>
      <c r="H6" s="3">
        <f t="shared" si="0"/>
        <v>77.668674698795186</v>
      </c>
      <c r="I6" s="3">
        <f>+I3/I4</f>
        <v>68.757455268389663</v>
      </c>
      <c r="J6" s="3">
        <f t="shared" si="0"/>
        <v>90.239382239382238</v>
      </c>
      <c r="K6" s="3">
        <f t="shared" si="0"/>
        <v>75.299618320610691</v>
      </c>
      <c r="L6" s="3">
        <f t="shared" ref="L6:M6" si="1">+L3/L4</f>
        <v>76.71266540642722</v>
      </c>
      <c r="M6" s="3">
        <f t="shared" si="1"/>
        <v>68.560260586319231</v>
      </c>
      <c r="N6" s="3"/>
      <c r="O6" s="3"/>
      <c r="P6" s="3">
        <f t="shared" ref="P6:T6" si="2">+P3/P4</f>
        <v>276.38242894056845</v>
      </c>
      <c r="Q6" s="3">
        <f t="shared" si="2"/>
        <v>295.51958762886602</v>
      </c>
      <c r="R6" s="3">
        <f t="shared" si="2"/>
        <v>288.841796875</v>
      </c>
      <c r="S6" s="3">
        <f t="shared" si="2"/>
        <v>294.97983870967744</v>
      </c>
      <c r="T6" s="3">
        <f t="shared" si="2"/>
        <v>295.29343629343634</v>
      </c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7"/>
      <c r="AU6" s="7"/>
      <c r="AV6" s="7"/>
      <c r="AW6" s="7"/>
      <c r="AX6" s="7"/>
      <c r="AY6" s="7"/>
      <c r="AZ6" s="7"/>
      <c r="BA6" s="7"/>
      <c r="BB6" s="7"/>
      <c r="BC6" s="7"/>
      <c r="BD6" s="7"/>
      <c r="BE6" s="7"/>
      <c r="BF6" s="7"/>
      <c r="BG6" s="7"/>
      <c r="BH6" s="7"/>
      <c r="BI6" s="7"/>
      <c r="BJ6" s="7"/>
      <c r="BK6" s="7"/>
      <c r="BL6" s="7"/>
      <c r="BM6" s="7"/>
    </row>
    <row r="7" spans="1:65" x14ac:dyDescent="0.2">
      <c r="B7" s="2" t="s">
        <v>42</v>
      </c>
      <c r="C7" s="3" t="e">
        <f t="shared" ref="C7:H7" si="3">+C5/C4</f>
        <v>#DIV/0!</v>
      </c>
      <c r="D7" s="3" t="e">
        <f t="shared" si="3"/>
        <v>#DIV/0!</v>
      </c>
      <c r="E7" s="3">
        <f t="shared" si="3"/>
        <v>1.0878243512974051</v>
      </c>
      <c r="F7" s="3" t="e">
        <f t="shared" si="3"/>
        <v>#DIV/0!</v>
      </c>
      <c r="G7" s="3">
        <f t="shared" si="3"/>
        <v>1.1151515151515152</v>
      </c>
      <c r="H7" s="3">
        <f t="shared" si="3"/>
        <v>1.2730923694779117</v>
      </c>
      <c r="I7" s="3">
        <f>+I5/I4</f>
        <v>1.151093439363817</v>
      </c>
      <c r="J7" s="3">
        <f t="shared" ref="J7:T7" si="4">+J5/J4</f>
        <v>1.4382239382239383</v>
      </c>
      <c r="K7" s="3">
        <f t="shared" si="4"/>
        <v>1.116412213740458</v>
      </c>
      <c r="L7" s="3">
        <f t="shared" ref="L7:M7" si="5">+L5/L4</f>
        <v>1.2287334593572778</v>
      </c>
      <c r="M7" s="3">
        <f t="shared" si="5"/>
        <v>1.1156351791530945</v>
      </c>
      <c r="N7" s="3"/>
      <c r="O7" s="3"/>
      <c r="P7" s="3">
        <f t="shared" si="4"/>
        <v>4.79328165374677</v>
      </c>
      <c r="Q7" s="3">
        <f t="shared" si="4"/>
        <v>5.2</v>
      </c>
      <c r="R7" s="3">
        <f t="shared" si="4"/>
        <v>5.099609375</v>
      </c>
      <c r="S7" s="3">
        <f t="shared" si="4"/>
        <v>4.935483870967742</v>
      </c>
      <c r="T7" s="3">
        <f t="shared" si="4"/>
        <v>4.8455598455598459</v>
      </c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7"/>
      <c r="AU7" s="7"/>
      <c r="AV7" s="7"/>
      <c r="AW7" s="7"/>
      <c r="AX7" s="7"/>
      <c r="AY7" s="7"/>
      <c r="AZ7" s="7"/>
      <c r="BA7" s="7"/>
      <c r="BB7" s="7"/>
      <c r="BC7" s="7"/>
      <c r="BD7" s="7"/>
      <c r="BE7" s="7"/>
      <c r="BF7" s="7"/>
      <c r="BG7" s="7"/>
      <c r="BH7" s="7"/>
      <c r="BI7" s="7"/>
      <c r="BJ7" s="7"/>
      <c r="BK7" s="7"/>
      <c r="BL7" s="7"/>
      <c r="BM7" s="7"/>
    </row>
    <row r="8" spans="1:65" x14ac:dyDescent="0.2">
      <c r="B8" s="2" t="s">
        <v>43</v>
      </c>
      <c r="C8" s="3" t="e">
        <f t="shared" ref="C8:H8" si="6">+C3/C5</f>
        <v>#DIV/0!</v>
      </c>
      <c r="D8" s="3" t="e">
        <f t="shared" si="6"/>
        <v>#DIV/0!</v>
      </c>
      <c r="E8" s="3">
        <f t="shared" si="6"/>
        <v>58.886238532110092</v>
      </c>
      <c r="F8" s="3" t="e">
        <f t="shared" si="6"/>
        <v>#DIV/0!</v>
      </c>
      <c r="G8" s="3">
        <f t="shared" si="6"/>
        <v>59.501811594202898</v>
      </c>
      <c r="H8" s="3">
        <f t="shared" si="6"/>
        <v>61.00788643533123</v>
      </c>
      <c r="I8" s="3">
        <f>+I3/I5</f>
        <v>59.732297063903282</v>
      </c>
      <c r="J8" s="3">
        <f t="shared" ref="J8:T8" si="7">+J3/J5</f>
        <v>62.743624161073818</v>
      </c>
      <c r="K8" s="3">
        <f t="shared" si="7"/>
        <v>67.447863247863239</v>
      </c>
      <c r="L8" s="3">
        <f t="shared" ref="L8:M8" si="8">+L3/L5</f>
        <v>62.432307692307688</v>
      </c>
      <c r="M8" s="3">
        <f t="shared" si="8"/>
        <v>61.454014598540148</v>
      </c>
      <c r="N8" s="3"/>
      <c r="O8" s="3"/>
      <c r="P8" s="3">
        <f t="shared" si="7"/>
        <v>57.660377358490564</v>
      </c>
      <c r="Q8" s="3">
        <f t="shared" si="7"/>
        <v>56.830689928628075</v>
      </c>
      <c r="R8" s="3">
        <f t="shared" si="7"/>
        <v>56.639984680199156</v>
      </c>
      <c r="S8" s="3">
        <f t="shared" si="7"/>
        <v>59.767156862745097</v>
      </c>
      <c r="T8" s="3">
        <f t="shared" si="7"/>
        <v>60.941035856573706</v>
      </c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7"/>
      <c r="AU8" s="7"/>
      <c r="AV8" s="7"/>
      <c r="AW8" s="7"/>
      <c r="AX8" s="7"/>
      <c r="AY8" s="7"/>
      <c r="AZ8" s="7"/>
      <c r="BA8" s="7"/>
      <c r="BB8" s="7"/>
      <c r="BC8" s="7"/>
      <c r="BD8" s="7"/>
      <c r="BE8" s="7"/>
      <c r="BF8" s="7"/>
      <c r="BG8" s="7"/>
      <c r="BH8" s="7"/>
      <c r="BI8" s="7"/>
      <c r="BJ8" s="7"/>
      <c r="BK8" s="7"/>
      <c r="BL8" s="7"/>
      <c r="BM8" s="7"/>
    </row>
    <row r="9" spans="1:65" x14ac:dyDescent="0.2">
      <c r="B9" s="2" t="s">
        <v>44</v>
      </c>
      <c r="C9" s="8" t="e">
        <f t="shared" ref="C9:D9" si="9">+C13/C3</f>
        <v>#DIV/0!</v>
      </c>
      <c r="D9" s="8" t="e">
        <f t="shared" si="9"/>
        <v>#DIV/0!</v>
      </c>
      <c r="E9" s="8">
        <f>+E13/E3</f>
        <v>0.70884616583055493</v>
      </c>
      <c r="F9" s="8" t="e">
        <f t="shared" ref="F9:T9" si="10">+F13/F3</f>
        <v>#DIV/0!</v>
      </c>
      <c r="G9" s="8">
        <f t="shared" si="10"/>
        <v>0.68241741513167908</v>
      </c>
      <c r="H9" s="8">
        <f t="shared" si="10"/>
        <v>0.68336823599369156</v>
      </c>
      <c r="I9" s="8">
        <f t="shared" si="10"/>
        <v>0.69061731964724593</v>
      </c>
      <c r="J9" s="8">
        <f t="shared" si="10"/>
        <v>0</v>
      </c>
      <c r="K9" s="8">
        <f t="shared" si="10"/>
        <v>0.61319917885292852</v>
      </c>
      <c r="L9" s="8">
        <f t="shared" ref="L9:M9" si="11">+L13/L3</f>
        <v>0.69862743648505454</v>
      </c>
      <c r="M9" s="8">
        <f t="shared" si="11"/>
        <v>0.71755036107943737</v>
      </c>
      <c r="N9" s="8"/>
      <c r="O9" s="3"/>
      <c r="P9" s="8">
        <f t="shared" si="10"/>
        <v>0.73784592370979807</v>
      </c>
      <c r="Q9" s="8">
        <f t="shared" si="10"/>
        <v>0.72240401320058323</v>
      </c>
      <c r="R9" s="8">
        <f t="shared" si="10"/>
        <v>0.69950705606307506</v>
      </c>
      <c r="S9" s="8">
        <f t="shared" si="10"/>
        <v>0.69326088442348444</v>
      </c>
      <c r="T9" s="8">
        <f t="shared" si="10"/>
        <v>0.69118473869327024</v>
      </c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7"/>
      <c r="AU9" s="7"/>
      <c r="AV9" s="7"/>
      <c r="AW9" s="7"/>
      <c r="AX9" s="7"/>
      <c r="AY9" s="7"/>
      <c r="AZ9" s="7"/>
      <c r="BA9" s="7"/>
      <c r="BB9" s="7"/>
      <c r="BC9" s="7"/>
      <c r="BD9" s="7"/>
      <c r="BE9" s="7"/>
      <c r="BF9" s="7"/>
      <c r="BG9" s="7"/>
      <c r="BH9" s="7"/>
      <c r="BI9" s="7"/>
      <c r="BJ9" s="7"/>
      <c r="BK9" s="7"/>
      <c r="BL9" s="7"/>
      <c r="BM9" s="7"/>
    </row>
    <row r="10" spans="1:65" x14ac:dyDescent="0.2"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7"/>
      <c r="AU10" s="7"/>
      <c r="AV10" s="7"/>
      <c r="AW10" s="7"/>
      <c r="AX10" s="7"/>
      <c r="AY10" s="7"/>
      <c r="AZ10" s="7"/>
      <c r="BA10" s="7"/>
      <c r="BB10" s="7"/>
      <c r="BC10" s="7"/>
      <c r="BD10" s="7"/>
      <c r="BE10" s="7"/>
      <c r="BF10" s="7"/>
      <c r="BG10" s="7"/>
      <c r="BH10" s="7"/>
      <c r="BI10" s="7"/>
      <c r="BJ10" s="7"/>
      <c r="BK10" s="7"/>
      <c r="BL10" s="7"/>
      <c r="BM10" s="7"/>
    </row>
    <row r="11" spans="1:65" x14ac:dyDescent="0.2">
      <c r="B11" s="2" t="s">
        <v>52</v>
      </c>
      <c r="C11" s="3"/>
      <c r="D11" s="3"/>
      <c r="E11" s="3">
        <v>2063</v>
      </c>
      <c r="F11" s="3"/>
      <c r="G11" s="3"/>
      <c r="H11" s="3"/>
      <c r="I11" s="3">
        <v>2151.5</v>
      </c>
      <c r="J11" s="3"/>
      <c r="K11" s="3">
        <v>2182.5</v>
      </c>
      <c r="L11" s="3">
        <v>2576.1</v>
      </c>
      <c r="M11" s="3">
        <v>2761.7</v>
      </c>
      <c r="N11" s="3"/>
      <c r="O11" s="3"/>
      <c r="P11" s="3"/>
      <c r="Q11" s="3"/>
      <c r="R11" s="3"/>
      <c r="S11" s="3">
        <v>9301.7999999999993</v>
      </c>
      <c r="T11" s="3">
        <v>9657.7000000000007</v>
      </c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7"/>
      <c r="AU11" s="7"/>
      <c r="AV11" s="7"/>
      <c r="AW11" s="7"/>
      <c r="AX11" s="7"/>
      <c r="AY11" s="7"/>
      <c r="AZ11" s="7"/>
      <c r="BA11" s="7"/>
      <c r="BB11" s="7"/>
      <c r="BC11" s="7"/>
      <c r="BD11" s="7"/>
      <c r="BE11" s="7"/>
      <c r="BF11" s="7"/>
      <c r="BG11" s="7"/>
      <c r="BH11" s="7"/>
      <c r="BI11" s="7"/>
      <c r="BJ11" s="7"/>
      <c r="BK11" s="7"/>
      <c r="BL11" s="7"/>
      <c r="BM11" s="7"/>
    </row>
    <row r="12" spans="1:65" x14ac:dyDescent="0.2">
      <c r="B12" s="2" t="s">
        <v>53</v>
      </c>
      <c r="C12" s="3"/>
      <c r="D12" s="3"/>
      <c r="E12" s="3">
        <v>215.8</v>
      </c>
      <c r="F12" s="3"/>
      <c r="G12" s="3"/>
      <c r="H12" s="3"/>
      <c r="I12" s="3">
        <v>239.7</v>
      </c>
      <c r="J12" s="3"/>
      <c r="K12" s="3">
        <v>240</v>
      </c>
      <c r="L12" s="3">
        <v>262.39999999999998</v>
      </c>
      <c r="M12" s="3">
        <v>277.10000000000002</v>
      </c>
      <c r="N12" s="3"/>
      <c r="O12" s="3"/>
      <c r="P12" s="3"/>
      <c r="Q12" s="3"/>
      <c r="R12" s="3"/>
      <c r="S12" s="3">
        <v>854.4</v>
      </c>
      <c r="T12" s="3">
        <v>952.6</v>
      </c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7"/>
      <c r="AU12" s="7"/>
      <c r="AV12" s="7"/>
      <c r="AW12" s="7"/>
      <c r="AX12" s="7"/>
      <c r="AY12" s="7"/>
      <c r="AZ12" s="7"/>
      <c r="BA12" s="7"/>
      <c r="BB12" s="7"/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7"/>
    </row>
    <row r="13" spans="1:65" x14ac:dyDescent="0.2">
      <c r="B13" s="1" t="s">
        <v>21</v>
      </c>
      <c r="C13" s="9"/>
      <c r="D13" s="9"/>
      <c r="E13" s="9">
        <v>2274.9</v>
      </c>
      <c r="F13" s="9"/>
      <c r="G13" s="9">
        <v>2241.4</v>
      </c>
      <c r="H13" s="9">
        <v>2643.2</v>
      </c>
      <c r="I13" s="9">
        <v>2388.5</v>
      </c>
      <c r="J13" s="9"/>
      <c r="K13" s="9">
        <v>2419.5</v>
      </c>
      <c r="L13" s="9">
        <v>2835.1</v>
      </c>
      <c r="M13" s="9">
        <v>3020.6</v>
      </c>
      <c r="N13" s="9"/>
      <c r="O13" s="3"/>
      <c r="P13" s="9">
        <v>7892</v>
      </c>
      <c r="Q13" s="9">
        <v>10354</v>
      </c>
      <c r="R13" s="9">
        <v>10344.799999999999</v>
      </c>
      <c r="S13" s="9">
        <v>10143.1</v>
      </c>
      <c r="T13" s="9">
        <v>10572.5</v>
      </c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7"/>
      <c r="AU13" s="7"/>
      <c r="AV13" s="7"/>
      <c r="AW13" s="7"/>
      <c r="AX13" s="7"/>
      <c r="AY13" s="7"/>
      <c r="AZ13" s="7"/>
      <c r="BA13" s="7"/>
      <c r="BB13" s="7"/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</row>
    <row r="14" spans="1:65" x14ac:dyDescent="0.2">
      <c r="B14" s="2" t="s">
        <v>22</v>
      </c>
      <c r="C14" s="3"/>
      <c r="D14" s="3"/>
      <c r="E14" s="3">
        <v>1440.2</v>
      </c>
      <c r="F14" s="3"/>
      <c r="G14" s="3">
        <v>1384.6</v>
      </c>
      <c r="H14" s="3">
        <v>1544</v>
      </c>
      <c r="I14" s="3">
        <v>1416.7</v>
      </c>
      <c r="J14" s="3"/>
      <c r="K14" s="3">
        <v>1473.3</v>
      </c>
      <c r="L14" s="3">
        <v>1677.6</v>
      </c>
      <c r="M14" s="3">
        <v>1825.4</v>
      </c>
      <c r="N14" s="3"/>
      <c r="O14" s="3"/>
      <c r="P14" s="3">
        <v>4587.8</v>
      </c>
      <c r="Q14" s="3">
        <v>6027.7</v>
      </c>
      <c r="R14" s="3">
        <v>6289.3</v>
      </c>
      <c r="S14" s="3">
        <v>6212.7</v>
      </c>
      <c r="T14" s="3">
        <v>6270.5</v>
      </c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7"/>
      <c r="AU14" s="7"/>
      <c r="AV14" s="7"/>
      <c r="AW14" s="7"/>
      <c r="AX14" s="7"/>
      <c r="AY14" s="7"/>
      <c r="AZ14" s="7"/>
      <c r="BA14" s="7"/>
      <c r="BB14" s="7"/>
      <c r="BC14" s="7"/>
      <c r="BD14" s="7"/>
      <c r="BE14" s="7"/>
      <c r="BF14" s="7"/>
      <c r="BG14" s="7"/>
      <c r="BH14" s="7"/>
      <c r="BI14" s="7"/>
      <c r="BJ14" s="7"/>
      <c r="BK14" s="7"/>
      <c r="BL14" s="7"/>
      <c r="BM14" s="7"/>
    </row>
    <row r="15" spans="1:65" x14ac:dyDescent="0.2">
      <c r="B15" s="2" t="s">
        <v>23</v>
      </c>
      <c r="C15" s="3">
        <f t="shared" ref="C15:H15" si="12">+C13-C14</f>
        <v>0</v>
      </c>
      <c r="D15" s="3">
        <f t="shared" si="12"/>
        <v>0</v>
      </c>
      <c r="E15" s="3">
        <f t="shared" si="12"/>
        <v>834.7</v>
      </c>
      <c r="F15" s="3">
        <f t="shared" si="12"/>
        <v>0</v>
      </c>
      <c r="G15" s="3">
        <f t="shared" si="12"/>
        <v>856.80000000000018</v>
      </c>
      <c r="H15" s="3">
        <f t="shared" si="12"/>
        <v>1099.1999999999998</v>
      </c>
      <c r="I15" s="3">
        <f>+I13-I14</f>
        <v>971.8</v>
      </c>
      <c r="J15" s="3">
        <f t="shared" ref="J15:M15" si="13">+J13-J14</f>
        <v>0</v>
      </c>
      <c r="K15" s="3">
        <f t="shared" si="13"/>
        <v>946.2</v>
      </c>
      <c r="L15" s="3">
        <f t="shared" si="13"/>
        <v>1157.5</v>
      </c>
      <c r="M15" s="3">
        <f t="shared" si="13"/>
        <v>1195.1999999999998</v>
      </c>
      <c r="N15" s="3"/>
      <c r="O15" s="3"/>
      <c r="P15" s="3">
        <f>+P13-P14</f>
        <v>3304.2</v>
      </c>
      <c r="Q15" s="3">
        <f t="shared" ref="Q15:T15" si="14">+Q13-Q14</f>
        <v>4326.3</v>
      </c>
      <c r="R15" s="3">
        <f t="shared" si="14"/>
        <v>4055.4999999999991</v>
      </c>
      <c r="S15" s="3">
        <f t="shared" si="14"/>
        <v>3930.4000000000005</v>
      </c>
      <c r="T15" s="3">
        <f t="shared" si="14"/>
        <v>4302</v>
      </c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7"/>
      <c r="AU15" s="7"/>
      <c r="AV15" s="7"/>
      <c r="AW15" s="7"/>
      <c r="AX15" s="7"/>
      <c r="AY15" s="7"/>
      <c r="AZ15" s="7"/>
      <c r="BA15" s="7"/>
      <c r="BB15" s="7"/>
      <c r="BC15" s="7"/>
      <c r="BD15" s="7"/>
      <c r="BE15" s="7"/>
      <c r="BF15" s="7"/>
      <c r="BG15" s="7"/>
      <c r="BH15" s="7"/>
      <c r="BI15" s="7"/>
      <c r="BJ15" s="7"/>
      <c r="BK15" s="7"/>
      <c r="BL15" s="7"/>
      <c r="BM15" s="7"/>
    </row>
    <row r="16" spans="1:65" x14ac:dyDescent="0.2">
      <c r="B16" s="2" t="s">
        <v>24</v>
      </c>
      <c r="C16" s="3"/>
      <c r="D16" s="3"/>
      <c r="E16" s="3">
        <v>567.1</v>
      </c>
      <c r="F16" s="3"/>
      <c r="G16" s="3">
        <v>550.5</v>
      </c>
      <c r="H16" s="3">
        <v>583.5</v>
      </c>
      <c r="I16" s="3">
        <v>567.4</v>
      </c>
      <c r="J16" s="3"/>
      <c r="K16" s="3">
        <v>591.5</v>
      </c>
      <c r="L16" s="3">
        <v>627</v>
      </c>
      <c r="M16" s="3">
        <v>734.9</v>
      </c>
      <c r="N16" s="3"/>
      <c r="O16" s="3"/>
      <c r="P16" s="3"/>
      <c r="Q16" s="3"/>
      <c r="R16" s="3"/>
      <c r="S16" s="3">
        <v>2458.3000000000002</v>
      </c>
      <c r="T16" s="3">
        <v>2418.4</v>
      </c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7"/>
      <c r="AU16" s="7"/>
      <c r="AV16" s="7"/>
      <c r="AW16" s="7"/>
      <c r="AX16" s="7"/>
      <c r="AY16" s="7"/>
      <c r="AZ16" s="7"/>
      <c r="BA16" s="7"/>
      <c r="BB16" s="7"/>
      <c r="BC16" s="7"/>
      <c r="BD16" s="7"/>
      <c r="BE16" s="7"/>
      <c r="BF16" s="7"/>
      <c r="BG16" s="7"/>
      <c r="BH16" s="7"/>
      <c r="BI16" s="7"/>
      <c r="BJ16" s="7"/>
      <c r="BK16" s="7"/>
      <c r="BL16" s="7"/>
      <c r="BM16" s="7"/>
    </row>
    <row r="17" spans="2:65" x14ac:dyDescent="0.2">
      <c r="B17" s="2" t="s">
        <v>25</v>
      </c>
      <c r="C17" s="3"/>
      <c r="D17" s="3"/>
      <c r="E17" s="3">
        <v>159.30000000000001</v>
      </c>
      <c r="F17" s="3"/>
      <c r="G17" s="3">
        <v>183.1</v>
      </c>
      <c r="H17" s="3">
        <v>237.3</v>
      </c>
      <c r="I17" s="3">
        <v>216.7</v>
      </c>
      <c r="J17" s="3"/>
      <c r="K17" s="3">
        <v>209.9</v>
      </c>
      <c r="L17" s="3">
        <v>247</v>
      </c>
      <c r="M17" s="3">
        <v>280.5</v>
      </c>
      <c r="N17" s="3"/>
      <c r="O17" s="3"/>
      <c r="P17" s="3"/>
      <c r="Q17" s="3"/>
      <c r="R17" s="3"/>
      <c r="S17" s="3">
        <v>752.5</v>
      </c>
      <c r="T17" s="3">
        <v>979.2</v>
      </c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7"/>
      <c r="AU17" s="7"/>
      <c r="AV17" s="7"/>
      <c r="AW17" s="7"/>
      <c r="AX17" s="7"/>
      <c r="AY17" s="7"/>
      <c r="AZ17" s="7"/>
      <c r="BA17" s="7"/>
      <c r="BB17" s="7"/>
      <c r="BC17" s="7"/>
      <c r="BD17" s="7"/>
      <c r="BE17" s="7"/>
      <c r="BF17" s="7"/>
      <c r="BG17" s="7"/>
      <c r="BH17" s="7"/>
      <c r="BI17" s="7"/>
      <c r="BJ17" s="7"/>
      <c r="BK17" s="7"/>
      <c r="BL17" s="7"/>
      <c r="BM17" s="7"/>
    </row>
    <row r="18" spans="2:65" x14ac:dyDescent="0.2">
      <c r="B18" s="2" t="s">
        <v>26</v>
      </c>
      <c r="C18" s="3"/>
      <c r="D18" s="3"/>
      <c r="E18" s="3">
        <v>128.4</v>
      </c>
      <c r="F18" s="3"/>
      <c r="G18" s="3">
        <v>122.8</v>
      </c>
      <c r="H18" s="3">
        <v>126.8</v>
      </c>
      <c r="I18" s="3">
        <v>116</v>
      </c>
      <c r="J18" s="3"/>
      <c r="K18" s="3">
        <v>125.6</v>
      </c>
      <c r="L18" s="3">
        <v>128.19999999999999</v>
      </c>
      <c r="M18" s="3">
        <v>130.69999999999999</v>
      </c>
      <c r="N18" s="3"/>
      <c r="O18" s="3"/>
      <c r="P18" s="3"/>
      <c r="Q18" s="3"/>
      <c r="R18" s="3"/>
      <c r="S18" s="3">
        <v>490.8</v>
      </c>
      <c r="T18" s="3">
        <v>513.29999999999995</v>
      </c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</row>
    <row r="19" spans="2:65" x14ac:dyDescent="0.2">
      <c r="B19" s="2" t="s">
        <v>27</v>
      </c>
      <c r="C19" s="3"/>
      <c r="D19" s="3"/>
      <c r="E19" s="3">
        <v>2.4</v>
      </c>
      <c r="F19" s="3"/>
      <c r="G19" s="3">
        <v>5.3</v>
      </c>
      <c r="H19" s="3">
        <v>2.4</v>
      </c>
      <c r="I19" s="3">
        <v>6.1</v>
      </c>
      <c r="J19" s="3"/>
      <c r="K19" s="3">
        <v>3.7</v>
      </c>
      <c r="L19" s="3">
        <v>6.4</v>
      </c>
      <c r="M19" s="3">
        <v>12.9</v>
      </c>
      <c r="N19" s="3"/>
      <c r="O19" s="3"/>
      <c r="P19" s="3"/>
      <c r="Q19" s="3"/>
      <c r="R19" s="3"/>
      <c r="S19" s="3">
        <v>20.6</v>
      </c>
      <c r="T19" s="3">
        <v>20.9</v>
      </c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7"/>
      <c r="AU19" s="7"/>
      <c r="AV19" s="7"/>
      <c r="AW19" s="7"/>
      <c r="AX19" s="7"/>
      <c r="AY19" s="7"/>
      <c r="AZ19" s="7"/>
      <c r="BA19" s="7"/>
      <c r="BB19" s="7"/>
      <c r="BC19" s="7"/>
      <c r="BD19" s="7"/>
      <c r="BE19" s="7"/>
      <c r="BF19" s="7"/>
      <c r="BG19" s="7"/>
      <c r="BH19" s="7"/>
      <c r="BI19" s="7"/>
      <c r="BJ19" s="7"/>
      <c r="BK19" s="7"/>
      <c r="BL19" s="7"/>
      <c r="BM19" s="7"/>
    </row>
    <row r="20" spans="2:65" x14ac:dyDescent="0.2">
      <c r="B20" s="2" t="s">
        <v>28</v>
      </c>
      <c r="C20" s="3"/>
      <c r="D20" s="3"/>
      <c r="E20" s="3">
        <v>1.1000000000000001</v>
      </c>
      <c r="F20" s="3"/>
      <c r="G20" s="3">
        <v>5.0999999999999996</v>
      </c>
      <c r="H20" s="3">
        <v>-0.8</v>
      </c>
      <c r="I20" s="3">
        <v>8.4</v>
      </c>
      <c r="J20" s="3"/>
      <c r="K20" s="3">
        <v>1.4</v>
      </c>
      <c r="L20" s="3">
        <v>16.399999999999999</v>
      </c>
      <c r="M20" s="3">
        <v>12.9</v>
      </c>
      <c r="N20" s="3"/>
      <c r="O20" s="3"/>
      <c r="P20" s="3"/>
      <c r="Q20" s="3"/>
      <c r="R20" s="3"/>
      <c r="S20" s="3">
        <v>58.5</v>
      </c>
      <c r="T20" s="3">
        <v>20.100000000000001</v>
      </c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</row>
    <row r="21" spans="2:65" x14ac:dyDescent="0.2">
      <c r="B21" s="2" t="s">
        <v>29</v>
      </c>
      <c r="C21" s="3">
        <f t="shared" ref="C21:H21" si="15">+C15-SUM(C16:C18)+C19-C20</f>
        <v>0</v>
      </c>
      <c r="D21" s="3">
        <f t="shared" si="15"/>
        <v>0</v>
      </c>
      <c r="E21" s="3">
        <f t="shared" si="15"/>
        <v>-18.800000000000026</v>
      </c>
      <c r="F21" s="3">
        <f t="shared" si="15"/>
        <v>0</v>
      </c>
      <c r="G21" s="3">
        <f t="shared" si="15"/>
        <v>0.60000000000020481</v>
      </c>
      <c r="H21" s="3">
        <f t="shared" si="15"/>
        <v>154.79999999999993</v>
      </c>
      <c r="I21" s="3">
        <f>+I15-SUM(I16:I18)+I19-I20</f>
        <v>69.400000000000034</v>
      </c>
      <c r="J21" s="3">
        <f t="shared" ref="J21:T21" si="16">+J15-SUM(J16:J18)+J19-J20</f>
        <v>0</v>
      </c>
      <c r="K21" s="3">
        <f t="shared" si="16"/>
        <v>21.500000000000046</v>
      </c>
      <c r="L21" s="3">
        <f t="shared" si="16"/>
        <v>145.29999999999995</v>
      </c>
      <c r="M21" s="3">
        <f t="shared" si="16"/>
        <v>49.099999999999909</v>
      </c>
      <c r="N21" s="3"/>
      <c r="O21" s="3"/>
      <c r="P21" s="3">
        <f t="shared" si="16"/>
        <v>3304.2</v>
      </c>
      <c r="Q21" s="3">
        <f t="shared" si="16"/>
        <v>4326.3</v>
      </c>
      <c r="R21" s="3">
        <f t="shared" si="16"/>
        <v>4055.4999999999991</v>
      </c>
      <c r="S21" s="3">
        <f t="shared" si="16"/>
        <v>190.90000000000018</v>
      </c>
      <c r="T21" s="3">
        <f t="shared" si="16"/>
        <v>391.89999999999941</v>
      </c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7"/>
      <c r="AU21" s="7"/>
      <c r="AV21" s="7"/>
      <c r="AW21" s="7"/>
      <c r="AX21" s="7"/>
      <c r="AY21" s="7"/>
      <c r="AZ21" s="7"/>
      <c r="BA21" s="7"/>
      <c r="BB21" s="7"/>
      <c r="BC21" s="7"/>
      <c r="BD21" s="7"/>
      <c r="BE21" s="7"/>
      <c r="BF21" s="7"/>
      <c r="BG21" s="7"/>
      <c r="BH21" s="7"/>
      <c r="BI21" s="7"/>
      <c r="BJ21" s="7"/>
      <c r="BK21" s="7"/>
      <c r="BL21" s="7"/>
      <c r="BM21" s="7"/>
    </row>
    <row r="22" spans="2:65" x14ac:dyDescent="0.2">
      <c r="B22" s="2" t="s">
        <v>30</v>
      </c>
      <c r="C22" s="3"/>
      <c r="D22" s="3"/>
      <c r="E22" s="3">
        <v>12.8</v>
      </c>
      <c r="F22" s="3"/>
      <c r="G22" s="3">
        <v>18</v>
      </c>
      <c r="H22" s="3">
        <v>20.100000000000001</v>
      </c>
      <c r="I22" s="3">
        <v>17.8</v>
      </c>
      <c r="J22" s="3"/>
      <c r="K22" s="3">
        <v>14.9</v>
      </c>
      <c r="L22" s="3">
        <v>10.8</v>
      </c>
      <c r="M22" s="3">
        <v>5.3</v>
      </c>
      <c r="N22" s="3"/>
      <c r="O22" s="3"/>
      <c r="P22" s="3"/>
      <c r="Q22" s="3"/>
      <c r="R22" s="3"/>
      <c r="S22" s="3">
        <v>46.5</v>
      </c>
      <c r="T22" s="3">
        <v>75.7</v>
      </c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7"/>
      <c r="AU22" s="7"/>
      <c r="AV22" s="7"/>
      <c r="AW22" s="7"/>
      <c r="AX22" s="7"/>
      <c r="AY22" s="7"/>
      <c r="AZ22" s="7"/>
      <c r="BA22" s="7"/>
      <c r="BB22" s="7"/>
      <c r="BC22" s="7"/>
      <c r="BD22" s="7"/>
      <c r="BE22" s="7"/>
      <c r="BF22" s="7"/>
      <c r="BG22" s="7"/>
      <c r="BH22" s="7"/>
      <c r="BI22" s="7"/>
      <c r="BJ22" s="7"/>
      <c r="BK22" s="7"/>
      <c r="BL22" s="7"/>
      <c r="BM22" s="7"/>
    </row>
    <row r="23" spans="2:65" x14ac:dyDescent="0.2">
      <c r="B23" s="2" t="s">
        <v>31</v>
      </c>
      <c r="C23" s="3"/>
      <c r="D23" s="3"/>
      <c r="E23" s="3">
        <v>17.5</v>
      </c>
      <c r="F23" s="3"/>
      <c r="G23" s="3">
        <v>22</v>
      </c>
      <c r="H23" s="3">
        <v>24.1</v>
      </c>
      <c r="I23" s="3">
        <v>24.2</v>
      </c>
      <c r="J23" s="3"/>
      <c r="K23" s="3">
        <v>18.2</v>
      </c>
      <c r="L23" s="3">
        <v>18.399999999999999</v>
      </c>
      <c r="M23" s="3">
        <v>18</v>
      </c>
      <c r="N23" s="3"/>
      <c r="O23" s="3"/>
      <c r="P23" s="3"/>
      <c r="Q23" s="3"/>
      <c r="R23" s="3"/>
      <c r="S23" s="3">
        <v>85.6</v>
      </c>
      <c r="T23" s="3">
        <v>93.4</v>
      </c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7"/>
      <c r="AU23" s="7"/>
      <c r="AV23" s="7"/>
      <c r="AW23" s="7"/>
      <c r="AX23" s="7"/>
      <c r="AY23" s="7"/>
      <c r="AZ23" s="7"/>
      <c r="BA23" s="7"/>
      <c r="BB23" s="7"/>
      <c r="BC23" s="7"/>
      <c r="BD23" s="7"/>
      <c r="BE23" s="7"/>
      <c r="BF23" s="7"/>
      <c r="BG23" s="7"/>
      <c r="BH23" s="7"/>
      <c r="BI23" s="7"/>
      <c r="BJ23" s="7"/>
      <c r="BK23" s="7"/>
      <c r="BL23" s="7"/>
      <c r="BM23" s="7"/>
    </row>
    <row r="24" spans="2:65" x14ac:dyDescent="0.2">
      <c r="B24" s="2" t="s">
        <v>32</v>
      </c>
      <c r="C24" s="3"/>
      <c r="D24" s="3"/>
      <c r="E24" s="3">
        <v>1.9</v>
      </c>
      <c r="F24" s="3"/>
      <c r="G24" s="3">
        <v>-9.1</v>
      </c>
      <c r="H24" s="3">
        <v>-2.8</v>
      </c>
      <c r="I24" s="3">
        <v>-6.3</v>
      </c>
      <c r="J24" s="3"/>
      <c r="K24" s="3">
        <v>-0.1</v>
      </c>
      <c r="L24" s="3">
        <v>7.8</v>
      </c>
      <c r="M24" s="3">
        <v>1.1000000000000001</v>
      </c>
      <c r="N24" s="3"/>
      <c r="O24" s="3"/>
      <c r="P24" s="3"/>
      <c r="Q24" s="3"/>
      <c r="R24" s="3"/>
      <c r="S24" s="3">
        <v>1.2</v>
      </c>
      <c r="T24" s="3">
        <v>-6.3</v>
      </c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7"/>
      <c r="AU24" s="7"/>
      <c r="AV24" s="7"/>
      <c r="AW24" s="7"/>
      <c r="AX24" s="7"/>
      <c r="AY24" s="7"/>
      <c r="AZ24" s="7"/>
      <c r="BA24" s="7"/>
      <c r="BB24" s="7"/>
      <c r="BC24" s="7"/>
      <c r="BD24" s="7"/>
      <c r="BE24" s="7"/>
      <c r="BF24" s="7"/>
      <c r="BG24" s="7"/>
      <c r="BH24" s="7"/>
      <c r="BI24" s="7"/>
      <c r="BJ24" s="7"/>
      <c r="BK24" s="7"/>
      <c r="BL24" s="7"/>
      <c r="BM24" s="7"/>
    </row>
    <row r="25" spans="2:65" x14ac:dyDescent="0.2">
      <c r="B25" s="2" t="s">
        <v>33</v>
      </c>
      <c r="C25" s="3">
        <f t="shared" ref="C25:H25" si="17">+C21+C22-C23+C24</f>
        <v>0</v>
      </c>
      <c r="D25" s="3">
        <f t="shared" si="17"/>
        <v>0</v>
      </c>
      <c r="E25" s="3">
        <f t="shared" si="17"/>
        <v>-21.600000000000026</v>
      </c>
      <c r="F25" s="3">
        <f t="shared" si="17"/>
        <v>0</v>
      </c>
      <c r="G25" s="3">
        <f t="shared" si="17"/>
        <v>-12.499999999999796</v>
      </c>
      <c r="H25" s="3">
        <f t="shared" si="17"/>
        <v>147.99999999999991</v>
      </c>
      <c r="I25" s="3">
        <f>+I21+I22-I23+I24</f>
        <v>56.700000000000031</v>
      </c>
      <c r="J25" s="3">
        <f t="shared" ref="J25:T25" si="18">+J21+J22-J23+J24</f>
        <v>0</v>
      </c>
      <c r="K25" s="3">
        <f t="shared" si="18"/>
        <v>18.100000000000048</v>
      </c>
      <c r="L25" s="3">
        <f t="shared" si="18"/>
        <v>145.49999999999997</v>
      </c>
      <c r="M25" s="3">
        <f t="shared" si="18"/>
        <v>37.499999999999908</v>
      </c>
      <c r="N25" s="3"/>
      <c r="O25" s="3"/>
      <c r="P25" s="3">
        <f t="shared" si="18"/>
        <v>3304.2</v>
      </c>
      <c r="Q25" s="3">
        <f t="shared" si="18"/>
        <v>4326.3</v>
      </c>
      <c r="R25" s="3">
        <f t="shared" si="18"/>
        <v>4055.4999999999991</v>
      </c>
      <c r="S25" s="3">
        <f t="shared" si="18"/>
        <v>153.00000000000017</v>
      </c>
      <c r="T25" s="3">
        <f t="shared" si="18"/>
        <v>367.89999999999935</v>
      </c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7"/>
      <c r="AU25" s="7"/>
      <c r="AV25" s="7"/>
      <c r="AW25" s="7"/>
      <c r="AX25" s="7"/>
      <c r="AY25" s="7"/>
      <c r="AZ25" s="7"/>
      <c r="BA25" s="7"/>
      <c r="BB25" s="7"/>
      <c r="BC25" s="7"/>
      <c r="BD25" s="7"/>
      <c r="BE25" s="7"/>
      <c r="BF25" s="7"/>
      <c r="BG25" s="7"/>
      <c r="BH25" s="7"/>
      <c r="BI25" s="7"/>
      <c r="BJ25" s="7"/>
      <c r="BK25" s="7"/>
      <c r="BL25" s="7"/>
      <c r="BM25" s="7"/>
    </row>
    <row r="26" spans="2:65" x14ac:dyDescent="0.2">
      <c r="B26" s="2" t="s">
        <v>34</v>
      </c>
      <c r="C26" s="3"/>
      <c r="D26" s="3"/>
      <c r="E26" s="3">
        <v>-13.5</v>
      </c>
      <c r="F26" s="3"/>
      <c r="G26" s="3">
        <v>-3.4</v>
      </c>
      <c r="H26" s="3">
        <v>52.3</v>
      </c>
      <c r="I26" s="3">
        <v>12.5</v>
      </c>
      <c r="J26" s="3"/>
      <c r="K26" s="3">
        <v>8</v>
      </c>
      <c r="L26" s="3">
        <v>48.9</v>
      </c>
      <c r="M26" s="3">
        <v>25</v>
      </c>
      <c r="N26" s="3"/>
      <c r="O26" s="3"/>
      <c r="P26" s="3"/>
      <c r="Q26" s="3"/>
      <c r="R26" s="3"/>
      <c r="S26" s="3">
        <v>69.900000000000006</v>
      </c>
      <c r="T26" s="3">
        <v>116.9</v>
      </c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7"/>
      <c r="AU26" s="7"/>
      <c r="AV26" s="7"/>
      <c r="AW26" s="7"/>
      <c r="AX26" s="7"/>
      <c r="AY26" s="7"/>
      <c r="AZ26" s="7"/>
      <c r="BA26" s="7"/>
      <c r="BB26" s="7"/>
      <c r="BC26" s="7"/>
      <c r="BD26" s="7"/>
      <c r="BE26" s="7"/>
      <c r="BF26" s="7"/>
      <c r="BG26" s="7"/>
      <c r="BH26" s="7"/>
      <c r="BI26" s="7"/>
      <c r="BJ26" s="7"/>
      <c r="BK26" s="7"/>
      <c r="BL26" s="7"/>
      <c r="BM26" s="7"/>
    </row>
    <row r="27" spans="2:65" x14ac:dyDescent="0.2">
      <c r="B27" s="2" t="s">
        <v>35</v>
      </c>
      <c r="C27" s="3">
        <f t="shared" ref="C27:H27" si="19">+C25-C26</f>
        <v>0</v>
      </c>
      <c r="D27" s="3">
        <f t="shared" si="19"/>
        <v>0</v>
      </c>
      <c r="E27" s="3">
        <f t="shared" si="19"/>
        <v>-8.1000000000000263</v>
      </c>
      <c r="F27" s="3">
        <f t="shared" si="19"/>
        <v>0</v>
      </c>
      <c r="G27" s="3">
        <f t="shared" si="19"/>
        <v>-9.0999999999997954</v>
      </c>
      <c r="H27" s="3">
        <f t="shared" si="19"/>
        <v>95.699999999999918</v>
      </c>
      <c r="I27" s="3">
        <f>+I25-I26</f>
        <v>44.200000000000031</v>
      </c>
      <c r="J27" s="3">
        <f t="shared" ref="J27:M27" si="20">+J25-J26</f>
        <v>0</v>
      </c>
      <c r="K27" s="3">
        <f t="shared" si="20"/>
        <v>10.100000000000048</v>
      </c>
      <c r="L27" s="3">
        <f t="shared" si="20"/>
        <v>96.599999999999966</v>
      </c>
      <c r="M27" s="3">
        <f t="shared" si="20"/>
        <v>12.499999999999908</v>
      </c>
      <c r="N27" s="3"/>
      <c r="O27" s="3"/>
      <c r="P27" s="3"/>
      <c r="Q27" s="3"/>
      <c r="R27" s="3"/>
      <c r="S27" s="3">
        <f>+S25-S26</f>
        <v>83.100000000000165</v>
      </c>
      <c r="T27" s="3">
        <f>+T25-T26</f>
        <v>250.99999999999935</v>
      </c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7"/>
      <c r="AU27" s="7"/>
      <c r="AV27" s="7"/>
      <c r="AW27" s="7"/>
      <c r="AX27" s="7"/>
      <c r="AY27" s="7"/>
      <c r="AZ27" s="7"/>
      <c r="BA27" s="7"/>
      <c r="BB27" s="7"/>
      <c r="BC27" s="7"/>
      <c r="BD27" s="7"/>
      <c r="BE27" s="7"/>
      <c r="BF27" s="7"/>
      <c r="BG27" s="7"/>
      <c r="BH27" s="7"/>
      <c r="BI27" s="7"/>
      <c r="BJ27" s="7"/>
      <c r="BK27" s="7"/>
      <c r="BL27" s="7"/>
      <c r="BM27" s="7"/>
    </row>
    <row r="28" spans="2:65" x14ac:dyDescent="0.2"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7"/>
      <c r="AU28" s="7"/>
      <c r="AV28" s="7"/>
      <c r="AW28" s="7"/>
      <c r="AX28" s="7"/>
      <c r="AY28" s="7"/>
      <c r="AZ28" s="7"/>
      <c r="BA28" s="7"/>
      <c r="BB28" s="7"/>
      <c r="BC28" s="7"/>
      <c r="BD28" s="7"/>
      <c r="BE28" s="7"/>
      <c r="BF28" s="7"/>
      <c r="BG28" s="7"/>
      <c r="BH28" s="7"/>
      <c r="BI28" s="7"/>
      <c r="BJ28" s="7"/>
      <c r="BK28" s="7"/>
      <c r="BL28" s="7"/>
      <c r="BM28" s="7"/>
    </row>
    <row r="29" spans="2:65" x14ac:dyDescent="0.2">
      <c r="B29" s="2" t="s">
        <v>36</v>
      </c>
      <c r="C29" s="10" t="e">
        <f t="shared" ref="C29:J29" si="21">+C27/C30</f>
        <v>#DIV/0!</v>
      </c>
      <c r="D29" s="10" t="e">
        <f t="shared" si="21"/>
        <v>#DIV/0!</v>
      </c>
      <c r="E29" s="10" t="e">
        <f t="shared" si="21"/>
        <v>#DIV/0!</v>
      </c>
      <c r="F29" s="10" t="e">
        <f t="shared" si="21"/>
        <v>#DIV/0!</v>
      </c>
      <c r="G29" s="10" t="e">
        <f t="shared" si="21"/>
        <v>#DIV/0!</v>
      </c>
      <c r="H29" s="10">
        <f t="shared" si="21"/>
        <v>0.36935546121188695</v>
      </c>
      <c r="I29" s="10" t="e">
        <f t="shared" si="21"/>
        <v>#DIV/0!</v>
      </c>
      <c r="J29" s="10" t="e">
        <f t="shared" si="21"/>
        <v>#DIV/0!</v>
      </c>
      <c r="K29" s="10">
        <f>+K27/K30</f>
        <v>3.8981088382863939E-2</v>
      </c>
      <c r="L29" s="10">
        <f t="shared" ref="L29:M29" si="22">+L27/L30</f>
        <v>0.37111025739531295</v>
      </c>
      <c r="M29" s="10">
        <f t="shared" si="22"/>
        <v>4.8021513638109518E-2</v>
      </c>
      <c r="N29" s="10"/>
      <c r="O29" s="3"/>
      <c r="P29" s="10" t="e">
        <f t="shared" ref="P29:S29" si="23">+P27/P30</f>
        <v>#DIV/0!</v>
      </c>
      <c r="Q29" s="10" t="e">
        <f t="shared" si="23"/>
        <v>#DIV/0!</v>
      </c>
      <c r="R29" s="10" t="e">
        <f t="shared" si="23"/>
        <v>#DIV/0!</v>
      </c>
      <c r="S29" s="10">
        <f t="shared" si="23"/>
        <v>0.31998459761263059</v>
      </c>
      <c r="T29" s="10">
        <f>+T27/T30</f>
        <v>0.96873793901968086</v>
      </c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7"/>
      <c r="AU29" s="7"/>
      <c r="AV29" s="7"/>
      <c r="AW29" s="7"/>
      <c r="AX29" s="7"/>
      <c r="AY29" s="7"/>
      <c r="AZ29" s="7"/>
      <c r="BA29" s="7"/>
      <c r="BB29" s="7"/>
      <c r="BC29" s="7"/>
      <c r="BD29" s="7"/>
      <c r="BE29" s="7"/>
      <c r="BF29" s="7"/>
      <c r="BG29" s="7"/>
      <c r="BH29" s="7"/>
      <c r="BI29" s="7"/>
      <c r="BJ29" s="7"/>
      <c r="BK29" s="7"/>
      <c r="BL29" s="7"/>
      <c r="BM29" s="7"/>
    </row>
    <row r="30" spans="2:65" x14ac:dyDescent="0.2">
      <c r="B30" s="2" t="s">
        <v>5</v>
      </c>
      <c r="C30" s="3"/>
      <c r="D30" s="3"/>
      <c r="E30" s="3"/>
      <c r="F30" s="3"/>
      <c r="G30" s="3"/>
      <c r="H30" s="3">
        <v>259.10000000000002</v>
      </c>
      <c r="I30" s="3"/>
      <c r="J30" s="3"/>
      <c r="K30" s="3">
        <v>259.10000000000002</v>
      </c>
      <c r="L30" s="3">
        <v>260.3</v>
      </c>
      <c r="M30" s="3">
        <v>260.3</v>
      </c>
      <c r="N30" s="3"/>
      <c r="O30" s="3"/>
      <c r="P30" s="3"/>
      <c r="Q30" s="3"/>
      <c r="R30" s="3"/>
      <c r="S30" s="3">
        <v>259.7</v>
      </c>
      <c r="T30" s="3">
        <v>259.10000000000002</v>
      </c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7"/>
      <c r="AU30" s="7"/>
      <c r="AV30" s="7"/>
      <c r="AW30" s="7"/>
      <c r="AX30" s="7"/>
      <c r="AY30" s="7"/>
      <c r="AZ30" s="7"/>
      <c r="BA30" s="7"/>
      <c r="BB30" s="7"/>
      <c r="BC30" s="7"/>
      <c r="BD30" s="7"/>
      <c r="BE30" s="7"/>
      <c r="BF30" s="7"/>
      <c r="BG30" s="7"/>
      <c r="BH30" s="7"/>
      <c r="BI30" s="7"/>
      <c r="BJ30" s="7"/>
      <c r="BK30" s="7"/>
      <c r="BL30" s="7"/>
      <c r="BM30" s="7"/>
    </row>
    <row r="31" spans="2:65" x14ac:dyDescent="0.2"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7"/>
      <c r="AU31" s="7"/>
      <c r="AV31" s="7"/>
      <c r="AW31" s="7"/>
      <c r="AX31" s="7"/>
      <c r="AY31" s="7"/>
      <c r="AZ31" s="7"/>
      <c r="BA31" s="7"/>
      <c r="BB31" s="7"/>
      <c r="BC31" s="7"/>
      <c r="BD31" s="7"/>
      <c r="BE31" s="7"/>
      <c r="BF31" s="7"/>
      <c r="BG31" s="7"/>
      <c r="BH31" s="7"/>
      <c r="BI31" s="7"/>
      <c r="BJ31" s="7"/>
      <c r="BK31" s="7"/>
      <c r="BL31" s="7"/>
      <c r="BM31" s="7"/>
    </row>
    <row r="32" spans="2:65" x14ac:dyDescent="0.2">
      <c r="B32" s="2" t="s">
        <v>37</v>
      </c>
      <c r="C32" s="11"/>
      <c r="D32" s="11"/>
      <c r="E32" s="11">
        <v>15793</v>
      </c>
      <c r="F32" s="11"/>
      <c r="G32" s="11">
        <v>15309</v>
      </c>
      <c r="H32" s="11">
        <v>15309</v>
      </c>
      <c r="I32" s="11">
        <v>15206</v>
      </c>
      <c r="J32" s="11"/>
      <c r="K32" s="11">
        <v>15463</v>
      </c>
      <c r="L32" s="11">
        <v>15571</v>
      </c>
      <c r="M32" s="11"/>
      <c r="N32" s="11"/>
      <c r="O32" s="11"/>
      <c r="P32" s="11">
        <v>14194</v>
      </c>
      <c r="Q32" s="11">
        <v>17043</v>
      </c>
      <c r="R32" s="11">
        <v>16999</v>
      </c>
      <c r="S32" s="11">
        <v>15793</v>
      </c>
      <c r="T32" s="11">
        <v>15206</v>
      </c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7"/>
      <c r="AU32" s="7"/>
      <c r="AV32" s="7"/>
      <c r="AW32" s="7"/>
      <c r="AX32" s="7"/>
      <c r="AY32" s="7"/>
      <c r="AZ32" s="7"/>
      <c r="BA32" s="7"/>
      <c r="BB32" s="7"/>
      <c r="BC32" s="7"/>
      <c r="BD32" s="7"/>
      <c r="BE32" s="7"/>
      <c r="BF32" s="7"/>
      <c r="BG32" s="7"/>
      <c r="BH32" s="7"/>
      <c r="BI32" s="7"/>
      <c r="BJ32" s="7"/>
      <c r="BK32" s="7"/>
      <c r="BL32" s="7"/>
      <c r="BM32" s="7"/>
    </row>
    <row r="33" spans="2:65" x14ac:dyDescent="0.2"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7"/>
      <c r="AU33" s="7"/>
      <c r="AV33" s="7"/>
      <c r="AW33" s="7"/>
      <c r="AX33" s="7"/>
      <c r="AY33" s="7"/>
      <c r="AZ33" s="7"/>
      <c r="BA33" s="7"/>
      <c r="BB33" s="7"/>
      <c r="BC33" s="7"/>
      <c r="BD33" s="7"/>
      <c r="BE33" s="7"/>
      <c r="BF33" s="7"/>
      <c r="BG33" s="7"/>
      <c r="BH33" s="7"/>
      <c r="BI33" s="7"/>
      <c r="BJ33" s="7"/>
      <c r="BK33" s="7"/>
      <c r="BL33" s="7"/>
      <c r="BM33" s="7"/>
    </row>
    <row r="34" spans="2:65" x14ac:dyDescent="0.2">
      <c r="B34" s="2" t="s">
        <v>45</v>
      </c>
      <c r="C34" s="3"/>
      <c r="D34" s="3"/>
      <c r="E34" s="3"/>
      <c r="F34" s="3"/>
      <c r="G34" s="8" t="e">
        <f t="shared" ref="G34:L36" si="24">+G3/C3-1</f>
        <v>#DIV/0!</v>
      </c>
      <c r="H34" s="8" t="e">
        <f t="shared" si="24"/>
        <v>#DIV/0!</v>
      </c>
      <c r="I34" s="8">
        <f t="shared" si="24"/>
        <v>7.7649331629950469E-2</v>
      </c>
      <c r="J34" s="8" t="e">
        <f t="shared" si="24"/>
        <v>#DIV/0!</v>
      </c>
      <c r="K34" s="8">
        <f t="shared" si="24"/>
        <v>0.20130917947937266</v>
      </c>
      <c r="L34" s="8">
        <f t="shared" si="24"/>
        <v>4.9173970371519271E-2</v>
      </c>
      <c r="M34" s="8"/>
      <c r="N34" s="8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7"/>
      <c r="AU34" s="7"/>
      <c r="AV34" s="7"/>
      <c r="AW34" s="7"/>
      <c r="AX34" s="7"/>
      <c r="AY34" s="7"/>
      <c r="AZ34" s="7"/>
      <c r="BA34" s="7"/>
      <c r="BB34" s="7"/>
      <c r="BC34" s="7"/>
      <c r="BD34" s="7"/>
      <c r="BE34" s="7"/>
      <c r="BF34" s="7"/>
      <c r="BG34" s="7"/>
      <c r="BH34" s="7"/>
      <c r="BI34" s="7"/>
      <c r="BJ34" s="7"/>
      <c r="BK34" s="7"/>
      <c r="BL34" s="7"/>
      <c r="BM34" s="7"/>
    </row>
    <row r="35" spans="2:65" x14ac:dyDescent="0.2">
      <c r="B35" s="2" t="s">
        <v>46</v>
      </c>
      <c r="C35" s="3"/>
      <c r="D35" s="3"/>
      <c r="E35" s="3"/>
      <c r="F35" s="3"/>
      <c r="G35" s="8" t="e">
        <f t="shared" si="24"/>
        <v>#DIV/0!</v>
      </c>
      <c r="H35" s="8" t="e">
        <f t="shared" si="24"/>
        <v>#DIV/0!</v>
      </c>
      <c r="I35" s="8">
        <f t="shared" si="24"/>
        <v>3.9920159680637557E-3</v>
      </c>
      <c r="J35" s="8" t="e">
        <f t="shared" si="24"/>
        <v>#DIV/0!</v>
      </c>
      <c r="K35" s="8">
        <f t="shared" si="24"/>
        <v>5.8585858585858519E-2</v>
      </c>
      <c r="L35" s="8">
        <f t="shared" si="24"/>
        <v>6.2248995983935851E-2</v>
      </c>
      <c r="M35" s="8"/>
      <c r="N35" s="8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7"/>
      <c r="AU35" s="7"/>
      <c r="AV35" s="7"/>
      <c r="AW35" s="7"/>
      <c r="AX35" s="7"/>
      <c r="AY35" s="7"/>
      <c r="AZ35" s="7"/>
      <c r="BA35" s="7"/>
      <c r="BB35" s="7"/>
      <c r="BC35" s="7"/>
      <c r="BD35" s="7"/>
      <c r="BE35" s="7"/>
      <c r="BF35" s="7"/>
      <c r="BG35" s="7"/>
      <c r="BH35" s="7"/>
      <c r="BI35" s="7"/>
      <c r="BJ35" s="7"/>
      <c r="BK35" s="7"/>
      <c r="BL35" s="7"/>
      <c r="BM35" s="7"/>
    </row>
    <row r="36" spans="2:65" x14ac:dyDescent="0.2">
      <c r="B36" s="2" t="s">
        <v>47</v>
      </c>
      <c r="C36" s="3"/>
      <c r="D36" s="3"/>
      <c r="E36" s="3"/>
      <c r="F36" s="3"/>
      <c r="G36" s="8" t="e">
        <f t="shared" si="24"/>
        <v>#DIV/0!</v>
      </c>
      <c r="H36" s="8" t="e">
        <f t="shared" si="24"/>
        <v>#DIV/0!</v>
      </c>
      <c r="I36" s="8">
        <f t="shared" si="24"/>
        <v>6.2385321100917324E-2</v>
      </c>
      <c r="J36" s="8" t="e">
        <f t="shared" si="24"/>
        <v>#DIV/0!</v>
      </c>
      <c r="K36" s="8">
        <f t="shared" si="24"/>
        <v>5.9782608695652106E-2</v>
      </c>
      <c r="L36" s="8">
        <f t="shared" si="24"/>
        <v>2.5236593059936974E-2</v>
      </c>
      <c r="M36" s="8"/>
      <c r="N36" s="8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7"/>
      <c r="AU36" s="7"/>
      <c r="AV36" s="7"/>
      <c r="AW36" s="7"/>
      <c r="AX36" s="7"/>
      <c r="AY36" s="7"/>
      <c r="AZ36" s="7"/>
      <c r="BA36" s="7"/>
      <c r="BB36" s="7"/>
      <c r="BC36" s="7"/>
      <c r="BD36" s="7"/>
      <c r="BE36" s="7"/>
      <c r="BF36" s="7"/>
      <c r="BG36" s="7"/>
      <c r="BH36" s="7"/>
      <c r="BI36" s="7"/>
      <c r="BJ36" s="7"/>
      <c r="BK36" s="7"/>
      <c r="BL36" s="7"/>
      <c r="BM36" s="7"/>
    </row>
    <row r="37" spans="2:65" x14ac:dyDescent="0.2">
      <c r="B37" s="2" t="s">
        <v>54</v>
      </c>
      <c r="C37" s="3"/>
      <c r="D37" s="3"/>
      <c r="E37" s="3"/>
      <c r="F37" s="3"/>
      <c r="G37" s="8" t="e">
        <f t="shared" ref="G37:G39" si="25">+G11/C11-1</f>
        <v>#DIV/0!</v>
      </c>
      <c r="H37" s="8" t="e">
        <f t="shared" ref="H37:H39" si="26">+H11/D11-1</f>
        <v>#DIV/0!</v>
      </c>
      <c r="I37" s="8">
        <f t="shared" ref="I37:I39" si="27">+I11/E11-1</f>
        <v>4.2898691226369356E-2</v>
      </c>
      <c r="J37" s="8" t="e">
        <f t="shared" ref="J37:L39" si="28">+J11/F11-1</f>
        <v>#DIV/0!</v>
      </c>
      <c r="K37" s="8" t="e">
        <f t="shared" si="28"/>
        <v>#DIV/0!</v>
      </c>
      <c r="L37" s="8" t="e">
        <f t="shared" si="28"/>
        <v>#DIV/0!</v>
      </c>
      <c r="M37" s="8"/>
      <c r="N37" s="8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7"/>
      <c r="AU37" s="7"/>
      <c r="AV37" s="7"/>
      <c r="AW37" s="7"/>
      <c r="AX37" s="7"/>
      <c r="AY37" s="7"/>
      <c r="AZ37" s="7"/>
      <c r="BA37" s="7"/>
      <c r="BB37" s="7"/>
      <c r="BC37" s="7"/>
      <c r="BD37" s="7"/>
      <c r="BE37" s="7"/>
      <c r="BF37" s="7"/>
      <c r="BG37" s="7"/>
      <c r="BH37" s="7"/>
      <c r="BI37" s="7"/>
      <c r="BJ37" s="7"/>
      <c r="BK37" s="7"/>
      <c r="BL37" s="7"/>
      <c r="BM37" s="7"/>
    </row>
    <row r="38" spans="2:65" x14ac:dyDescent="0.2">
      <c r="B38" s="2" t="s">
        <v>55</v>
      </c>
      <c r="C38" s="3"/>
      <c r="D38" s="3"/>
      <c r="E38" s="3"/>
      <c r="F38" s="3"/>
      <c r="G38" s="8" t="e">
        <f t="shared" si="25"/>
        <v>#DIV/0!</v>
      </c>
      <c r="H38" s="8" t="e">
        <f t="shared" si="26"/>
        <v>#DIV/0!</v>
      </c>
      <c r="I38" s="8">
        <f t="shared" si="27"/>
        <v>0.11075069508804436</v>
      </c>
      <c r="J38" s="8" t="e">
        <f t="shared" si="28"/>
        <v>#DIV/0!</v>
      </c>
      <c r="K38" s="8" t="e">
        <f t="shared" si="28"/>
        <v>#DIV/0!</v>
      </c>
      <c r="L38" s="8" t="e">
        <f t="shared" si="28"/>
        <v>#DIV/0!</v>
      </c>
      <c r="M38" s="8"/>
      <c r="N38" s="8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7"/>
      <c r="AU38" s="7"/>
      <c r="AV38" s="7"/>
      <c r="AW38" s="7"/>
      <c r="AX38" s="7"/>
      <c r="AY38" s="7"/>
      <c r="AZ38" s="7"/>
      <c r="BA38" s="7"/>
      <c r="BB38" s="7"/>
      <c r="BC38" s="7"/>
      <c r="BD38" s="7"/>
      <c r="BE38" s="7"/>
      <c r="BF38" s="7"/>
      <c r="BG38" s="7"/>
      <c r="BH38" s="7"/>
      <c r="BI38" s="7"/>
      <c r="BJ38" s="7"/>
      <c r="BK38" s="7"/>
      <c r="BL38" s="7"/>
      <c r="BM38" s="7"/>
    </row>
    <row r="39" spans="2:65" x14ac:dyDescent="0.2">
      <c r="B39" s="1" t="s">
        <v>48</v>
      </c>
      <c r="C39" s="9"/>
      <c r="D39" s="9"/>
      <c r="E39" s="9"/>
      <c r="F39" s="9"/>
      <c r="G39" s="12" t="e">
        <f t="shared" si="25"/>
        <v>#DIV/0!</v>
      </c>
      <c r="H39" s="12" t="e">
        <f t="shared" si="26"/>
        <v>#DIV/0!</v>
      </c>
      <c r="I39" s="12">
        <f t="shared" si="27"/>
        <v>4.9936260934546617E-2</v>
      </c>
      <c r="J39" s="12" t="e">
        <f t="shared" si="28"/>
        <v>#DIV/0!</v>
      </c>
      <c r="K39" s="12">
        <f>+K13/G13-1</f>
        <v>7.9459266529847472E-2</v>
      </c>
      <c r="L39" s="12">
        <f>+L13/H13-1</f>
        <v>7.2601392251816055E-2</v>
      </c>
      <c r="M39" s="8"/>
      <c r="N39" s="8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7"/>
      <c r="AU39" s="7"/>
      <c r="AV39" s="7"/>
      <c r="AW39" s="7"/>
      <c r="AX39" s="7"/>
      <c r="AY39" s="7"/>
      <c r="AZ39" s="7"/>
      <c r="BA39" s="7"/>
      <c r="BB39" s="7"/>
      <c r="BC39" s="7"/>
      <c r="BD39" s="7"/>
      <c r="BE39" s="7"/>
      <c r="BF39" s="7"/>
      <c r="BG39" s="7"/>
      <c r="BH39" s="7"/>
      <c r="BI39" s="7"/>
      <c r="BJ39" s="7"/>
      <c r="BK39" s="7"/>
      <c r="BL39" s="7"/>
      <c r="BM39" s="7"/>
    </row>
    <row r="40" spans="2:65" x14ac:dyDescent="0.2">
      <c r="B40" s="2" t="s">
        <v>49</v>
      </c>
      <c r="C40" s="8" t="e">
        <f t="shared" ref="C40:H40" si="29">+C15/C13</f>
        <v>#DIV/0!</v>
      </c>
      <c r="D40" s="8" t="e">
        <f t="shared" si="29"/>
        <v>#DIV/0!</v>
      </c>
      <c r="E40" s="8">
        <f t="shared" si="29"/>
        <v>0.36691722713086289</v>
      </c>
      <c r="F40" s="8" t="e">
        <f t="shared" si="29"/>
        <v>#DIV/0!</v>
      </c>
      <c r="G40" s="8">
        <f t="shared" si="29"/>
        <v>0.38226108682073712</v>
      </c>
      <c r="H40" s="8">
        <f t="shared" si="29"/>
        <v>0.41585956416464886</v>
      </c>
      <c r="I40" s="8">
        <f>+I15/I13</f>
        <v>0.40686623403809918</v>
      </c>
      <c r="J40" s="8" t="e">
        <f>+J15/J13</f>
        <v>#DIV/0!</v>
      </c>
      <c r="K40" s="8">
        <f>+K15/K13</f>
        <v>0.39107253564786115</v>
      </c>
      <c r="L40" s="8">
        <f>+L15/L13</f>
        <v>0.40827484039363693</v>
      </c>
      <c r="M40" s="8"/>
      <c r="N40" s="8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7"/>
      <c r="AU40" s="7"/>
      <c r="AV40" s="7"/>
      <c r="AW40" s="7"/>
      <c r="AX40" s="7"/>
      <c r="AY40" s="7"/>
      <c r="AZ40" s="7"/>
      <c r="BA40" s="7"/>
      <c r="BB40" s="7"/>
      <c r="BC40" s="7"/>
      <c r="BD40" s="7"/>
      <c r="BE40" s="7"/>
      <c r="BF40" s="7"/>
      <c r="BG40" s="7"/>
      <c r="BH40" s="7"/>
      <c r="BI40" s="7"/>
      <c r="BJ40" s="7"/>
      <c r="BK40" s="7"/>
      <c r="BL40" s="7"/>
      <c r="BM40" s="7"/>
    </row>
    <row r="41" spans="2:65" x14ac:dyDescent="0.2">
      <c r="B41" s="2" t="s">
        <v>50</v>
      </c>
      <c r="C41" s="8" t="e">
        <f t="shared" ref="C41:H41" si="30">+C21/C13</f>
        <v>#DIV/0!</v>
      </c>
      <c r="D41" s="8" t="e">
        <f t="shared" si="30"/>
        <v>#DIV/0!</v>
      </c>
      <c r="E41" s="8">
        <f t="shared" si="30"/>
        <v>-8.2640995208580707E-3</v>
      </c>
      <c r="F41" s="8" t="e">
        <f t="shared" si="30"/>
        <v>#DIV/0!</v>
      </c>
      <c r="G41" s="8">
        <f t="shared" si="30"/>
        <v>2.6768983670929098E-4</v>
      </c>
      <c r="H41" s="8">
        <f t="shared" si="30"/>
        <v>5.8565375302663411E-2</v>
      </c>
      <c r="I41" s="8">
        <f>+I21/I13</f>
        <v>2.905589281976137E-2</v>
      </c>
      <c r="J41" s="8" t="e">
        <f>+J21/J13</f>
        <v>#DIV/0!</v>
      </c>
      <c r="K41" s="8">
        <f>+K21/K13</f>
        <v>8.8861334986567661E-3</v>
      </c>
      <c r="L41" s="8">
        <f>+L21/L13</f>
        <v>5.1250396811399937E-2</v>
      </c>
      <c r="M41" s="8"/>
      <c r="N41" s="8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7"/>
      <c r="AU41" s="7"/>
      <c r="AV41" s="7"/>
      <c r="AW41" s="7"/>
      <c r="AX41" s="7"/>
      <c r="AY41" s="7"/>
      <c r="AZ41" s="7"/>
      <c r="BA41" s="7"/>
      <c r="BB41" s="7"/>
      <c r="BC41" s="7"/>
      <c r="BD41" s="7"/>
      <c r="BE41" s="7"/>
      <c r="BF41" s="7"/>
      <c r="BG41" s="7"/>
      <c r="BH41" s="7"/>
      <c r="BI41" s="7"/>
      <c r="BJ41" s="7"/>
      <c r="BK41" s="7"/>
      <c r="BL41" s="7"/>
      <c r="BM41" s="7"/>
    </row>
    <row r="42" spans="2:65" x14ac:dyDescent="0.2">
      <c r="B42" s="2" t="s">
        <v>51</v>
      </c>
      <c r="C42" s="8" t="e">
        <f t="shared" ref="C42:H42" si="31">+C26/C25</f>
        <v>#DIV/0!</v>
      </c>
      <c r="D42" s="8" t="e">
        <f t="shared" si="31"/>
        <v>#DIV/0!</v>
      </c>
      <c r="E42" s="8">
        <f t="shared" si="31"/>
        <v>0.62499999999999922</v>
      </c>
      <c r="F42" s="8" t="e">
        <f t="shared" si="31"/>
        <v>#DIV/0!</v>
      </c>
      <c r="G42" s="8">
        <f t="shared" si="31"/>
        <v>0.27200000000000446</v>
      </c>
      <c r="H42" s="8">
        <f t="shared" si="31"/>
        <v>0.35337837837837854</v>
      </c>
      <c r="I42" s="8">
        <f>+I26/I25</f>
        <v>0.220458553791887</v>
      </c>
      <c r="J42" s="8" t="e">
        <f>+J26/J25</f>
        <v>#DIV/0!</v>
      </c>
      <c r="K42" s="8">
        <f>+K26/K25</f>
        <v>0.44198895027624191</v>
      </c>
      <c r="L42" s="8">
        <f>+L26/L25</f>
        <v>0.33608247422680421</v>
      </c>
      <c r="M42" s="8"/>
      <c r="N42" s="8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7"/>
      <c r="AU42" s="7"/>
      <c r="AV42" s="7"/>
      <c r="AW42" s="7"/>
      <c r="AX42" s="7"/>
      <c r="AY42" s="7"/>
      <c r="AZ42" s="7"/>
      <c r="BA42" s="7"/>
      <c r="BB42" s="7"/>
      <c r="BC42" s="7"/>
      <c r="BD42" s="7"/>
      <c r="BE42" s="7"/>
      <c r="BF42" s="7"/>
      <c r="BG42" s="7"/>
      <c r="BH42" s="7"/>
      <c r="BI42" s="7"/>
      <c r="BJ42" s="7"/>
      <c r="BK42" s="7"/>
      <c r="BL42" s="7"/>
      <c r="BM42" s="7"/>
    </row>
    <row r="43" spans="2:65" x14ac:dyDescent="0.2"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7"/>
      <c r="AU43" s="7"/>
      <c r="AV43" s="7"/>
      <c r="AW43" s="7"/>
      <c r="AX43" s="7"/>
      <c r="AY43" s="7"/>
      <c r="AZ43" s="7"/>
      <c r="BA43" s="7"/>
      <c r="BB43" s="7"/>
      <c r="BC43" s="7"/>
      <c r="BD43" s="7"/>
      <c r="BE43" s="7"/>
      <c r="BF43" s="7"/>
      <c r="BG43" s="7"/>
      <c r="BH43" s="7"/>
      <c r="BI43" s="7"/>
      <c r="BJ43" s="7"/>
      <c r="BK43" s="7"/>
      <c r="BL43" s="7"/>
      <c r="BM43" s="7"/>
    </row>
    <row r="44" spans="2:65" x14ac:dyDescent="0.2"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7"/>
      <c r="AU44" s="7"/>
      <c r="AV44" s="7"/>
      <c r="AW44" s="7"/>
      <c r="AX44" s="7"/>
      <c r="AY44" s="7"/>
      <c r="AZ44" s="7"/>
      <c r="BA44" s="7"/>
      <c r="BB44" s="7"/>
      <c r="BC44" s="7"/>
      <c r="BD44" s="7"/>
      <c r="BE44" s="7"/>
      <c r="BF44" s="7"/>
      <c r="BG44" s="7"/>
      <c r="BH44" s="7"/>
      <c r="BI44" s="7"/>
      <c r="BJ44" s="7"/>
      <c r="BK44" s="7"/>
      <c r="BL44" s="7"/>
      <c r="BM44" s="7"/>
    </row>
    <row r="45" spans="2:65" x14ac:dyDescent="0.2"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7"/>
      <c r="AU45" s="7"/>
      <c r="AV45" s="7"/>
      <c r="AW45" s="7"/>
      <c r="AX45" s="7"/>
      <c r="AY45" s="7"/>
      <c r="AZ45" s="7"/>
      <c r="BA45" s="7"/>
      <c r="BB45" s="7"/>
      <c r="BC45" s="7"/>
      <c r="BD45" s="7"/>
      <c r="BE45" s="7"/>
      <c r="BF45" s="7"/>
      <c r="BG45" s="7"/>
      <c r="BH45" s="7"/>
      <c r="BI45" s="7"/>
      <c r="BJ45" s="7"/>
      <c r="BK45" s="7"/>
      <c r="BL45" s="7"/>
      <c r="BM45" s="7"/>
    </row>
    <row r="46" spans="2:65" x14ac:dyDescent="0.2"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7"/>
      <c r="AU46" s="7"/>
      <c r="AV46" s="7"/>
      <c r="AW46" s="7"/>
      <c r="AX46" s="7"/>
      <c r="AY46" s="7"/>
      <c r="AZ46" s="7"/>
      <c r="BA46" s="7"/>
      <c r="BB46" s="7"/>
      <c r="BC46" s="7"/>
      <c r="BD46" s="7"/>
      <c r="BE46" s="7"/>
      <c r="BF46" s="7"/>
      <c r="BG46" s="7"/>
      <c r="BH46" s="7"/>
      <c r="BI46" s="7"/>
      <c r="BJ46" s="7"/>
      <c r="BK46" s="7"/>
      <c r="BL46" s="7"/>
      <c r="BM46" s="7"/>
    </row>
    <row r="47" spans="2:65" x14ac:dyDescent="0.2"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7"/>
      <c r="AU47" s="7"/>
      <c r="AV47" s="7"/>
      <c r="AW47" s="7"/>
      <c r="AX47" s="7"/>
      <c r="AY47" s="7"/>
      <c r="AZ47" s="7"/>
      <c r="BA47" s="7"/>
      <c r="BB47" s="7"/>
      <c r="BC47" s="7"/>
      <c r="BD47" s="7"/>
      <c r="BE47" s="7"/>
      <c r="BF47" s="7"/>
      <c r="BG47" s="7"/>
      <c r="BH47" s="7"/>
      <c r="BI47" s="7"/>
      <c r="BJ47" s="7"/>
      <c r="BK47" s="7"/>
      <c r="BL47" s="7"/>
      <c r="BM47" s="7"/>
    </row>
    <row r="48" spans="2:65" x14ac:dyDescent="0.2"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7"/>
      <c r="AU48" s="7"/>
      <c r="AV48" s="7"/>
      <c r="AW48" s="7"/>
      <c r="AX48" s="7"/>
      <c r="AY48" s="7"/>
      <c r="AZ48" s="7"/>
      <c r="BA48" s="7"/>
      <c r="BB48" s="7"/>
      <c r="BC48" s="7"/>
      <c r="BD48" s="7"/>
      <c r="BE48" s="7"/>
      <c r="BF48" s="7"/>
      <c r="BG48" s="7"/>
      <c r="BH48" s="7"/>
      <c r="BI48" s="7"/>
      <c r="BJ48" s="7"/>
      <c r="BK48" s="7"/>
      <c r="BL48" s="7"/>
      <c r="BM48" s="7"/>
    </row>
    <row r="49" spans="3:65" x14ac:dyDescent="0.2"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7"/>
      <c r="AU49" s="7"/>
      <c r="AV49" s="7"/>
      <c r="AW49" s="7"/>
      <c r="AX49" s="7"/>
      <c r="AY49" s="7"/>
      <c r="AZ49" s="7"/>
      <c r="BA49" s="7"/>
      <c r="BB49" s="7"/>
      <c r="BC49" s="7"/>
      <c r="BD49" s="7"/>
      <c r="BE49" s="7"/>
      <c r="BF49" s="7"/>
      <c r="BG49" s="7"/>
      <c r="BH49" s="7"/>
      <c r="BI49" s="7"/>
      <c r="BJ49" s="7"/>
      <c r="BK49" s="7"/>
      <c r="BL49" s="7"/>
      <c r="BM49" s="7"/>
    </row>
    <row r="50" spans="3:65" x14ac:dyDescent="0.2"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7"/>
      <c r="AU50" s="7"/>
      <c r="AV50" s="7"/>
      <c r="AW50" s="7"/>
      <c r="AX50" s="7"/>
      <c r="AY50" s="7"/>
      <c r="AZ50" s="7"/>
      <c r="BA50" s="7"/>
      <c r="BB50" s="7"/>
      <c r="BC50" s="7"/>
      <c r="BD50" s="7"/>
      <c r="BE50" s="7"/>
      <c r="BF50" s="7"/>
      <c r="BG50" s="7"/>
      <c r="BH50" s="7"/>
      <c r="BI50" s="7"/>
      <c r="BJ50" s="7"/>
      <c r="BK50" s="7"/>
      <c r="BL50" s="7"/>
      <c r="BM50" s="7"/>
    </row>
    <row r="51" spans="3:65" x14ac:dyDescent="0.2"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7"/>
      <c r="AU51" s="7"/>
      <c r="AV51" s="7"/>
      <c r="AW51" s="7"/>
      <c r="AX51" s="7"/>
      <c r="AY51" s="7"/>
      <c r="AZ51" s="7"/>
      <c r="BA51" s="7"/>
      <c r="BB51" s="7"/>
      <c r="BC51" s="7"/>
      <c r="BD51" s="7"/>
      <c r="BE51" s="7"/>
      <c r="BF51" s="7"/>
      <c r="BG51" s="7"/>
      <c r="BH51" s="7"/>
      <c r="BI51" s="7"/>
      <c r="BJ51" s="7"/>
      <c r="BK51" s="7"/>
      <c r="BL51" s="7"/>
      <c r="BM51" s="7"/>
    </row>
    <row r="52" spans="3:65" x14ac:dyDescent="0.2"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7"/>
      <c r="AU52" s="7"/>
      <c r="AV52" s="7"/>
      <c r="AW52" s="7"/>
      <c r="AX52" s="7"/>
      <c r="AY52" s="7"/>
      <c r="AZ52" s="7"/>
      <c r="BA52" s="7"/>
      <c r="BB52" s="7"/>
      <c r="BC52" s="7"/>
      <c r="BD52" s="7"/>
      <c r="BE52" s="7"/>
      <c r="BF52" s="7"/>
      <c r="BG52" s="7"/>
      <c r="BH52" s="7"/>
      <c r="BI52" s="7"/>
      <c r="BJ52" s="7"/>
      <c r="BK52" s="7"/>
      <c r="BL52" s="7"/>
      <c r="BM52" s="7"/>
    </row>
    <row r="53" spans="3:65" x14ac:dyDescent="0.2"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7"/>
      <c r="AU53" s="7"/>
      <c r="AV53" s="7"/>
      <c r="AW53" s="7"/>
      <c r="AX53" s="7"/>
      <c r="AY53" s="7"/>
      <c r="AZ53" s="7"/>
      <c r="BA53" s="7"/>
      <c r="BB53" s="7"/>
      <c r="BC53" s="7"/>
      <c r="BD53" s="7"/>
      <c r="BE53" s="7"/>
      <c r="BF53" s="7"/>
      <c r="BG53" s="7"/>
      <c r="BH53" s="7"/>
      <c r="BI53" s="7"/>
      <c r="BJ53" s="7"/>
      <c r="BK53" s="7"/>
      <c r="BL53" s="7"/>
      <c r="BM53" s="7"/>
    </row>
    <row r="54" spans="3:65" x14ac:dyDescent="0.2"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7"/>
      <c r="AU54" s="7"/>
      <c r="AV54" s="7"/>
      <c r="AW54" s="7"/>
      <c r="AX54" s="7"/>
      <c r="AY54" s="7"/>
      <c r="AZ54" s="7"/>
      <c r="BA54" s="7"/>
      <c r="BB54" s="7"/>
      <c r="BC54" s="7"/>
      <c r="BD54" s="7"/>
      <c r="BE54" s="7"/>
      <c r="BF54" s="7"/>
      <c r="BG54" s="7"/>
      <c r="BH54" s="7"/>
      <c r="BI54" s="7"/>
      <c r="BJ54" s="7"/>
      <c r="BK54" s="7"/>
      <c r="BL54" s="7"/>
      <c r="BM54" s="7"/>
    </row>
    <row r="55" spans="3:65" x14ac:dyDescent="0.2"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7"/>
      <c r="AU55" s="7"/>
      <c r="AV55" s="7"/>
      <c r="AW55" s="7"/>
      <c r="AX55" s="7"/>
      <c r="AY55" s="7"/>
      <c r="AZ55" s="7"/>
      <c r="BA55" s="7"/>
      <c r="BB55" s="7"/>
      <c r="BC55" s="7"/>
      <c r="BD55" s="7"/>
      <c r="BE55" s="7"/>
      <c r="BF55" s="7"/>
      <c r="BG55" s="7"/>
      <c r="BH55" s="7"/>
      <c r="BI55" s="7"/>
      <c r="BJ55" s="7"/>
      <c r="BK55" s="7"/>
      <c r="BL55" s="7"/>
      <c r="BM55" s="7"/>
    </row>
    <row r="56" spans="3:65" x14ac:dyDescent="0.2"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7"/>
      <c r="AU56" s="7"/>
      <c r="AV56" s="7"/>
      <c r="AW56" s="7"/>
      <c r="AX56" s="7"/>
      <c r="AY56" s="7"/>
      <c r="AZ56" s="7"/>
      <c r="BA56" s="7"/>
      <c r="BB56" s="7"/>
      <c r="BC56" s="7"/>
      <c r="BD56" s="7"/>
      <c r="BE56" s="7"/>
      <c r="BF56" s="7"/>
      <c r="BG56" s="7"/>
      <c r="BH56" s="7"/>
      <c r="BI56" s="7"/>
      <c r="BJ56" s="7"/>
      <c r="BK56" s="7"/>
      <c r="BL56" s="7"/>
      <c r="BM56" s="7"/>
    </row>
    <row r="57" spans="3:65" x14ac:dyDescent="0.2"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7"/>
      <c r="AU57" s="7"/>
      <c r="AV57" s="7"/>
      <c r="AW57" s="7"/>
      <c r="AX57" s="7"/>
      <c r="AY57" s="7"/>
      <c r="AZ57" s="7"/>
      <c r="BA57" s="7"/>
      <c r="BB57" s="7"/>
      <c r="BC57" s="7"/>
      <c r="BD57" s="7"/>
      <c r="BE57" s="7"/>
      <c r="BF57" s="7"/>
      <c r="BG57" s="7"/>
      <c r="BH57" s="7"/>
      <c r="BI57" s="7"/>
      <c r="BJ57" s="7"/>
      <c r="BK57" s="7"/>
      <c r="BL57" s="7"/>
      <c r="BM57" s="7"/>
    </row>
    <row r="58" spans="3:65" x14ac:dyDescent="0.2"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7"/>
      <c r="AU58" s="7"/>
      <c r="AV58" s="7"/>
      <c r="AW58" s="7"/>
      <c r="AX58" s="7"/>
      <c r="AY58" s="7"/>
      <c r="AZ58" s="7"/>
      <c r="BA58" s="7"/>
      <c r="BB58" s="7"/>
      <c r="BC58" s="7"/>
      <c r="BD58" s="7"/>
      <c r="BE58" s="7"/>
      <c r="BF58" s="7"/>
      <c r="BG58" s="7"/>
      <c r="BH58" s="7"/>
      <c r="BI58" s="7"/>
      <c r="BJ58" s="7"/>
      <c r="BK58" s="7"/>
      <c r="BL58" s="7"/>
      <c r="BM58" s="7"/>
    </row>
    <row r="59" spans="3:65" x14ac:dyDescent="0.2"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7"/>
      <c r="AU59" s="7"/>
      <c r="AV59" s="7"/>
      <c r="AW59" s="7"/>
      <c r="AX59" s="7"/>
      <c r="AY59" s="7"/>
      <c r="AZ59" s="7"/>
      <c r="BA59" s="7"/>
      <c r="BB59" s="7"/>
      <c r="BC59" s="7"/>
      <c r="BD59" s="7"/>
      <c r="BE59" s="7"/>
      <c r="BF59" s="7"/>
      <c r="BG59" s="7"/>
      <c r="BH59" s="7"/>
      <c r="BI59" s="7"/>
      <c r="BJ59" s="7"/>
      <c r="BK59" s="7"/>
      <c r="BL59" s="7"/>
      <c r="BM59" s="7"/>
    </row>
    <row r="60" spans="3:65" x14ac:dyDescent="0.2"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7"/>
      <c r="AU60" s="7"/>
      <c r="AV60" s="7"/>
      <c r="AW60" s="7"/>
      <c r="AX60" s="7"/>
      <c r="AY60" s="7"/>
      <c r="AZ60" s="7"/>
      <c r="BA60" s="7"/>
      <c r="BB60" s="7"/>
      <c r="BC60" s="7"/>
      <c r="BD60" s="7"/>
      <c r="BE60" s="7"/>
      <c r="BF60" s="7"/>
      <c r="BG60" s="7"/>
      <c r="BH60" s="7"/>
      <c r="BI60" s="7"/>
      <c r="BJ60" s="7"/>
      <c r="BK60" s="7"/>
      <c r="BL60" s="7"/>
      <c r="BM60" s="7"/>
    </row>
    <row r="61" spans="3:65" x14ac:dyDescent="0.2"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7"/>
      <c r="AU61" s="7"/>
      <c r="AV61" s="7"/>
      <c r="AW61" s="7"/>
      <c r="AX61" s="7"/>
      <c r="AY61" s="7"/>
      <c r="AZ61" s="7"/>
      <c r="BA61" s="7"/>
      <c r="BB61" s="7"/>
      <c r="BC61" s="7"/>
      <c r="BD61" s="7"/>
      <c r="BE61" s="7"/>
      <c r="BF61" s="7"/>
      <c r="BG61" s="7"/>
      <c r="BH61" s="7"/>
      <c r="BI61" s="7"/>
      <c r="BJ61" s="7"/>
      <c r="BK61" s="7"/>
      <c r="BL61" s="7"/>
      <c r="BM61" s="7"/>
    </row>
    <row r="62" spans="3:65" x14ac:dyDescent="0.2"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7"/>
      <c r="AU62" s="7"/>
      <c r="AV62" s="7"/>
      <c r="AW62" s="7"/>
      <c r="AX62" s="7"/>
      <c r="AY62" s="7"/>
      <c r="AZ62" s="7"/>
      <c r="BA62" s="7"/>
      <c r="BB62" s="7"/>
      <c r="BC62" s="7"/>
      <c r="BD62" s="7"/>
      <c r="BE62" s="7"/>
      <c r="BF62" s="7"/>
      <c r="BG62" s="7"/>
      <c r="BH62" s="7"/>
      <c r="BI62" s="7"/>
      <c r="BJ62" s="7"/>
      <c r="BK62" s="7"/>
      <c r="BL62" s="7"/>
      <c r="BM62" s="7"/>
    </row>
    <row r="63" spans="3:65" x14ac:dyDescent="0.2"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7"/>
      <c r="AU63" s="7"/>
      <c r="AV63" s="7"/>
      <c r="AW63" s="7"/>
      <c r="AX63" s="7"/>
      <c r="AY63" s="7"/>
      <c r="AZ63" s="7"/>
      <c r="BA63" s="7"/>
      <c r="BB63" s="7"/>
      <c r="BC63" s="7"/>
      <c r="BD63" s="7"/>
      <c r="BE63" s="7"/>
      <c r="BF63" s="7"/>
      <c r="BG63" s="7"/>
      <c r="BH63" s="7"/>
      <c r="BI63" s="7"/>
      <c r="BJ63" s="7"/>
      <c r="BK63" s="7"/>
      <c r="BL63" s="7"/>
      <c r="BM63" s="7"/>
    </row>
    <row r="64" spans="3:65" x14ac:dyDescent="0.2"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7"/>
      <c r="AU64" s="7"/>
      <c r="AV64" s="7"/>
      <c r="AW64" s="7"/>
      <c r="AX64" s="7"/>
      <c r="AY64" s="7"/>
      <c r="AZ64" s="7"/>
      <c r="BA64" s="7"/>
      <c r="BB64" s="7"/>
      <c r="BC64" s="7"/>
      <c r="BD64" s="7"/>
      <c r="BE64" s="7"/>
      <c r="BF64" s="7"/>
      <c r="BG64" s="7"/>
      <c r="BH64" s="7"/>
      <c r="BI64" s="7"/>
      <c r="BJ64" s="7"/>
      <c r="BK64" s="7"/>
      <c r="BL64" s="7"/>
      <c r="BM64" s="7"/>
    </row>
    <row r="65" spans="3:65" x14ac:dyDescent="0.2"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7"/>
      <c r="AU65" s="7"/>
      <c r="AV65" s="7"/>
      <c r="AW65" s="7"/>
      <c r="AX65" s="7"/>
      <c r="AY65" s="7"/>
      <c r="AZ65" s="7"/>
      <c r="BA65" s="7"/>
      <c r="BB65" s="7"/>
      <c r="BC65" s="7"/>
      <c r="BD65" s="7"/>
      <c r="BE65" s="7"/>
      <c r="BF65" s="7"/>
      <c r="BG65" s="7"/>
      <c r="BH65" s="7"/>
      <c r="BI65" s="7"/>
      <c r="BJ65" s="7"/>
      <c r="BK65" s="7"/>
      <c r="BL65" s="7"/>
      <c r="BM65" s="7"/>
    </row>
    <row r="66" spans="3:65" x14ac:dyDescent="0.2"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7"/>
      <c r="AU66" s="7"/>
      <c r="AV66" s="7"/>
      <c r="AW66" s="7"/>
      <c r="AX66" s="7"/>
      <c r="AY66" s="7"/>
      <c r="AZ66" s="7"/>
      <c r="BA66" s="7"/>
      <c r="BB66" s="7"/>
      <c r="BC66" s="7"/>
      <c r="BD66" s="7"/>
      <c r="BE66" s="7"/>
      <c r="BF66" s="7"/>
      <c r="BG66" s="7"/>
      <c r="BH66" s="7"/>
      <c r="BI66" s="7"/>
      <c r="BJ66" s="7"/>
      <c r="BK66" s="7"/>
      <c r="BL66" s="7"/>
      <c r="BM66" s="7"/>
    </row>
    <row r="67" spans="3:65" x14ac:dyDescent="0.2"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7"/>
      <c r="AU67" s="7"/>
      <c r="AV67" s="7"/>
      <c r="AW67" s="7"/>
      <c r="AX67" s="7"/>
      <c r="AY67" s="7"/>
      <c r="AZ67" s="7"/>
      <c r="BA67" s="7"/>
      <c r="BB67" s="7"/>
      <c r="BC67" s="7"/>
      <c r="BD67" s="7"/>
      <c r="BE67" s="7"/>
      <c r="BF67" s="7"/>
      <c r="BG67" s="7"/>
      <c r="BH67" s="7"/>
      <c r="BI67" s="7"/>
      <c r="BJ67" s="7"/>
      <c r="BK67" s="7"/>
      <c r="BL67" s="7"/>
      <c r="BM67" s="7"/>
    </row>
    <row r="68" spans="3:65" x14ac:dyDescent="0.2"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7"/>
      <c r="AU68" s="7"/>
      <c r="AV68" s="7"/>
      <c r="AW68" s="7"/>
      <c r="AX68" s="7"/>
      <c r="AY68" s="7"/>
      <c r="AZ68" s="7"/>
      <c r="BA68" s="7"/>
      <c r="BB68" s="7"/>
      <c r="BC68" s="7"/>
      <c r="BD68" s="7"/>
      <c r="BE68" s="7"/>
      <c r="BF68" s="7"/>
      <c r="BG68" s="7"/>
      <c r="BH68" s="7"/>
      <c r="BI68" s="7"/>
      <c r="BJ68" s="7"/>
      <c r="BK68" s="7"/>
      <c r="BL68" s="7"/>
      <c r="BM68" s="7"/>
    </row>
    <row r="69" spans="3:65" x14ac:dyDescent="0.2"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7"/>
      <c r="AU69" s="7"/>
      <c r="AV69" s="7"/>
      <c r="AW69" s="7"/>
      <c r="AX69" s="7"/>
      <c r="AY69" s="7"/>
      <c r="AZ69" s="7"/>
      <c r="BA69" s="7"/>
      <c r="BB69" s="7"/>
      <c r="BC69" s="7"/>
      <c r="BD69" s="7"/>
      <c r="BE69" s="7"/>
      <c r="BF69" s="7"/>
      <c r="BG69" s="7"/>
      <c r="BH69" s="7"/>
      <c r="BI69" s="7"/>
      <c r="BJ69" s="7"/>
      <c r="BK69" s="7"/>
      <c r="BL69" s="7"/>
      <c r="BM69" s="7"/>
    </row>
    <row r="70" spans="3:65" x14ac:dyDescent="0.2"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7"/>
      <c r="AU70" s="7"/>
      <c r="AV70" s="7"/>
      <c r="AW70" s="7"/>
      <c r="AX70" s="7"/>
      <c r="AY70" s="7"/>
      <c r="AZ70" s="7"/>
      <c r="BA70" s="7"/>
      <c r="BB70" s="7"/>
      <c r="BC70" s="7"/>
      <c r="BD70" s="7"/>
      <c r="BE70" s="7"/>
      <c r="BF70" s="7"/>
      <c r="BG70" s="7"/>
      <c r="BH70" s="7"/>
      <c r="BI70" s="7"/>
      <c r="BJ70" s="7"/>
      <c r="BK70" s="7"/>
      <c r="BL70" s="7"/>
      <c r="BM70" s="7"/>
    </row>
    <row r="71" spans="3:65" x14ac:dyDescent="0.2"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7"/>
      <c r="AU71" s="7"/>
      <c r="AV71" s="7"/>
      <c r="AW71" s="7"/>
      <c r="AX71" s="7"/>
      <c r="AY71" s="7"/>
      <c r="AZ71" s="7"/>
      <c r="BA71" s="7"/>
      <c r="BB71" s="7"/>
      <c r="BC71" s="7"/>
      <c r="BD71" s="7"/>
      <c r="BE71" s="7"/>
      <c r="BF71" s="7"/>
      <c r="BG71" s="7"/>
      <c r="BH71" s="7"/>
      <c r="BI71" s="7"/>
      <c r="BJ71" s="7"/>
      <c r="BK71" s="7"/>
      <c r="BL71" s="7"/>
      <c r="BM71" s="7"/>
    </row>
    <row r="72" spans="3:65" x14ac:dyDescent="0.2"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7"/>
      <c r="AU72" s="7"/>
      <c r="AV72" s="7"/>
      <c r="AW72" s="7"/>
      <c r="AX72" s="7"/>
      <c r="AY72" s="7"/>
      <c r="AZ72" s="7"/>
      <c r="BA72" s="7"/>
      <c r="BB72" s="7"/>
      <c r="BC72" s="7"/>
      <c r="BD72" s="7"/>
      <c r="BE72" s="7"/>
      <c r="BF72" s="7"/>
      <c r="BG72" s="7"/>
      <c r="BH72" s="7"/>
      <c r="BI72" s="7"/>
      <c r="BJ72" s="7"/>
      <c r="BK72" s="7"/>
      <c r="BL72" s="7"/>
      <c r="BM72" s="7"/>
    </row>
    <row r="73" spans="3:65" x14ac:dyDescent="0.2"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7"/>
      <c r="AU73" s="7"/>
      <c r="AV73" s="7"/>
      <c r="AW73" s="7"/>
      <c r="AX73" s="7"/>
      <c r="AY73" s="7"/>
      <c r="AZ73" s="7"/>
      <c r="BA73" s="7"/>
      <c r="BB73" s="7"/>
      <c r="BC73" s="7"/>
      <c r="BD73" s="7"/>
      <c r="BE73" s="7"/>
      <c r="BF73" s="7"/>
      <c r="BG73" s="7"/>
      <c r="BH73" s="7"/>
      <c r="BI73" s="7"/>
      <c r="BJ73" s="7"/>
      <c r="BK73" s="7"/>
      <c r="BL73" s="7"/>
      <c r="BM73" s="7"/>
    </row>
    <row r="74" spans="3:65" x14ac:dyDescent="0.2"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7"/>
      <c r="AU74" s="7"/>
      <c r="AV74" s="7"/>
      <c r="AW74" s="7"/>
      <c r="AX74" s="7"/>
      <c r="AY74" s="7"/>
      <c r="AZ74" s="7"/>
      <c r="BA74" s="7"/>
      <c r="BB74" s="7"/>
      <c r="BC74" s="7"/>
      <c r="BD74" s="7"/>
      <c r="BE74" s="7"/>
      <c r="BF74" s="7"/>
      <c r="BG74" s="7"/>
      <c r="BH74" s="7"/>
      <c r="BI74" s="7"/>
      <c r="BJ74" s="7"/>
      <c r="BK74" s="7"/>
      <c r="BL74" s="7"/>
      <c r="BM74" s="7"/>
    </row>
    <row r="75" spans="3:65" x14ac:dyDescent="0.2"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7"/>
      <c r="AU75" s="7"/>
      <c r="AV75" s="7"/>
      <c r="AW75" s="7"/>
      <c r="AX75" s="7"/>
      <c r="AY75" s="7"/>
      <c r="AZ75" s="7"/>
      <c r="BA75" s="7"/>
      <c r="BB75" s="7"/>
      <c r="BC75" s="7"/>
      <c r="BD75" s="7"/>
      <c r="BE75" s="7"/>
      <c r="BF75" s="7"/>
      <c r="BG75" s="7"/>
      <c r="BH75" s="7"/>
      <c r="BI75" s="7"/>
      <c r="BJ75" s="7"/>
      <c r="BK75" s="7"/>
      <c r="BL75" s="7"/>
      <c r="BM75" s="7"/>
    </row>
    <row r="76" spans="3:65" x14ac:dyDescent="0.2"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7"/>
      <c r="AU76" s="7"/>
      <c r="AV76" s="7"/>
      <c r="AW76" s="7"/>
      <c r="AX76" s="7"/>
      <c r="AY76" s="7"/>
      <c r="AZ76" s="7"/>
      <c r="BA76" s="7"/>
      <c r="BB76" s="7"/>
      <c r="BC76" s="7"/>
      <c r="BD76" s="7"/>
      <c r="BE76" s="7"/>
      <c r="BF76" s="7"/>
      <c r="BG76" s="7"/>
      <c r="BH76" s="7"/>
      <c r="BI76" s="7"/>
      <c r="BJ76" s="7"/>
      <c r="BK76" s="7"/>
      <c r="BL76" s="7"/>
      <c r="BM76" s="7"/>
    </row>
    <row r="77" spans="3:65" x14ac:dyDescent="0.2"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7"/>
      <c r="AU77" s="7"/>
      <c r="AV77" s="7"/>
      <c r="AW77" s="7"/>
      <c r="AX77" s="7"/>
      <c r="AY77" s="7"/>
      <c r="AZ77" s="7"/>
      <c r="BA77" s="7"/>
      <c r="BB77" s="7"/>
      <c r="BC77" s="7"/>
      <c r="BD77" s="7"/>
      <c r="BE77" s="7"/>
      <c r="BF77" s="7"/>
      <c r="BG77" s="7"/>
      <c r="BH77" s="7"/>
      <c r="BI77" s="7"/>
      <c r="BJ77" s="7"/>
      <c r="BK77" s="7"/>
      <c r="BL77" s="7"/>
      <c r="BM77" s="7"/>
    </row>
    <row r="78" spans="3:65" x14ac:dyDescent="0.2"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7"/>
      <c r="AU78" s="7"/>
      <c r="AV78" s="7"/>
      <c r="AW78" s="7"/>
      <c r="AX78" s="7"/>
      <c r="AY78" s="7"/>
      <c r="AZ78" s="7"/>
      <c r="BA78" s="7"/>
      <c r="BB78" s="7"/>
      <c r="BC78" s="7"/>
      <c r="BD78" s="7"/>
      <c r="BE78" s="7"/>
      <c r="BF78" s="7"/>
      <c r="BG78" s="7"/>
      <c r="BH78" s="7"/>
      <c r="BI78" s="7"/>
      <c r="BJ78" s="7"/>
      <c r="BK78" s="7"/>
      <c r="BL78" s="7"/>
      <c r="BM78" s="7"/>
    </row>
    <row r="79" spans="3:65" x14ac:dyDescent="0.2"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7"/>
      <c r="AU79" s="7"/>
      <c r="AV79" s="7"/>
      <c r="AW79" s="7"/>
      <c r="AX79" s="7"/>
      <c r="AY79" s="7"/>
      <c r="AZ79" s="7"/>
      <c r="BA79" s="7"/>
      <c r="BB79" s="7"/>
      <c r="BC79" s="7"/>
      <c r="BD79" s="7"/>
      <c r="BE79" s="7"/>
      <c r="BF79" s="7"/>
      <c r="BG79" s="7"/>
      <c r="BH79" s="7"/>
      <c r="BI79" s="7"/>
      <c r="BJ79" s="7"/>
      <c r="BK79" s="7"/>
      <c r="BL79" s="7"/>
      <c r="BM79" s="7"/>
    </row>
    <row r="80" spans="3:65" x14ac:dyDescent="0.2"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7"/>
      <c r="AU80" s="7"/>
      <c r="AV80" s="7"/>
      <c r="AW80" s="7"/>
      <c r="AX80" s="7"/>
      <c r="AY80" s="7"/>
      <c r="AZ80" s="7"/>
      <c r="BA80" s="7"/>
      <c r="BB80" s="7"/>
      <c r="BC80" s="7"/>
      <c r="BD80" s="7"/>
      <c r="BE80" s="7"/>
      <c r="BF80" s="7"/>
      <c r="BG80" s="7"/>
      <c r="BH80" s="7"/>
      <c r="BI80" s="7"/>
      <c r="BJ80" s="7"/>
      <c r="BK80" s="7"/>
      <c r="BL80" s="7"/>
      <c r="BM80" s="7"/>
    </row>
    <row r="81" spans="3:65" x14ac:dyDescent="0.2"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7"/>
      <c r="AU81" s="7"/>
      <c r="AV81" s="7"/>
      <c r="AW81" s="7"/>
      <c r="AX81" s="7"/>
      <c r="AY81" s="7"/>
      <c r="AZ81" s="7"/>
      <c r="BA81" s="7"/>
      <c r="BB81" s="7"/>
      <c r="BC81" s="7"/>
      <c r="BD81" s="7"/>
      <c r="BE81" s="7"/>
      <c r="BF81" s="7"/>
      <c r="BG81" s="7"/>
      <c r="BH81" s="7"/>
      <c r="BI81" s="7"/>
      <c r="BJ81" s="7"/>
      <c r="BK81" s="7"/>
      <c r="BL81" s="7"/>
      <c r="BM81" s="7"/>
    </row>
    <row r="82" spans="3:65" x14ac:dyDescent="0.2"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7"/>
      <c r="AU82" s="7"/>
      <c r="AV82" s="7"/>
      <c r="AW82" s="7"/>
      <c r="AX82" s="7"/>
      <c r="AY82" s="7"/>
      <c r="AZ82" s="7"/>
      <c r="BA82" s="7"/>
      <c r="BB82" s="7"/>
      <c r="BC82" s="7"/>
      <c r="BD82" s="7"/>
      <c r="BE82" s="7"/>
      <c r="BF82" s="7"/>
      <c r="BG82" s="7"/>
      <c r="BH82" s="7"/>
      <c r="BI82" s="7"/>
      <c r="BJ82" s="7"/>
      <c r="BK82" s="7"/>
      <c r="BL82" s="7"/>
      <c r="BM82" s="7"/>
    </row>
    <row r="83" spans="3:65" x14ac:dyDescent="0.2"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7"/>
      <c r="AU83" s="7"/>
      <c r="AV83" s="7"/>
      <c r="AW83" s="7"/>
      <c r="AX83" s="7"/>
      <c r="AY83" s="7"/>
      <c r="AZ83" s="7"/>
      <c r="BA83" s="7"/>
      <c r="BB83" s="7"/>
      <c r="BC83" s="7"/>
      <c r="BD83" s="7"/>
      <c r="BE83" s="7"/>
      <c r="BF83" s="7"/>
      <c r="BG83" s="7"/>
      <c r="BH83" s="7"/>
      <c r="BI83" s="7"/>
      <c r="BJ83" s="7"/>
      <c r="BK83" s="7"/>
      <c r="BL83" s="7"/>
      <c r="BM83" s="7"/>
    </row>
    <row r="84" spans="3:65" x14ac:dyDescent="0.2"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7"/>
      <c r="AU84" s="7"/>
      <c r="AV84" s="7"/>
      <c r="AW84" s="7"/>
      <c r="AX84" s="7"/>
      <c r="AY84" s="7"/>
      <c r="AZ84" s="7"/>
      <c r="BA84" s="7"/>
      <c r="BB84" s="7"/>
      <c r="BC84" s="7"/>
      <c r="BD84" s="7"/>
      <c r="BE84" s="7"/>
      <c r="BF84" s="7"/>
      <c r="BG84" s="7"/>
      <c r="BH84" s="7"/>
      <c r="BI84" s="7"/>
      <c r="BJ84" s="7"/>
      <c r="BK84" s="7"/>
      <c r="BL84" s="7"/>
      <c r="BM84" s="7"/>
    </row>
    <row r="85" spans="3:65" x14ac:dyDescent="0.2"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7"/>
      <c r="AU85" s="7"/>
      <c r="AV85" s="7"/>
      <c r="AW85" s="7"/>
      <c r="AX85" s="7"/>
      <c r="AY85" s="7"/>
      <c r="AZ85" s="7"/>
      <c r="BA85" s="7"/>
      <c r="BB85" s="7"/>
      <c r="BC85" s="7"/>
      <c r="BD85" s="7"/>
      <c r="BE85" s="7"/>
      <c r="BF85" s="7"/>
      <c r="BG85" s="7"/>
      <c r="BH85" s="7"/>
      <c r="BI85" s="7"/>
      <c r="BJ85" s="7"/>
      <c r="BK85" s="7"/>
      <c r="BL85" s="7"/>
      <c r="BM85" s="7"/>
    </row>
    <row r="86" spans="3:65" x14ac:dyDescent="0.2"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7"/>
      <c r="AU86" s="7"/>
      <c r="AV86" s="7"/>
      <c r="AW86" s="7"/>
      <c r="AX86" s="7"/>
      <c r="AY86" s="7"/>
      <c r="AZ86" s="7"/>
      <c r="BA86" s="7"/>
      <c r="BB86" s="7"/>
      <c r="BC86" s="7"/>
      <c r="BD86" s="7"/>
      <c r="BE86" s="7"/>
      <c r="BF86" s="7"/>
      <c r="BG86" s="7"/>
      <c r="BH86" s="7"/>
      <c r="BI86" s="7"/>
      <c r="BJ86" s="7"/>
      <c r="BK86" s="7"/>
      <c r="BL86" s="7"/>
      <c r="BM86" s="7"/>
    </row>
    <row r="87" spans="3:65" x14ac:dyDescent="0.2"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7"/>
      <c r="AU87" s="7"/>
      <c r="AV87" s="7"/>
      <c r="AW87" s="7"/>
      <c r="AX87" s="7"/>
      <c r="AY87" s="7"/>
      <c r="AZ87" s="7"/>
      <c r="BA87" s="7"/>
      <c r="BB87" s="7"/>
      <c r="BC87" s="7"/>
      <c r="BD87" s="7"/>
      <c r="BE87" s="7"/>
      <c r="BF87" s="7"/>
      <c r="BG87" s="7"/>
      <c r="BH87" s="7"/>
      <c r="BI87" s="7"/>
      <c r="BJ87" s="7"/>
      <c r="BK87" s="7"/>
      <c r="BL87" s="7"/>
      <c r="BM87" s="7"/>
    </row>
    <row r="88" spans="3:65" x14ac:dyDescent="0.2"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7"/>
      <c r="AU88" s="7"/>
      <c r="AV88" s="7"/>
      <c r="AW88" s="7"/>
      <c r="AX88" s="7"/>
      <c r="AY88" s="7"/>
      <c r="AZ88" s="7"/>
      <c r="BA88" s="7"/>
      <c r="BB88" s="7"/>
      <c r="BC88" s="7"/>
      <c r="BD88" s="7"/>
      <c r="BE88" s="7"/>
      <c r="BF88" s="7"/>
      <c r="BG88" s="7"/>
      <c r="BH88" s="7"/>
      <c r="BI88" s="7"/>
      <c r="BJ88" s="7"/>
      <c r="BK88" s="7"/>
      <c r="BL88" s="7"/>
      <c r="BM88" s="7"/>
    </row>
    <row r="89" spans="3:65" x14ac:dyDescent="0.2"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7"/>
      <c r="AU89" s="7"/>
      <c r="AV89" s="7"/>
      <c r="AW89" s="7"/>
      <c r="AX89" s="7"/>
      <c r="AY89" s="7"/>
      <c r="AZ89" s="7"/>
      <c r="BA89" s="7"/>
      <c r="BB89" s="7"/>
      <c r="BC89" s="7"/>
      <c r="BD89" s="7"/>
      <c r="BE89" s="7"/>
      <c r="BF89" s="7"/>
      <c r="BG89" s="7"/>
      <c r="BH89" s="7"/>
      <c r="BI89" s="7"/>
      <c r="BJ89" s="7"/>
      <c r="BK89" s="7"/>
      <c r="BL89" s="7"/>
      <c r="BM89" s="7"/>
    </row>
    <row r="90" spans="3:65" x14ac:dyDescent="0.2"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7"/>
      <c r="AU90" s="7"/>
      <c r="AV90" s="7"/>
      <c r="AW90" s="7"/>
      <c r="AX90" s="7"/>
      <c r="AY90" s="7"/>
      <c r="AZ90" s="7"/>
      <c r="BA90" s="7"/>
      <c r="BB90" s="7"/>
      <c r="BC90" s="7"/>
      <c r="BD90" s="7"/>
      <c r="BE90" s="7"/>
      <c r="BF90" s="7"/>
      <c r="BG90" s="7"/>
      <c r="BH90" s="7"/>
      <c r="BI90" s="7"/>
      <c r="BJ90" s="7"/>
      <c r="BK90" s="7"/>
      <c r="BL90" s="7"/>
      <c r="BM90" s="7"/>
    </row>
    <row r="91" spans="3:65" x14ac:dyDescent="0.2"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7"/>
      <c r="AU91" s="7"/>
      <c r="AV91" s="7"/>
      <c r="AW91" s="7"/>
      <c r="AX91" s="7"/>
      <c r="AY91" s="7"/>
      <c r="AZ91" s="7"/>
      <c r="BA91" s="7"/>
      <c r="BB91" s="7"/>
      <c r="BC91" s="7"/>
      <c r="BD91" s="7"/>
      <c r="BE91" s="7"/>
      <c r="BF91" s="7"/>
      <c r="BG91" s="7"/>
      <c r="BH91" s="7"/>
      <c r="BI91" s="7"/>
      <c r="BJ91" s="7"/>
      <c r="BK91" s="7"/>
      <c r="BL91" s="7"/>
      <c r="BM91" s="7"/>
    </row>
    <row r="92" spans="3:65" x14ac:dyDescent="0.2"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7"/>
      <c r="AU92" s="7"/>
      <c r="AV92" s="7"/>
      <c r="AW92" s="7"/>
      <c r="AX92" s="7"/>
      <c r="AY92" s="7"/>
      <c r="AZ92" s="7"/>
      <c r="BA92" s="7"/>
      <c r="BB92" s="7"/>
      <c r="BC92" s="7"/>
      <c r="BD92" s="7"/>
      <c r="BE92" s="7"/>
      <c r="BF92" s="7"/>
      <c r="BG92" s="7"/>
      <c r="BH92" s="7"/>
      <c r="BI92" s="7"/>
      <c r="BJ92" s="7"/>
      <c r="BK92" s="7"/>
      <c r="BL92" s="7"/>
      <c r="BM92" s="7"/>
    </row>
    <row r="93" spans="3:65" x14ac:dyDescent="0.2"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7"/>
      <c r="AU93" s="7"/>
      <c r="AV93" s="7"/>
      <c r="AW93" s="7"/>
      <c r="AX93" s="7"/>
      <c r="AY93" s="7"/>
      <c r="AZ93" s="7"/>
      <c r="BA93" s="7"/>
      <c r="BB93" s="7"/>
      <c r="BC93" s="7"/>
      <c r="BD93" s="7"/>
      <c r="BE93" s="7"/>
      <c r="BF93" s="7"/>
      <c r="BG93" s="7"/>
      <c r="BH93" s="7"/>
      <c r="BI93" s="7"/>
      <c r="BJ93" s="7"/>
      <c r="BK93" s="7"/>
      <c r="BL93" s="7"/>
      <c r="BM93" s="7"/>
    </row>
    <row r="94" spans="3:65" x14ac:dyDescent="0.2"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7"/>
      <c r="AU94" s="7"/>
      <c r="AV94" s="7"/>
      <c r="AW94" s="7"/>
      <c r="AX94" s="7"/>
      <c r="AY94" s="7"/>
      <c r="AZ94" s="7"/>
      <c r="BA94" s="7"/>
      <c r="BB94" s="7"/>
      <c r="BC94" s="7"/>
      <c r="BD94" s="7"/>
      <c r="BE94" s="7"/>
      <c r="BF94" s="7"/>
      <c r="BG94" s="7"/>
      <c r="BH94" s="7"/>
      <c r="BI94" s="7"/>
      <c r="BJ94" s="7"/>
      <c r="BK94" s="7"/>
      <c r="BL94" s="7"/>
      <c r="BM94" s="7"/>
    </row>
    <row r="95" spans="3:65" x14ac:dyDescent="0.2"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7"/>
      <c r="AU95" s="7"/>
      <c r="AV95" s="7"/>
      <c r="AW95" s="7"/>
      <c r="AX95" s="7"/>
      <c r="AY95" s="7"/>
      <c r="AZ95" s="7"/>
      <c r="BA95" s="7"/>
      <c r="BB95" s="7"/>
      <c r="BC95" s="7"/>
      <c r="BD95" s="7"/>
      <c r="BE95" s="7"/>
      <c r="BF95" s="7"/>
      <c r="BG95" s="7"/>
      <c r="BH95" s="7"/>
      <c r="BI95" s="7"/>
      <c r="BJ95" s="7"/>
      <c r="BK95" s="7"/>
      <c r="BL95" s="7"/>
      <c r="BM95" s="7"/>
    </row>
    <row r="96" spans="3:65" x14ac:dyDescent="0.2"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7"/>
      <c r="AU96" s="7"/>
      <c r="AV96" s="7"/>
      <c r="AW96" s="7"/>
      <c r="AX96" s="7"/>
      <c r="AY96" s="7"/>
      <c r="AZ96" s="7"/>
      <c r="BA96" s="7"/>
      <c r="BB96" s="7"/>
      <c r="BC96" s="7"/>
      <c r="BD96" s="7"/>
      <c r="BE96" s="7"/>
      <c r="BF96" s="7"/>
      <c r="BG96" s="7"/>
      <c r="BH96" s="7"/>
      <c r="BI96" s="7"/>
      <c r="BJ96" s="7"/>
      <c r="BK96" s="7"/>
      <c r="BL96" s="7"/>
      <c r="BM96" s="7"/>
    </row>
    <row r="97" spans="3:65" x14ac:dyDescent="0.2"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7"/>
      <c r="AU97" s="7"/>
      <c r="AV97" s="7"/>
      <c r="AW97" s="7"/>
      <c r="AX97" s="7"/>
      <c r="AY97" s="7"/>
      <c r="AZ97" s="7"/>
      <c r="BA97" s="7"/>
      <c r="BB97" s="7"/>
      <c r="BC97" s="7"/>
      <c r="BD97" s="7"/>
      <c r="BE97" s="7"/>
      <c r="BF97" s="7"/>
      <c r="BG97" s="7"/>
      <c r="BH97" s="7"/>
      <c r="BI97" s="7"/>
      <c r="BJ97" s="7"/>
      <c r="BK97" s="7"/>
      <c r="BL97" s="7"/>
      <c r="BM97" s="7"/>
    </row>
    <row r="98" spans="3:65" x14ac:dyDescent="0.2"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7"/>
      <c r="AU98" s="7"/>
      <c r="AV98" s="7"/>
      <c r="AW98" s="7"/>
      <c r="AX98" s="7"/>
      <c r="AY98" s="7"/>
      <c r="AZ98" s="7"/>
      <c r="BA98" s="7"/>
      <c r="BB98" s="7"/>
      <c r="BC98" s="7"/>
      <c r="BD98" s="7"/>
      <c r="BE98" s="7"/>
      <c r="BF98" s="7"/>
      <c r="BG98" s="7"/>
      <c r="BH98" s="7"/>
      <c r="BI98" s="7"/>
      <c r="BJ98" s="7"/>
      <c r="BK98" s="7"/>
      <c r="BL98" s="7"/>
      <c r="BM98" s="7"/>
    </row>
    <row r="99" spans="3:65" x14ac:dyDescent="0.2"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7"/>
      <c r="AU99" s="7"/>
      <c r="AV99" s="7"/>
      <c r="AW99" s="7"/>
      <c r="AX99" s="7"/>
      <c r="AY99" s="7"/>
      <c r="AZ99" s="7"/>
      <c r="BA99" s="7"/>
      <c r="BB99" s="7"/>
      <c r="BC99" s="7"/>
      <c r="BD99" s="7"/>
      <c r="BE99" s="7"/>
      <c r="BF99" s="7"/>
      <c r="BG99" s="7"/>
      <c r="BH99" s="7"/>
      <c r="BI99" s="7"/>
      <c r="BJ99" s="7"/>
      <c r="BK99" s="7"/>
      <c r="BL99" s="7"/>
      <c r="BM99" s="7"/>
    </row>
    <row r="100" spans="3:65" x14ac:dyDescent="0.2"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7"/>
      <c r="AU100" s="7"/>
      <c r="AV100" s="7"/>
      <c r="AW100" s="7"/>
      <c r="AX100" s="7"/>
      <c r="AY100" s="7"/>
      <c r="AZ100" s="7"/>
      <c r="BA100" s="7"/>
      <c r="BB100" s="7"/>
      <c r="BC100" s="7"/>
      <c r="BD100" s="7"/>
      <c r="BE100" s="7"/>
      <c r="BF100" s="7"/>
      <c r="BG100" s="7"/>
      <c r="BH100" s="7"/>
      <c r="BI100" s="7"/>
      <c r="BJ100" s="7"/>
      <c r="BK100" s="7"/>
      <c r="BL100" s="7"/>
      <c r="BM100" s="7"/>
    </row>
    <row r="101" spans="3:65" x14ac:dyDescent="0.2"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7"/>
      <c r="AU101" s="7"/>
      <c r="AV101" s="7"/>
      <c r="AW101" s="7"/>
      <c r="AX101" s="7"/>
      <c r="AY101" s="7"/>
      <c r="AZ101" s="7"/>
      <c r="BA101" s="7"/>
      <c r="BB101" s="7"/>
      <c r="BC101" s="7"/>
      <c r="BD101" s="7"/>
      <c r="BE101" s="7"/>
      <c r="BF101" s="7"/>
      <c r="BG101" s="7"/>
      <c r="BH101" s="7"/>
      <c r="BI101" s="7"/>
      <c r="BJ101" s="7"/>
      <c r="BK101" s="7"/>
      <c r="BL101" s="7"/>
      <c r="BM101" s="7"/>
    </row>
    <row r="102" spans="3:65" x14ac:dyDescent="0.2"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7"/>
      <c r="AU102" s="7"/>
      <c r="AV102" s="7"/>
      <c r="AW102" s="7"/>
      <c r="AX102" s="7"/>
      <c r="AY102" s="7"/>
      <c r="AZ102" s="7"/>
      <c r="BA102" s="7"/>
      <c r="BB102" s="7"/>
      <c r="BC102" s="7"/>
      <c r="BD102" s="7"/>
      <c r="BE102" s="7"/>
      <c r="BF102" s="7"/>
      <c r="BG102" s="7"/>
      <c r="BH102" s="7"/>
      <c r="BI102" s="7"/>
      <c r="BJ102" s="7"/>
      <c r="BK102" s="7"/>
      <c r="BL102" s="7"/>
      <c r="BM102" s="7"/>
    </row>
    <row r="103" spans="3:65" x14ac:dyDescent="0.2"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7"/>
      <c r="AU103" s="7"/>
      <c r="AV103" s="7"/>
      <c r="AW103" s="7"/>
      <c r="AX103" s="7"/>
      <c r="AY103" s="7"/>
      <c r="AZ103" s="7"/>
      <c r="BA103" s="7"/>
      <c r="BB103" s="7"/>
      <c r="BC103" s="7"/>
      <c r="BD103" s="7"/>
      <c r="BE103" s="7"/>
      <c r="BF103" s="7"/>
      <c r="BG103" s="7"/>
      <c r="BH103" s="7"/>
      <c r="BI103" s="7"/>
      <c r="BJ103" s="7"/>
      <c r="BK103" s="7"/>
      <c r="BL103" s="7"/>
      <c r="BM103" s="7"/>
    </row>
    <row r="104" spans="3:65" x14ac:dyDescent="0.2"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7"/>
      <c r="AU104" s="7"/>
      <c r="AV104" s="7"/>
      <c r="AW104" s="7"/>
      <c r="AX104" s="7"/>
      <c r="AY104" s="7"/>
      <c r="AZ104" s="7"/>
      <c r="BA104" s="7"/>
      <c r="BB104" s="7"/>
      <c r="BC104" s="7"/>
      <c r="BD104" s="7"/>
      <c r="BE104" s="7"/>
      <c r="BF104" s="7"/>
      <c r="BG104" s="7"/>
      <c r="BH104" s="7"/>
      <c r="BI104" s="7"/>
      <c r="BJ104" s="7"/>
      <c r="BK104" s="7"/>
      <c r="BL104" s="7"/>
      <c r="BM104" s="7"/>
    </row>
    <row r="105" spans="3:65" x14ac:dyDescent="0.2"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7"/>
      <c r="AU105" s="7"/>
      <c r="AV105" s="7"/>
      <c r="AW105" s="7"/>
      <c r="AX105" s="7"/>
      <c r="AY105" s="7"/>
      <c r="AZ105" s="7"/>
      <c r="BA105" s="7"/>
      <c r="BB105" s="7"/>
      <c r="BC105" s="7"/>
      <c r="BD105" s="7"/>
      <c r="BE105" s="7"/>
      <c r="BF105" s="7"/>
      <c r="BG105" s="7"/>
      <c r="BH105" s="7"/>
      <c r="BI105" s="7"/>
      <c r="BJ105" s="7"/>
      <c r="BK105" s="7"/>
      <c r="BL105" s="7"/>
      <c r="BM105" s="7"/>
    </row>
    <row r="106" spans="3:65" x14ac:dyDescent="0.2"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7"/>
      <c r="AU106" s="7"/>
      <c r="AV106" s="7"/>
      <c r="AW106" s="7"/>
      <c r="AX106" s="7"/>
      <c r="AY106" s="7"/>
      <c r="AZ106" s="7"/>
      <c r="BA106" s="7"/>
      <c r="BB106" s="7"/>
      <c r="BC106" s="7"/>
      <c r="BD106" s="7"/>
      <c r="BE106" s="7"/>
      <c r="BF106" s="7"/>
      <c r="BG106" s="7"/>
      <c r="BH106" s="7"/>
      <c r="BI106" s="7"/>
      <c r="BJ106" s="7"/>
      <c r="BK106" s="7"/>
      <c r="BL106" s="7"/>
      <c r="BM106" s="7"/>
    </row>
    <row r="107" spans="3:65" x14ac:dyDescent="0.2"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7"/>
      <c r="AU107" s="7"/>
      <c r="AV107" s="7"/>
      <c r="AW107" s="7"/>
      <c r="AX107" s="7"/>
      <c r="AY107" s="7"/>
      <c r="AZ107" s="7"/>
      <c r="BA107" s="7"/>
      <c r="BB107" s="7"/>
      <c r="BC107" s="7"/>
      <c r="BD107" s="7"/>
      <c r="BE107" s="7"/>
      <c r="BF107" s="7"/>
      <c r="BG107" s="7"/>
      <c r="BH107" s="7"/>
      <c r="BI107" s="7"/>
      <c r="BJ107" s="7"/>
      <c r="BK107" s="7"/>
      <c r="BL107" s="7"/>
      <c r="BM107" s="7"/>
    </row>
    <row r="108" spans="3:65" x14ac:dyDescent="0.2"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7"/>
      <c r="AU108" s="7"/>
      <c r="AV108" s="7"/>
      <c r="AW108" s="7"/>
      <c r="AX108" s="7"/>
      <c r="AY108" s="7"/>
      <c r="AZ108" s="7"/>
      <c r="BA108" s="7"/>
      <c r="BB108" s="7"/>
      <c r="BC108" s="7"/>
      <c r="BD108" s="7"/>
      <c r="BE108" s="7"/>
      <c r="BF108" s="7"/>
      <c r="BG108" s="7"/>
      <c r="BH108" s="7"/>
      <c r="BI108" s="7"/>
      <c r="BJ108" s="7"/>
      <c r="BK108" s="7"/>
      <c r="BL108" s="7"/>
      <c r="BM108" s="7"/>
    </row>
    <row r="109" spans="3:65" x14ac:dyDescent="0.2"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7"/>
      <c r="AU109" s="7"/>
      <c r="AV109" s="7"/>
      <c r="AW109" s="7"/>
      <c r="AX109" s="7"/>
      <c r="AY109" s="7"/>
      <c r="AZ109" s="7"/>
      <c r="BA109" s="7"/>
      <c r="BB109" s="7"/>
      <c r="BC109" s="7"/>
      <c r="BD109" s="7"/>
      <c r="BE109" s="7"/>
      <c r="BF109" s="7"/>
      <c r="BG109" s="7"/>
      <c r="BH109" s="7"/>
      <c r="BI109" s="7"/>
      <c r="BJ109" s="7"/>
      <c r="BK109" s="7"/>
      <c r="BL109" s="7"/>
      <c r="BM109" s="7"/>
    </row>
    <row r="110" spans="3:65" x14ac:dyDescent="0.2"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7"/>
      <c r="AU110" s="7"/>
      <c r="AV110" s="7"/>
      <c r="AW110" s="7"/>
      <c r="AX110" s="7"/>
      <c r="AY110" s="7"/>
      <c r="AZ110" s="7"/>
      <c r="BA110" s="7"/>
      <c r="BB110" s="7"/>
      <c r="BC110" s="7"/>
      <c r="BD110" s="7"/>
      <c r="BE110" s="7"/>
      <c r="BF110" s="7"/>
      <c r="BG110" s="7"/>
      <c r="BH110" s="7"/>
      <c r="BI110" s="7"/>
      <c r="BJ110" s="7"/>
      <c r="BK110" s="7"/>
      <c r="BL110" s="7"/>
      <c r="BM110" s="7"/>
    </row>
    <row r="111" spans="3:65" x14ac:dyDescent="0.2"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7"/>
      <c r="AU111" s="7"/>
      <c r="AV111" s="7"/>
      <c r="AW111" s="7"/>
      <c r="AX111" s="7"/>
      <c r="AY111" s="7"/>
      <c r="AZ111" s="7"/>
      <c r="BA111" s="7"/>
      <c r="BB111" s="7"/>
      <c r="BC111" s="7"/>
      <c r="BD111" s="7"/>
      <c r="BE111" s="7"/>
      <c r="BF111" s="7"/>
      <c r="BG111" s="7"/>
      <c r="BH111" s="7"/>
      <c r="BI111" s="7"/>
      <c r="BJ111" s="7"/>
      <c r="BK111" s="7"/>
      <c r="BL111" s="7"/>
      <c r="BM111" s="7"/>
    </row>
    <row r="112" spans="3:65" x14ac:dyDescent="0.2"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7"/>
      <c r="AU112" s="7"/>
      <c r="AV112" s="7"/>
      <c r="AW112" s="7"/>
      <c r="AX112" s="7"/>
      <c r="AY112" s="7"/>
      <c r="AZ112" s="7"/>
      <c r="BA112" s="7"/>
      <c r="BB112" s="7"/>
      <c r="BC112" s="7"/>
      <c r="BD112" s="7"/>
      <c r="BE112" s="7"/>
      <c r="BF112" s="7"/>
      <c r="BG112" s="7"/>
      <c r="BH112" s="7"/>
      <c r="BI112" s="7"/>
      <c r="BJ112" s="7"/>
      <c r="BK112" s="7"/>
      <c r="BL112" s="7"/>
      <c r="BM112" s="7"/>
    </row>
    <row r="113" spans="3:65" x14ac:dyDescent="0.2"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7"/>
      <c r="AU113" s="7"/>
      <c r="AV113" s="7"/>
      <c r="AW113" s="7"/>
      <c r="AX113" s="7"/>
      <c r="AY113" s="7"/>
      <c r="AZ113" s="7"/>
      <c r="BA113" s="7"/>
      <c r="BB113" s="7"/>
      <c r="BC113" s="7"/>
      <c r="BD113" s="7"/>
      <c r="BE113" s="7"/>
      <c r="BF113" s="7"/>
      <c r="BG113" s="7"/>
      <c r="BH113" s="7"/>
      <c r="BI113" s="7"/>
      <c r="BJ113" s="7"/>
      <c r="BK113" s="7"/>
      <c r="BL113" s="7"/>
      <c r="BM113" s="7"/>
    </row>
    <row r="114" spans="3:65" x14ac:dyDescent="0.2"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7"/>
      <c r="AU114" s="7"/>
      <c r="AV114" s="7"/>
      <c r="AW114" s="7"/>
      <c r="AX114" s="7"/>
      <c r="AY114" s="7"/>
      <c r="AZ114" s="7"/>
      <c r="BA114" s="7"/>
      <c r="BB114" s="7"/>
      <c r="BC114" s="7"/>
      <c r="BD114" s="7"/>
      <c r="BE114" s="7"/>
      <c r="BF114" s="7"/>
      <c r="BG114" s="7"/>
      <c r="BH114" s="7"/>
      <c r="BI114" s="7"/>
      <c r="BJ114" s="7"/>
      <c r="BK114" s="7"/>
      <c r="BL114" s="7"/>
      <c r="BM114" s="7"/>
    </row>
    <row r="115" spans="3:65" x14ac:dyDescent="0.2"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7"/>
      <c r="AU115" s="7"/>
      <c r="AV115" s="7"/>
      <c r="AW115" s="7"/>
      <c r="AX115" s="7"/>
      <c r="AY115" s="7"/>
      <c r="AZ115" s="7"/>
      <c r="BA115" s="7"/>
      <c r="BB115" s="7"/>
      <c r="BC115" s="7"/>
      <c r="BD115" s="7"/>
      <c r="BE115" s="7"/>
      <c r="BF115" s="7"/>
      <c r="BG115" s="7"/>
      <c r="BH115" s="7"/>
      <c r="BI115" s="7"/>
      <c r="BJ115" s="7"/>
      <c r="BK115" s="7"/>
      <c r="BL115" s="7"/>
      <c r="BM115" s="7"/>
    </row>
    <row r="116" spans="3:65" x14ac:dyDescent="0.2"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7"/>
      <c r="AU116" s="7"/>
      <c r="AV116" s="7"/>
      <c r="AW116" s="7"/>
      <c r="AX116" s="7"/>
      <c r="AY116" s="7"/>
      <c r="AZ116" s="7"/>
      <c r="BA116" s="7"/>
      <c r="BB116" s="7"/>
      <c r="BC116" s="7"/>
      <c r="BD116" s="7"/>
      <c r="BE116" s="7"/>
      <c r="BF116" s="7"/>
      <c r="BG116" s="7"/>
      <c r="BH116" s="7"/>
      <c r="BI116" s="7"/>
      <c r="BJ116" s="7"/>
      <c r="BK116" s="7"/>
      <c r="BL116" s="7"/>
      <c r="BM116" s="7"/>
    </row>
    <row r="117" spans="3:65" x14ac:dyDescent="0.2"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7"/>
      <c r="AU117" s="7"/>
      <c r="AV117" s="7"/>
      <c r="AW117" s="7"/>
      <c r="AX117" s="7"/>
      <c r="AY117" s="7"/>
      <c r="AZ117" s="7"/>
      <c r="BA117" s="7"/>
      <c r="BB117" s="7"/>
      <c r="BC117" s="7"/>
      <c r="BD117" s="7"/>
      <c r="BE117" s="7"/>
      <c r="BF117" s="7"/>
      <c r="BG117" s="7"/>
      <c r="BH117" s="7"/>
      <c r="BI117" s="7"/>
      <c r="BJ117" s="7"/>
      <c r="BK117" s="7"/>
      <c r="BL117" s="7"/>
      <c r="BM117" s="7"/>
    </row>
    <row r="118" spans="3:65" x14ac:dyDescent="0.2"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7"/>
      <c r="AU118" s="7"/>
      <c r="AV118" s="7"/>
      <c r="AW118" s="7"/>
      <c r="AX118" s="7"/>
      <c r="AY118" s="7"/>
      <c r="AZ118" s="7"/>
      <c r="BA118" s="7"/>
      <c r="BB118" s="7"/>
      <c r="BC118" s="7"/>
      <c r="BD118" s="7"/>
      <c r="BE118" s="7"/>
      <c r="BF118" s="7"/>
      <c r="BG118" s="7"/>
      <c r="BH118" s="7"/>
      <c r="BI118" s="7"/>
      <c r="BJ118" s="7"/>
      <c r="BK118" s="7"/>
      <c r="BL118" s="7"/>
      <c r="BM118" s="7"/>
    </row>
    <row r="119" spans="3:65" x14ac:dyDescent="0.2"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7"/>
      <c r="AU119" s="7"/>
      <c r="AV119" s="7"/>
      <c r="AW119" s="7"/>
      <c r="AX119" s="7"/>
      <c r="AY119" s="7"/>
      <c r="AZ119" s="7"/>
      <c r="BA119" s="7"/>
      <c r="BB119" s="7"/>
      <c r="BC119" s="7"/>
      <c r="BD119" s="7"/>
      <c r="BE119" s="7"/>
      <c r="BF119" s="7"/>
      <c r="BG119" s="7"/>
      <c r="BH119" s="7"/>
      <c r="BI119" s="7"/>
      <c r="BJ119" s="7"/>
      <c r="BK119" s="7"/>
      <c r="BL119" s="7"/>
      <c r="BM119" s="7"/>
    </row>
    <row r="120" spans="3:65" x14ac:dyDescent="0.2"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7"/>
      <c r="AU120" s="7"/>
      <c r="AV120" s="7"/>
      <c r="AW120" s="7"/>
      <c r="AX120" s="7"/>
      <c r="AY120" s="7"/>
      <c r="AZ120" s="7"/>
      <c r="BA120" s="7"/>
      <c r="BB120" s="7"/>
      <c r="BC120" s="7"/>
      <c r="BD120" s="7"/>
      <c r="BE120" s="7"/>
      <c r="BF120" s="7"/>
      <c r="BG120" s="7"/>
      <c r="BH120" s="7"/>
      <c r="BI120" s="7"/>
      <c r="BJ120" s="7"/>
      <c r="BK120" s="7"/>
      <c r="BL120" s="7"/>
      <c r="BM120" s="7"/>
    </row>
    <row r="121" spans="3:65" x14ac:dyDescent="0.2"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7"/>
      <c r="AU121" s="7"/>
      <c r="AV121" s="7"/>
      <c r="AW121" s="7"/>
      <c r="AX121" s="7"/>
      <c r="AY121" s="7"/>
      <c r="AZ121" s="7"/>
      <c r="BA121" s="7"/>
      <c r="BB121" s="7"/>
      <c r="BC121" s="7"/>
      <c r="BD121" s="7"/>
      <c r="BE121" s="7"/>
      <c r="BF121" s="7"/>
      <c r="BG121" s="7"/>
      <c r="BH121" s="7"/>
      <c r="BI121" s="7"/>
      <c r="BJ121" s="7"/>
      <c r="BK121" s="7"/>
      <c r="BL121" s="7"/>
      <c r="BM121" s="7"/>
    </row>
    <row r="122" spans="3:65" x14ac:dyDescent="0.2"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7"/>
      <c r="AU122" s="7"/>
      <c r="AV122" s="7"/>
      <c r="AW122" s="7"/>
      <c r="AX122" s="7"/>
      <c r="AY122" s="7"/>
      <c r="AZ122" s="7"/>
      <c r="BA122" s="7"/>
      <c r="BB122" s="7"/>
      <c r="BC122" s="7"/>
      <c r="BD122" s="7"/>
      <c r="BE122" s="7"/>
      <c r="BF122" s="7"/>
      <c r="BG122" s="7"/>
      <c r="BH122" s="7"/>
      <c r="BI122" s="7"/>
      <c r="BJ122" s="7"/>
      <c r="BK122" s="7"/>
      <c r="BL122" s="7"/>
      <c r="BM122" s="7"/>
    </row>
    <row r="123" spans="3:65" x14ac:dyDescent="0.2"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7"/>
      <c r="AU123" s="7"/>
      <c r="AV123" s="7"/>
      <c r="AW123" s="7"/>
      <c r="AX123" s="7"/>
      <c r="AY123" s="7"/>
      <c r="AZ123" s="7"/>
      <c r="BA123" s="7"/>
      <c r="BB123" s="7"/>
      <c r="BC123" s="7"/>
      <c r="BD123" s="7"/>
      <c r="BE123" s="7"/>
      <c r="BF123" s="7"/>
      <c r="BG123" s="7"/>
      <c r="BH123" s="7"/>
      <c r="BI123" s="7"/>
      <c r="BJ123" s="7"/>
      <c r="BK123" s="7"/>
      <c r="BL123" s="7"/>
      <c r="BM123" s="7"/>
    </row>
    <row r="124" spans="3:65" x14ac:dyDescent="0.2"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7"/>
      <c r="AU124" s="7"/>
      <c r="AV124" s="7"/>
      <c r="AW124" s="7"/>
      <c r="AX124" s="7"/>
      <c r="AY124" s="7"/>
      <c r="AZ124" s="7"/>
      <c r="BA124" s="7"/>
      <c r="BB124" s="7"/>
      <c r="BC124" s="7"/>
      <c r="BD124" s="7"/>
      <c r="BE124" s="7"/>
      <c r="BF124" s="7"/>
      <c r="BG124" s="7"/>
      <c r="BH124" s="7"/>
      <c r="BI124" s="7"/>
      <c r="BJ124" s="7"/>
      <c r="BK124" s="7"/>
      <c r="BL124" s="7"/>
      <c r="BM124" s="7"/>
    </row>
    <row r="125" spans="3:65" x14ac:dyDescent="0.2"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7"/>
      <c r="AU125" s="7"/>
      <c r="AV125" s="7"/>
      <c r="AW125" s="7"/>
      <c r="AX125" s="7"/>
      <c r="AY125" s="7"/>
      <c r="AZ125" s="7"/>
      <c r="BA125" s="7"/>
      <c r="BB125" s="7"/>
      <c r="BC125" s="7"/>
      <c r="BD125" s="7"/>
      <c r="BE125" s="7"/>
      <c r="BF125" s="7"/>
      <c r="BG125" s="7"/>
      <c r="BH125" s="7"/>
      <c r="BI125" s="7"/>
      <c r="BJ125" s="7"/>
      <c r="BK125" s="7"/>
      <c r="BL125" s="7"/>
      <c r="BM125" s="7"/>
    </row>
    <row r="126" spans="3:65" x14ac:dyDescent="0.2"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7"/>
      <c r="AU126" s="7"/>
      <c r="AV126" s="7"/>
      <c r="AW126" s="7"/>
      <c r="AX126" s="7"/>
      <c r="AY126" s="7"/>
      <c r="AZ126" s="7"/>
      <c r="BA126" s="7"/>
      <c r="BB126" s="7"/>
      <c r="BC126" s="7"/>
      <c r="BD126" s="7"/>
      <c r="BE126" s="7"/>
      <c r="BF126" s="7"/>
      <c r="BG126" s="7"/>
      <c r="BH126" s="7"/>
      <c r="BI126" s="7"/>
      <c r="BJ126" s="7"/>
      <c r="BK126" s="7"/>
      <c r="BL126" s="7"/>
      <c r="BM126" s="7"/>
    </row>
    <row r="127" spans="3:65" x14ac:dyDescent="0.2"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7"/>
      <c r="AU127" s="7"/>
      <c r="AV127" s="7"/>
      <c r="AW127" s="7"/>
      <c r="AX127" s="7"/>
      <c r="AY127" s="7"/>
      <c r="AZ127" s="7"/>
      <c r="BA127" s="7"/>
      <c r="BB127" s="7"/>
      <c r="BC127" s="7"/>
      <c r="BD127" s="7"/>
      <c r="BE127" s="7"/>
      <c r="BF127" s="7"/>
      <c r="BG127" s="7"/>
      <c r="BH127" s="7"/>
      <c r="BI127" s="7"/>
      <c r="BJ127" s="7"/>
      <c r="BK127" s="7"/>
      <c r="BL127" s="7"/>
      <c r="BM127" s="7"/>
    </row>
    <row r="128" spans="3:65" x14ac:dyDescent="0.2"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7"/>
      <c r="AU128" s="7"/>
      <c r="AV128" s="7"/>
      <c r="AW128" s="7"/>
      <c r="AX128" s="7"/>
      <c r="AY128" s="7"/>
      <c r="AZ128" s="7"/>
      <c r="BA128" s="7"/>
      <c r="BB128" s="7"/>
      <c r="BC128" s="7"/>
      <c r="BD128" s="7"/>
      <c r="BE128" s="7"/>
      <c r="BF128" s="7"/>
      <c r="BG128" s="7"/>
      <c r="BH128" s="7"/>
      <c r="BI128" s="7"/>
      <c r="BJ128" s="7"/>
      <c r="BK128" s="7"/>
      <c r="BL128" s="7"/>
      <c r="BM128" s="7"/>
    </row>
    <row r="129" spans="3:65" x14ac:dyDescent="0.2"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7"/>
      <c r="AU129" s="7"/>
      <c r="AV129" s="7"/>
      <c r="AW129" s="7"/>
      <c r="AX129" s="7"/>
      <c r="AY129" s="7"/>
      <c r="AZ129" s="7"/>
      <c r="BA129" s="7"/>
      <c r="BB129" s="7"/>
      <c r="BC129" s="7"/>
      <c r="BD129" s="7"/>
      <c r="BE129" s="7"/>
      <c r="BF129" s="7"/>
      <c r="BG129" s="7"/>
      <c r="BH129" s="7"/>
      <c r="BI129" s="7"/>
      <c r="BJ129" s="7"/>
      <c r="BK129" s="7"/>
      <c r="BL129" s="7"/>
      <c r="BM129" s="7"/>
    </row>
    <row r="130" spans="3:65" x14ac:dyDescent="0.2"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7"/>
      <c r="AU130" s="7"/>
      <c r="AV130" s="7"/>
      <c r="AW130" s="7"/>
      <c r="AX130" s="7"/>
      <c r="AY130" s="7"/>
      <c r="AZ130" s="7"/>
      <c r="BA130" s="7"/>
      <c r="BB130" s="7"/>
      <c r="BC130" s="7"/>
      <c r="BD130" s="7"/>
      <c r="BE130" s="7"/>
      <c r="BF130" s="7"/>
      <c r="BG130" s="7"/>
      <c r="BH130" s="7"/>
      <c r="BI130" s="7"/>
      <c r="BJ130" s="7"/>
      <c r="BK130" s="7"/>
      <c r="BL130" s="7"/>
      <c r="BM130" s="7"/>
    </row>
    <row r="131" spans="3:65" x14ac:dyDescent="0.2"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7"/>
      <c r="AU131" s="7"/>
      <c r="AV131" s="7"/>
      <c r="AW131" s="7"/>
      <c r="AX131" s="7"/>
      <c r="AY131" s="7"/>
      <c r="AZ131" s="7"/>
      <c r="BA131" s="7"/>
      <c r="BB131" s="7"/>
      <c r="BC131" s="7"/>
      <c r="BD131" s="7"/>
      <c r="BE131" s="7"/>
      <c r="BF131" s="7"/>
      <c r="BG131" s="7"/>
      <c r="BH131" s="7"/>
      <c r="BI131" s="7"/>
      <c r="BJ131" s="7"/>
      <c r="BK131" s="7"/>
      <c r="BL131" s="7"/>
      <c r="BM131" s="7"/>
    </row>
    <row r="132" spans="3:65" x14ac:dyDescent="0.2"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7"/>
      <c r="AU132" s="7"/>
      <c r="AV132" s="7"/>
      <c r="AW132" s="7"/>
      <c r="AX132" s="7"/>
      <c r="AY132" s="7"/>
      <c r="AZ132" s="7"/>
      <c r="BA132" s="7"/>
      <c r="BB132" s="7"/>
      <c r="BC132" s="7"/>
      <c r="BD132" s="7"/>
      <c r="BE132" s="7"/>
      <c r="BF132" s="7"/>
      <c r="BG132" s="7"/>
      <c r="BH132" s="7"/>
      <c r="BI132" s="7"/>
      <c r="BJ132" s="7"/>
      <c r="BK132" s="7"/>
      <c r="BL132" s="7"/>
      <c r="BM132" s="7"/>
    </row>
    <row r="133" spans="3:65" x14ac:dyDescent="0.2"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7"/>
      <c r="AU133" s="7"/>
      <c r="AV133" s="7"/>
      <c r="AW133" s="7"/>
      <c r="AX133" s="7"/>
      <c r="AY133" s="7"/>
      <c r="AZ133" s="7"/>
      <c r="BA133" s="7"/>
      <c r="BB133" s="7"/>
      <c r="BC133" s="7"/>
      <c r="BD133" s="7"/>
      <c r="BE133" s="7"/>
      <c r="BF133" s="7"/>
      <c r="BG133" s="7"/>
      <c r="BH133" s="7"/>
      <c r="BI133" s="7"/>
      <c r="BJ133" s="7"/>
      <c r="BK133" s="7"/>
      <c r="BL133" s="7"/>
      <c r="BM133" s="7"/>
    </row>
    <row r="134" spans="3:65" x14ac:dyDescent="0.2"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7"/>
      <c r="AU134" s="7"/>
      <c r="AV134" s="7"/>
      <c r="AW134" s="7"/>
      <c r="AX134" s="7"/>
      <c r="AY134" s="7"/>
      <c r="AZ134" s="7"/>
      <c r="BA134" s="7"/>
      <c r="BB134" s="7"/>
      <c r="BC134" s="7"/>
      <c r="BD134" s="7"/>
      <c r="BE134" s="7"/>
      <c r="BF134" s="7"/>
      <c r="BG134" s="7"/>
      <c r="BH134" s="7"/>
      <c r="BI134" s="7"/>
      <c r="BJ134" s="7"/>
      <c r="BK134" s="7"/>
      <c r="BL134" s="7"/>
      <c r="BM134" s="7"/>
    </row>
    <row r="135" spans="3:65" x14ac:dyDescent="0.2"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7"/>
      <c r="AU135" s="7"/>
      <c r="AV135" s="7"/>
      <c r="AW135" s="7"/>
      <c r="AX135" s="7"/>
      <c r="AY135" s="7"/>
      <c r="AZ135" s="7"/>
      <c r="BA135" s="7"/>
      <c r="BB135" s="7"/>
      <c r="BC135" s="7"/>
      <c r="BD135" s="7"/>
      <c r="BE135" s="7"/>
      <c r="BF135" s="7"/>
      <c r="BG135" s="7"/>
      <c r="BH135" s="7"/>
      <c r="BI135" s="7"/>
      <c r="BJ135" s="7"/>
      <c r="BK135" s="7"/>
      <c r="BL135" s="7"/>
      <c r="BM135" s="7"/>
    </row>
    <row r="136" spans="3:65" x14ac:dyDescent="0.2"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7"/>
      <c r="AU136" s="7"/>
      <c r="AV136" s="7"/>
      <c r="AW136" s="7"/>
      <c r="AX136" s="7"/>
      <c r="AY136" s="7"/>
      <c r="AZ136" s="7"/>
      <c r="BA136" s="7"/>
      <c r="BB136" s="7"/>
      <c r="BC136" s="7"/>
      <c r="BD136" s="7"/>
      <c r="BE136" s="7"/>
      <c r="BF136" s="7"/>
      <c r="BG136" s="7"/>
      <c r="BH136" s="7"/>
      <c r="BI136" s="7"/>
      <c r="BJ136" s="7"/>
      <c r="BK136" s="7"/>
      <c r="BL136" s="7"/>
      <c r="BM136" s="7"/>
    </row>
    <row r="137" spans="3:65" x14ac:dyDescent="0.2"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7"/>
      <c r="AU137" s="7"/>
      <c r="AV137" s="7"/>
      <c r="AW137" s="7"/>
      <c r="AX137" s="7"/>
      <c r="AY137" s="7"/>
      <c r="AZ137" s="7"/>
      <c r="BA137" s="7"/>
      <c r="BB137" s="7"/>
      <c r="BC137" s="7"/>
      <c r="BD137" s="7"/>
      <c r="BE137" s="7"/>
      <c r="BF137" s="7"/>
      <c r="BG137" s="7"/>
      <c r="BH137" s="7"/>
      <c r="BI137" s="7"/>
      <c r="BJ137" s="7"/>
      <c r="BK137" s="7"/>
      <c r="BL137" s="7"/>
      <c r="BM137" s="7"/>
    </row>
    <row r="138" spans="3:65" x14ac:dyDescent="0.2"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7"/>
      <c r="AU138" s="7"/>
      <c r="AV138" s="7"/>
      <c r="AW138" s="7"/>
      <c r="AX138" s="7"/>
      <c r="AY138" s="7"/>
      <c r="AZ138" s="7"/>
      <c r="BA138" s="7"/>
      <c r="BB138" s="7"/>
      <c r="BC138" s="7"/>
      <c r="BD138" s="7"/>
      <c r="BE138" s="7"/>
      <c r="BF138" s="7"/>
      <c r="BG138" s="7"/>
      <c r="BH138" s="7"/>
      <c r="BI138" s="7"/>
      <c r="BJ138" s="7"/>
      <c r="BK138" s="7"/>
      <c r="BL138" s="7"/>
      <c r="BM138" s="7"/>
    </row>
    <row r="139" spans="3:65" x14ac:dyDescent="0.2"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7"/>
      <c r="AU139" s="7"/>
      <c r="AV139" s="7"/>
      <c r="AW139" s="7"/>
      <c r="AX139" s="7"/>
      <c r="AY139" s="7"/>
      <c r="AZ139" s="7"/>
      <c r="BA139" s="7"/>
      <c r="BB139" s="7"/>
      <c r="BC139" s="7"/>
      <c r="BD139" s="7"/>
      <c r="BE139" s="7"/>
      <c r="BF139" s="7"/>
      <c r="BG139" s="7"/>
      <c r="BH139" s="7"/>
      <c r="BI139" s="7"/>
      <c r="BJ139" s="7"/>
      <c r="BK139" s="7"/>
      <c r="BL139" s="7"/>
      <c r="BM139" s="7"/>
    </row>
    <row r="140" spans="3:65" x14ac:dyDescent="0.2"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7"/>
      <c r="AU140" s="7"/>
      <c r="AV140" s="7"/>
      <c r="AW140" s="7"/>
      <c r="AX140" s="7"/>
      <c r="AY140" s="7"/>
      <c r="AZ140" s="7"/>
      <c r="BA140" s="7"/>
      <c r="BB140" s="7"/>
      <c r="BC140" s="7"/>
      <c r="BD140" s="7"/>
      <c r="BE140" s="7"/>
      <c r="BF140" s="7"/>
      <c r="BG140" s="7"/>
      <c r="BH140" s="7"/>
      <c r="BI140" s="7"/>
      <c r="BJ140" s="7"/>
      <c r="BK140" s="7"/>
      <c r="BL140" s="7"/>
      <c r="BM140" s="7"/>
    </row>
    <row r="141" spans="3:65" x14ac:dyDescent="0.2"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7"/>
      <c r="AU141" s="7"/>
      <c r="AV141" s="7"/>
      <c r="AW141" s="7"/>
      <c r="AX141" s="7"/>
      <c r="AY141" s="7"/>
      <c r="AZ141" s="7"/>
      <c r="BA141" s="7"/>
      <c r="BB141" s="7"/>
      <c r="BC141" s="7"/>
      <c r="BD141" s="7"/>
      <c r="BE141" s="7"/>
      <c r="BF141" s="7"/>
      <c r="BG141" s="7"/>
      <c r="BH141" s="7"/>
      <c r="BI141" s="7"/>
      <c r="BJ141" s="7"/>
      <c r="BK141" s="7"/>
      <c r="BL141" s="7"/>
      <c r="BM141" s="7"/>
    </row>
    <row r="142" spans="3:65" x14ac:dyDescent="0.2"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7"/>
      <c r="AU142" s="7"/>
      <c r="AV142" s="7"/>
      <c r="AW142" s="7"/>
      <c r="AX142" s="7"/>
      <c r="AY142" s="7"/>
      <c r="AZ142" s="7"/>
      <c r="BA142" s="7"/>
      <c r="BB142" s="7"/>
      <c r="BC142" s="7"/>
      <c r="BD142" s="7"/>
      <c r="BE142" s="7"/>
      <c r="BF142" s="7"/>
      <c r="BG142" s="7"/>
      <c r="BH142" s="7"/>
      <c r="BI142" s="7"/>
      <c r="BJ142" s="7"/>
      <c r="BK142" s="7"/>
      <c r="BL142" s="7"/>
      <c r="BM142" s="7"/>
    </row>
    <row r="143" spans="3:65" x14ac:dyDescent="0.2"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7"/>
      <c r="AU143" s="7"/>
      <c r="AV143" s="7"/>
      <c r="AW143" s="7"/>
      <c r="AX143" s="7"/>
      <c r="AY143" s="7"/>
      <c r="AZ143" s="7"/>
      <c r="BA143" s="7"/>
      <c r="BB143" s="7"/>
      <c r="BC143" s="7"/>
      <c r="BD143" s="7"/>
      <c r="BE143" s="7"/>
      <c r="BF143" s="7"/>
      <c r="BG143" s="7"/>
      <c r="BH143" s="7"/>
      <c r="BI143" s="7"/>
      <c r="BJ143" s="7"/>
      <c r="BK143" s="7"/>
      <c r="BL143" s="7"/>
      <c r="BM143" s="7"/>
    </row>
    <row r="144" spans="3:65" x14ac:dyDescent="0.2"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7"/>
      <c r="AU144" s="7"/>
      <c r="AV144" s="7"/>
      <c r="AW144" s="7"/>
      <c r="AX144" s="7"/>
      <c r="AY144" s="7"/>
      <c r="AZ144" s="7"/>
      <c r="BA144" s="7"/>
      <c r="BB144" s="7"/>
      <c r="BC144" s="7"/>
      <c r="BD144" s="7"/>
      <c r="BE144" s="7"/>
      <c r="BF144" s="7"/>
      <c r="BG144" s="7"/>
      <c r="BH144" s="7"/>
      <c r="BI144" s="7"/>
      <c r="BJ144" s="7"/>
      <c r="BK144" s="7"/>
      <c r="BL144" s="7"/>
      <c r="BM144" s="7"/>
    </row>
    <row r="145" spans="3:65" x14ac:dyDescent="0.2"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7"/>
      <c r="AU145" s="7"/>
      <c r="AV145" s="7"/>
      <c r="AW145" s="7"/>
      <c r="AX145" s="7"/>
      <c r="AY145" s="7"/>
      <c r="AZ145" s="7"/>
      <c r="BA145" s="7"/>
      <c r="BB145" s="7"/>
      <c r="BC145" s="7"/>
      <c r="BD145" s="7"/>
      <c r="BE145" s="7"/>
      <c r="BF145" s="7"/>
      <c r="BG145" s="7"/>
      <c r="BH145" s="7"/>
      <c r="BI145" s="7"/>
      <c r="BJ145" s="7"/>
      <c r="BK145" s="7"/>
      <c r="BL145" s="7"/>
      <c r="BM145" s="7"/>
    </row>
    <row r="146" spans="3:65" x14ac:dyDescent="0.2"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7"/>
      <c r="AU146" s="7"/>
      <c r="AV146" s="7"/>
      <c r="AW146" s="7"/>
      <c r="AX146" s="7"/>
      <c r="AY146" s="7"/>
      <c r="AZ146" s="7"/>
      <c r="BA146" s="7"/>
      <c r="BB146" s="7"/>
      <c r="BC146" s="7"/>
      <c r="BD146" s="7"/>
      <c r="BE146" s="7"/>
      <c r="BF146" s="7"/>
      <c r="BG146" s="7"/>
      <c r="BH146" s="7"/>
      <c r="BI146" s="7"/>
      <c r="BJ146" s="7"/>
      <c r="BK146" s="7"/>
      <c r="BL146" s="7"/>
      <c r="BM146" s="7"/>
    </row>
    <row r="147" spans="3:65" x14ac:dyDescent="0.2"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7"/>
      <c r="AU147" s="7"/>
      <c r="AV147" s="7"/>
      <c r="AW147" s="7"/>
      <c r="AX147" s="7"/>
      <c r="AY147" s="7"/>
      <c r="AZ147" s="7"/>
      <c r="BA147" s="7"/>
      <c r="BB147" s="7"/>
      <c r="BC147" s="7"/>
      <c r="BD147" s="7"/>
      <c r="BE147" s="7"/>
      <c r="BF147" s="7"/>
      <c r="BG147" s="7"/>
      <c r="BH147" s="7"/>
      <c r="BI147" s="7"/>
      <c r="BJ147" s="7"/>
      <c r="BK147" s="7"/>
      <c r="BL147" s="7"/>
      <c r="BM147" s="7"/>
    </row>
    <row r="148" spans="3:65" x14ac:dyDescent="0.2"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7"/>
      <c r="AU148" s="7"/>
      <c r="AV148" s="7"/>
      <c r="AW148" s="7"/>
      <c r="AX148" s="7"/>
      <c r="AY148" s="7"/>
      <c r="AZ148" s="7"/>
      <c r="BA148" s="7"/>
      <c r="BB148" s="7"/>
      <c r="BC148" s="7"/>
      <c r="BD148" s="7"/>
      <c r="BE148" s="7"/>
      <c r="BF148" s="7"/>
      <c r="BG148" s="7"/>
      <c r="BH148" s="7"/>
      <c r="BI148" s="7"/>
      <c r="BJ148" s="7"/>
      <c r="BK148" s="7"/>
      <c r="BL148" s="7"/>
      <c r="BM148" s="7"/>
    </row>
    <row r="149" spans="3:65" x14ac:dyDescent="0.2"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7"/>
      <c r="AU149" s="7"/>
      <c r="AV149" s="7"/>
      <c r="AW149" s="7"/>
      <c r="AX149" s="7"/>
      <c r="AY149" s="7"/>
      <c r="AZ149" s="7"/>
      <c r="BA149" s="7"/>
      <c r="BB149" s="7"/>
      <c r="BC149" s="7"/>
      <c r="BD149" s="7"/>
      <c r="BE149" s="7"/>
      <c r="BF149" s="7"/>
      <c r="BG149" s="7"/>
      <c r="BH149" s="7"/>
      <c r="BI149" s="7"/>
      <c r="BJ149" s="7"/>
      <c r="BK149" s="7"/>
      <c r="BL149" s="7"/>
      <c r="BM149" s="7"/>
    </row>
    <row r="150" spans="3:65" x14ac:dyDescent="0.2"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7"/>
      <c r="AU150" s="7"/>
      <c r="AV150" s="7"/>
      <c r="AW150" s="7"/>
      <c r="AX150" s="7"/>
      <c r="AY150" s="7"/>
      <c r="AZ150" s="7"/>
      <c r="BA150" s="7"/>
      <c r="BB150" s="7"/>
      <c r="BC150" s="7"/>
      <c r="BD150" s="7"/>
      <c r="BE150" s="7"/>
      <c r="BF150" s="7"/>
      <c r="BG150" s="7"/>
      <c r="BH150" s="7"/>
      <c r="BI150" s="7"/>
      <c r="BJ150" s="7"/>
      <c r="BK150" s="7"/>
      <c r="BL150" s="7"/>
      <c r="BM150" s="7"/>
    </row>
    <row r="151" spans="3:65" x14ac:dyDescent="0.2"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7"/>
      <c r="AU151" s="7"/>
      <c r="AV151" s="7"/>
      <c r="AW151" s="7"/>
      <c r="AX151" s="7"/>
      <c r="AY151" s="7"/>
      <c r="AZ151" s="7"/>
      <c r="BA151" s="7"/>
      <c r="BB151" s="7"/>
      <c r="BC151" s="7"/>
      <c r="BD151" s="7"/>
      <c r="BE151" s="7"/>
      <c r="BF151" s="7"/>
      <c r="BG151" s="7"/>
      <c r="BH151" s="7"/>
      <c r="BI151" s="7"/>
      <c r="BJ151" s="7"/>
      <c r="BK151" s="7"/>
      <c r="BL151" s="7"/>
      <c r="BM151" s="7"/>
    </row>
    <row r="152" spans="3:65" x14ac:dyDescent="0.2"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7"/>
      <c r="AU152" s="7"/>
      <c r="AV152" s="7"/>
      <c r="AW152" s="7"/>
      <c r="AX152" s="7"/>
      <c r="AY152" s="7"/>
      <c r="AZ152" s="7"/>
      <c r="BA152" s="7"/>
      <c r="BB152" s="7"/>
      <c r="BC152" s="7"/>
      <c r="BD152" s="7"/>
      <c r="BE152" s="7"/>
      <c r="BF152" s="7"/>
      <c r="BG152" s="7"/>
      <c r="BH152" s="7"/>
      <c r="BI152" s="7"/>
      <c r="BJ152" s="7"/>
      <c r="BK152" s="7"/>
      <c r="BL152" s="7"/>
      <c r="BM152" s="7"/>
    </row>
    <row r="153" spans="3:65" x14ac:dyDescent="0.2"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7"/>
      <c r="AU153" s="7"/>
      <c r="AV153" s="7"/>
      <c r="AW153" s="7"/>
      <c r="AX153" s="7"/>
      <c r="AY153" s="7"/>
      <c r="AZ153" s="7"/>
      <c r="BA153" s="7"/>
      <c r="BB153" s="7"/>
      <c r="BC153" s="7"/>
      <c r="BD153" s="7"/>
      <c r="BE153" s="7"/>
      <c r="BF153" s="7"/>
      <c r="BG153" s="7"/>
      <c r="BH153" s="7"/>
      <c r="BI153" s="7"/>
      <c r="BJ153" s="7"/>
      <c r="BK153" s="7"/>
      <c r="BL153" s="7"/>
      <c r="BM153" s="7"/>
    </row>
    <row r="154" spans="3:65" x14ac:dyDescent="0.2"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7"/>
      <c r="AU154" s="7"/>
      <c r="AV154" s="7"/>
      <c r="AW154" s="7"/>
      <c r="AX154" s="7"/>
      <c r="AY154" s="7"/>
      <c r="AZ154" s="7"/>
      <c r="BA154" s="7"/>
      <c r="BB154" s="7"/>
      <c r="BC154" s="7"/>
      <c r="BD154" s="7"/>
      <c r="BE154" s="7"/>
      <c r="BF154" s="7"/>
      <c r="BG154" s="7"/>
      <c r="BH154" s="7"/>
      <c r="BI154" s="7"/>
      <c r="BJ154" s="7"/>
      <c r="BK154" s="7"/>
      <c r="BL154" s="7"/>
      <c r="BM154" s="7"/>
    </row>
    <row r="155" spans="3:65" x14ac:dyDescent="0.2"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7"/>
      <c r="AU155" s="7"/>
      <c r="AV155" s="7"/>
      <c r="AW155" s="7"/>
      <c r="AX155" s="7"/>
      <c r="AY155" s="7"/>
      <c r="AZ155" s="7"/>
      <c r="BA155" s="7"/>
      <c r="BB155" s="7"/>
      <c r="BC155" s="7"/>
      <c r="BD155" s="7"/>
      <c r="BE155" s="7"/>
      <c r="BF155" s="7"/>
      <c r="BG155" s="7"/>
      <c r="BH155" s="7"/>
      <c r="BI155" s="7"/>
      <c r="BJ155" s="7"/>
      <c r="BK155" s="7"/>
      <c r="BL155" s="7"/>
      <c r="BM155" s="7"/>
    </row>
    <row r="156" spans="3:65" x14ac:dyDescent="0.2"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7"/>
      <c r="AU156" s="7"/>
      <c r="AV156" s="7"/>
      <c r="AW156" s="7"/>
      <c r="AX156" s="7"/>
      <c r="AY156" s="7"/>
      <c r="AZ156" s="7"/>
      <c r="BA156" s="7"/>
      <c r="BB156" s="7"/>
      <c r="BC156" s="7"/>
      <c r="BD156" s="7"/>
      <c r="BE156" s="7"/>
      <c r="BF156" s="7"/>
      <c r="BG156" s="7"/>
      <c r="BH156" s="7"/>
      <c r="BI156" s="7"/>
      <c r="BJ156" s="7"/>
      <c r="BK156" s="7"/>
      <c r="BL156" s="7"/>
      <c r="BM156" s="7"/>
    </row>
    <row r="157" spans="3:65" x14ac:dyDescent="0.2"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7"/>
      <c r="AU157" s="7"/>
      <c r="AV157" s="7"/>
      <c r="AW157" s="7"/>
      <c r="AX157" s="7"/>
      <c r="AY157" s="7"/>
      <c r="AZ157" s="7"/>
      <c r="BA157" s="7"/>
      <c r="BB157" s="7"/>
      <c r="BC157" s="7"/>
      <c r="BD157" s="7"/>
      <c r="BE157" s="7"/>
      <c r="BF157" s="7"/>
      <c r="BG157" s="7"/>
      <c r="BH157" s="7"/>
      <c r="BI157" s="7"/>
      <c r="BJ157" s="7"/>
      <c r="BK157" s="7"/>
      <c r="BL157" s="7"/>
      <c r="BM157" s="7"/>
    </row>
    <row r="158" spans="3:65" x14ac:dyDescent="0.2"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7"/>
      <c r="AU158" s="7"/>
      <c r="AV158" s="7"/>
      <c r="AW158" s="7"/>
      <c r="AX158" s="7"/>
      <c r="AY158" s="7"/>
      <c r="AZ158" s="7"/>
      <c r="BA158" s="7"/>
      <c r="BB158" s="7"/>
      <c r="BC158" s="7"/>
      <c r="BD158" s="7"/>
      <c r="BE158" s="7"/>
      <c r="BF158" s="7"/>
      <c r="BG158" s="7"/>
      <c r="BH158" s="7"/>
      <c r="BI158" s="7"/>
      <c r="BJ158" s="7"/>
      <c r="BK158" s="7"/>
      <c r="BL158" s="7"/>
      <c r="BM158" s="7"/>
    </row>
    <row r="159" spans="3:65" x14ac:dyDescent="0.2"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7"/>
      <c r="AU159" s="7"/>
      <c r="AV159" s="7"/>
      <c r="AW159" s="7"/>
      <c r="AX159" s="7"/>
      <c r="AY159" s="7"/>
      <c r="AZ159" s="7"/>
      <c r="BA159" s="7"/>
      <c r="BB159" s="7"/>
      <c r="BC159" s="7"/>
      <c r="BD159" s="7"/>
      <c r="BE159" s="7"/>
      <c r="BF159" s="7"/>
      <c r="BG159" s="7"/>
      <c r="BH159" s="7"/>
      <c r="BI159" s="7"/>
      <c r="BJ159" s="7"/>
      <c r="BK159" s="7"/>
      <c r="BL159" s="7"/>
      <c r="BM159" s="7"/>
    </row>
    <row r="160" spans="3:65" x14ac:dyDescent="0.2"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7"/>
      <c r="AU160" s="7"/>
      <c r="AV160" s="7"/>
      <c r="AW160" s="7"/>
      <c r="AX160" s="7"/>
      <c r="AY160" s="7"/>
      <c r="AZ160" s="7"/>
      <c r="BA160" s="7"/>
      <c r="BB160" s="7"/>
      <c r="BC160" s="7"/>
      <c r="BD160" s="7"/>
      <c r="BE160" s="7"/>
      <c r="BF160" s="7"/>
      <c r="BG160" s="7"/>
      <c r="BH160" s="7"/>
      <c r="BI160" s="7"/>
      <c r="BJ160" s="7"/>
      <c r="BK160" s="7"/>
      <c r="BL160" s="7"/>
      <c r="BM160" s="7"/>
    </row>
    <row r="161" spans="3:65" x14ac:dyDescent="0.2"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7"/>
      <c r="AU161" s="7"/>
      <c r="AV161" s="7"/>
      <c r="AW161" s="7"/>
      <c r="AX161" s="7"/>
      <c r="AY161" s="7"/>
      <c r="AZ161" s="7"/>
      <c r="BA161" s="7"/>
      <c r="BB161" s="7"/>
      <c r="BC161" s="7"/>
      <c r="BD161" s="7"/>
      <c r="BE161" s="7"/>
      <c r="BF161" s="7"/>
      <c r="BG161" s="7"/>
      <c r="BH161" s="7"/>
      <c r="BI161" s="7"/>
      <c r="BJ161" s="7"/>
      <c r="BK161" s="7"/>
      <c r="BL161" s="7"/>
      <c r="BM161" s="7"/>
    </row>
    <row r="162" spans="3:65" x14ac:dyDescent="0.2"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7"/>
      <c r="AU162" s="7"/>
      <c r="AV162" s="7"/>
      <c r="AW162" s="7"/>
      <c r="AX162" s="7"/>
      <c r="AY162" s="7"/>
      <c r="AZ162" s="7"/>
      <c r="BA162" s="7"/>
      <c r="BB162" s="7"/>
      <c r="BC162" s="7"/>
      <c r="BD162" s="7"/>
      <c r="BE162" s="7"/>
      <c r="BF162" s="7"/>
      <c r="BG162" s="7"/>
      <c r="BH162" s="7"/>
      <c r="BI162" s="7"/>
      <c r="BJ162" s="7"/>
      <c r="BK162" s="7"/>
      <c r="BL162" s="7"/>
      <c r="BM162" s="7"/>
    </row>
    <row r="163" spans="3:65" x14ac:dyDescent="0.2"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7"/>
      <c r="AU163" s="7"/>
      <c r="AV163" s="7"/>
      <c r="AW163" s="7"/>
      <c r="AX163" s="7"/>
      <c r="AY163" s="7"/>
      <c r="AZ163" s="7"/>
      <c r="BA163" s="7"/>
      <c r="BB163" s="7"/>
      <c r="BC163" s="7"/>
      <c r="BD163" s="7"/>
      <c r="BE163" s="7"/>
      <c r="BF163" s="7"/>
      <c r="BG163" s="7"/>
      <c r="BH163" s="7"/>
      <c r="BI163" s="7"/>
      <c r="BJ163" s="7"/>
      <c r="BK163" s="7"/>
      <c r="BL163" s="7"/>
      <c r="BM163" s="7"/>
    </row>
    <row r="164" spans="3:65" x14ac:dyDescent="0.2"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7"/>
      <c r="AU164" s="7"/>
      <c r="AV164" s="7"/>
      <c r="AW164" s="7"/>
      <c r="AX164" s="7"/>
      <c r="AY164" s="7"/>
      <c r="AZ164" s="7"/>
      <c r="BA164" s="7"/>
      <c r="BB164" s="7"/>
      <c r="BC164" s="7"/>
      <c r="BD164" s="7"/>
      <c r="BE164" s="7"/>
      <c r="BF164" s="7"/>
      <c r="BG164" s="7"/>
      <c r="BH164" s="7"/>
      <c r="BI164" s="7"/>
      <c r="BJ164" s="7"/>
      <c r="BK164" s="7"/>
      <c r="BL164" s="7"/>
      <c r="BM164" s="7"/>
    </row>
    <row r="165" spans="3:65" x14ac:dyDescent="0.2"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7"/>
      <c r="AU165" s="7"/>
      <c r="AV165" s="7"/>
      <c r="AW165" s="7"/>
      <c r="AX165" s="7"/>
      <c r="AY165" s="7"/>
      <c r="AZ165" s="7"/>
      <c r="BA165" s="7"/>
      <c r="BB165" s="7"/>
      <c r="BC165" s="7"/>
      <c r="BD165" s="7"/>
      <c r="BE165" s="7"/>
      <c r="BF165" s="7"/>
      <c r="BG165" s="7"/>
      <c r="BH165" s="7"/>
      <c r="BI165" s="7"/>
      <c r="BJ165" s="7"/>
      <c r="BK165" s="7"/>
      <c r="BL165" s="7"/>
      <c r="BM165" s="7"/>
    </row>
    <row r="166" spans="3:65" x14ac:dyDescent="0.2"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7"/>
      <c r="AU166" s="7"/>
      <c r="AV166" s="7"/>
      <c r="AW166" s="7"/>
      <c r="AX166" s="7"/>
      <c r="AY166" s="7"/>
      <c r="AZ166" s="7"/>
      <c r="BA166" s="7"/>
      <c r="BB166" s="7"/>
      <c r="BC166" s="7"/>
      <c r="BD166" s="7"/>
      <c r="BE166" s="7"/>
      <c r="BF166" s="7"/>
      <c r="BG166" s="7"/>
      <c r="BH166" s="7"/>
      <c r="BI166" s="7"/>
      <c r="BJ166" s="7"/>
      <c r="BK166" s="7"/>
      <c r="BL166" s="7"/>
      <c r="BM166" s="7"/>
    </row>
    <row r="167" spans="3:65" x14ac:dyDescent="0.2"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7"/>
      <c r="AU167" s="7"/>
      <c r="AV167" s="7"/>
      <c r="AW167" s="7"/>
      <c r="AX167" s="7"/>
      <c r="AY167" s="7"/>
      <c r="AZ167" s="7"/>
      <c r="BA167" s="7"/>
      <c r="BB167" s="7"/>
      <c r="BC167" s="7"/>
      <c r="BD167" s="7"/>
      <c r="BE167" s="7"/>
      <c r="BF167" s="7"/>
      <c r="BG167" s="7"/>
      <c r="BH167" s="7"/>
      <c r="BI167" s="7"/>
      <c r="BJ167" s="7"/>
      <c r="BK167" s="7"/>
      <c r="BL167" s="7"/>
      <c r="BM167" s="7"/>
    </row>
    <row r="168" spans="3:65" x14ac:dyDescent="0.2"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7"/>
      <c r="AU168" s="7"/>
      <c r="AV168" s="7"/>
      <c r="AW168" s="7"/>
      <c r="AX168" s="7"/>
      <c r="AY168" s="7"/>
      <c r="AZ168" s="7"/>
      <c r="BA168" s="7"/>
      <c r="BB168" s="7"/>
      <c r="BC168" s="7"/>
      <c r="BD168" s="7"/>
      <c r="BE168" s="7"/>
      <c r="BF168" s="7"/>
      <c r="BG168" s="7"/>
      <c r="BH168" s="7"/>
      <c r="BI168" s="7"/>
      <c r="BJ168" s="7"/>
      <c r="BK168" s="7"/>
      <c r="BL168" s="7"/>
      <c r="BM168" s="7"/>
    </row>
    <row r="169" spans="3:65" x14ac:dyDescent="0.2"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7"/>
      <c r="AU169" s="7"/>
      <c r="AV169" s="7"/>
      <c r="AW169" s="7"/>
      <c r="AX169" s="7"/>
      <c r="AY169" s="7"/>
      <c r="AZ169" s="7"/>
      <c r="BA169" s="7"/>
      <c r="BB169" s="7"/>
      <c r="BC169" s="7"/>
      <c r="BD169" s="7"/>
      <c r="BE169" s="7"/>
      <c r="BF169" s="7"/>
      <c r="BG169" s="7"/>
      <c r="BH169" s="7"/>
      <c r="BI169" s="7"/>
      <c r="BJ169" s="7"/>
      <c r="BK169" s="7"/>
      <c r="BL169" s="7"/>
      <c r="BM169" s="7"/>
    </row>
    <row r="170" spans="3:65" x14ac:dyDescent="0.2"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7"/>
      <c r="AU170" s="7"/>
      <c r="AV170" s="7"/>
      <c r="AW170" s="7"/>
      <c r="AX170" s="7"/>
      <c r="AY170" s="7"/>
      <c r="AZ170" s="7"/>
      <c r="BA170" s="7"/>
      <c r="BB170" s="7"/>
      <c r="BC170" s="7"/>
      <c r="BD170" s="7"/>
      <c r="BE170" s="7"/>
      <c r="BF170" s="7"/>
      <c r="BG170" s="7"/>
      <c r="BH170" s="7"/>
      <c r="BI170" s="7"/>
      <c r="BJ170" s="7"/>
      <c r="BK170" s="7"/>
      <c r="BL170" s="7"/>
      <c r="BM170" s="7"/>
    </row>
    <row r="171" spans="3:65" x14ac:dyDescent="0.2"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7"/>
      <c r="AU171" s="7"/>
      <c r="AV171" s="7"/>
      <c r="AW171" s="7"/>
      <c r="AX171" s="7"/>
      <c r="AY171" s="7"/>
      <c r="AZ171" s="7"/>
      <c r="BA171" s="7"/>
      <c r="BB171" s="7"/>
      <c r="BC171" s="7"/>
      <c r="BD171" s="7"/>
      <c r="BE171" s="7"/>
      <c r="BF171" s="7"/>
      <c r="BG171" s="7"/>
      <c r="BH171" s="7"/>
      <c r="BI171" s="7"/>
      <c r="BJ171" s="7"/>
      <c r="BK171" s="7"/>
      <c r="BL171" s="7"/>
      <c r="BM171" s="7"/>
    </row>
    <row r="172" spans="3:65" x14ac:dyDescent="0.2"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7"/>
      <c r="AU172" s="7"/>
      <c r="AV172" s="7"/>
      <c r="AW172" s="7"/>
      <c r="AX172" s="7"/>
      <c r="AY172" s="7"/>
      <c r="AZ172" s="7"/>
      <c r="BA172" s="7"/>
      <c r="BB172" s="7"/>
      <c r="BC172" s="7"/>
      <c r="BD172" s="7"/>
      <c r="BE172" s="7"/>
      <c r="BF172" s="7"/>
      <c r="BG172" s="7"/>
      <c r="BH172" s="7"/>
      <c r="BI172" s="7"/>
      <c r="BJ172" s="7"/>
      <c r="BK172" s="7"/>
      <c r="BL172" s="7"/>
      <c r="BM172" s="7"/>
    </row>
    <row r="173" spans="3:65" x14ac:dyDescent="0.2"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7"/>
      <c r="AU173" s="7"/>
      <c r="AV173" s="7"/>
      <c r="AW173" s="7"/>
      <c r="AX173" s="7"/>
      <c r="AY173" s="7"/>
      <c r="AZ173" s="7"/>
      <c r="BA173" s="7"/>
      <c r="BB173" s="7"/>
      <c r="BC173" s="7"/>
      <c r="BD173" s="7"/>
      <c r="BE173" s="7"/>
      <c r="BF173" s="7"/>
      <c r="BG173" s="7"/>
      <c r="BH173" s="7"/>
      <c r="BI173" s="7"/>
      <c r="BJ173" s="7"/>
      <c r="BK173" s="7"/>
      <c r="BL173" s="7"/>
      <c r="BM173" s="7"/>
    </row>
    <row r="174" spans="3:65" x14ac:dyDescent="0.2"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7"/>
      <c r="AU174" s="7"/>
      <c r="AV174" s="7"/>
      <c r="AW174" s="7"/>
      <c r="AX174" s="7"/>
      <c r="AY174" s="7"/>
      <c r="AZ174" s="7"/>
      <c r="BA174" s="7"/>
      <c r="BB174" s="7"/>
      <c r="BC174" s="7"/>
      <c r="BD174" s="7"/>
      <c r="BE174" s="7"/>
      <c r="BF174" s="7"/>
      <c r="BG174" s="7"/>
      <c r="BH174" s="7"/>
      <c r="BI174" s="7"/>
      <c r="BJ174" s="7"/>
      <c r="BK174" s="7"/>
      <c r="BL174" s="7"/>
      <c r="BM174" s="7"/>
    </row>
    <row r="175" spans="3:65" x14ac:dyDescent="0.2"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7"/>
      <c r="AU175" s="7"/>
      <c r="AV175" s="7"/>
      <c r="AW175" s="7"/>
      <c r="AX175" s="7"/>
      <c r="AY175" s="7"/>
      <c r="AZ175" s="7"/>
      <c r="BA175" s="7"/>
      <c r="BB175" s="7"/>
      <c r="BC175" s="7"/>
      <c r="BD175" s="7"/>
      <c r="BE175" s="7"/>
      <c r="BF175" s="7"/>
      <c r="BG175" s="7"/>
      <c r="BH175" s="7"/>
      <c r="BI175" s="7"/>
      <c r="BJ175" s="7"/>
      <c r="BK175" s="7"/>
      <c r="BL175" s="7"/>
      <c r="BM175" s="7"/>
    </row>
    <row r="176" spans="3:65" x14ac:dyDescent="0.2"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7"/>
      <c r="AU176" s="7"/>
      <c r="AV176" s="7"/>
      <c r="AW176" s="7"/>
      <c r="AX176" s="7"/>
      <c r="AY176" s="7"/>
      <c r="AZ176" s="7"/>
      <c r="BA176" s="7"/>
      <c r="BB176" s="7"/>
      <c r="BC176" s="7"/>
      <c r="BD176" s="7"/>
      <c r="BE176" s="7"/>
      <c r="BF176" s="7"/>
      <c r="BG176" s="7"/>
      <c r="BH176" s="7"/>
      <c r="BI176" s="7"/>
      <c r="BJ176" s="7"/>
      <c r="BK176" s="7"/>
      <c r="BL176" s="7"/>
      <c r="BM176" s="7"/>
    </row>
    <row r="177" spans="3:65" x14ac:dyDescent="0.2"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7"/>
      <c r="AU177" s="7"/>
      <c r="AV177" s="7"/>
      <c r="AW177" s="7"/>
      <c r="AX177" s="7"/>
      <c r="AY177" s="7"/>
      <c r="AZ177" s="7"/>
      <c r="BA177" s="7"/>
      <c r="BB177" s="7"/>
      <c r="BC177" s="7"/>
      <c r="BD177" s="7"/>
      <c r="BE177" s="7"/>
      <c r="BF177" s="7"/>
      <c r="BG177" s="7"/>
      <c r="BH177" s="7"/>
      <c r="BI177" s="7"/>
      <c r="BJ177" s="7"/>
      <c r="BK177" s="7"/>
      <c r="BL177" s="7"/>
      <c r="BM177" s="7"/>
    </row>
    <row r="178" spans="3:65" x14ac:dyDescent="0.2"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7"/>
      <c r="AU178" s="7"/>
      <c r="AV178" s="7"/>
      <c r="AW178" s="7"/>
      <c r="AX178" s="7"/>
      <c r="AY178" s="7"/>
      <c r="AZ178" s="7"/>
      <c r="BA178" s="7"/>
      <c r="BB178" s="7"/>
      <c r="BC178" s="7"/>
      <c r="BD178" s="7"/>
      <c r="BE178" s="7"/>
      <c r="BF178" s="7"/>
      <c r="BG178" s="7"/>
      <c r="BH178" s="7"/>
      <c r="BI178" s="7"/>
      <c r="BJ178" s="7"/>
      <c r="BK178" s="7"/>
      <c r="BL178" s="7"/>
      <c r="BM178" s="7"/>
    </row>
    <row r="179" spans="3:65" x14ac:dyDescent="0.2"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7"/>
      <c r="AU179" s="7"/>
      <c r="AV179" s="7"/>
      <c r="AW179" s="7"/>
      <c r="AX179" s="7"/>
      <c r="AY179" s="7"/>
      <c r="AZ179" s="7"/>
      <c r="BA179" s="7"/>
      <c r="BB179" s="7"/>
      <c r="BC179" s="7"/>
      <c r="BD179" s="7"/>
      <c r="BE179" s="7"/>
      <c r="BF179" s="7"/>
      <c r="BG179" s="7"/>
      <c r="BH179" s="7"/>
      <c r="BI179" s="7"/>
      <c r="BJ179" s="7"/>
      <c r="BK179" s="7"/>
      <c r="BL179" s="7"/>
      <c r="BM179" s="7"/>
    </row>
    <row r="180" spans="3:65" x14ac:dyDescent="0.2"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7"/>
      <c r="AU180" s="7"/>
      <c r="AV180" s="7"/>
      <c r="AW180" s="7"/>
      <c r="AX180" s="7"/>
      <c r="AY180" s="7"/>
      <c r="AZ180" s="7"/>
      <c r="BA180" s="7"/>
      <c r="BB180" s="7"/>
      <c r="BC180" s="7"/>
      <c r="BD180" s="7"/>
      <c r="BE180" s="7"/>
      <c r="BF180" s="7"/>
      <c r="BG180" s="7"/>
      <c r="BH180" s="7"/>
      <c r="BI180" s="7"/>
      <c r="BJ180" s="7"/>
      <c r="BK180" s="7"/>
      <c r="BL180" s="7"/>
      <c r="BM180" s="7"/>
    </row>
    <row r="181" spans="3:65" x14ac:dyDescent="0.2"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7"/>
      <c r="AU181" s="7"/>
      <c r="AV181" s="7"/>
      <c r="AW181" s="7"/>
      <c r="AX181" s="7"/>
      <c r="AY181" s="7"/>
      <c r="AZ181" s="7"/>
      <c r="BA181" s="7"/>
      <c r="BB181" s="7"/>
      <c r="BC181" s="7"/>
      <c r="BD181" s="7"/>
      <c r="BE181" s="7"/>
      <c r="BF181" s="7"/>
      <c r="BG181" s="7"/>
      <c r="BH181" s="7"/>
      <c r="BI181" s="7"/>
      <c r="BJ181" s="7"/>
      <c r="BK181" s="7"/>
      <c r="BL181" s="7"/>
      <c r="BM181" s="7"/>
    </row>
    <row r="182" spans="3:65" x14ac:dyDescent="0.2"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7"/>
      <c r="AU182" s="7"/>
      <c r="AV182" s="7"/>
      <c r="AW182" s="7"/>
      <c r="AX182" s="7"/>
      <c r="AY182" s="7"/>
      <c r="AZ182" s="7"/>
      <c r="BA182" s="7"/>
      <c r="BB182" s="7"/>
      <c r="BC182" s="7"/>
      <c r="BD182" s="7"/>
      <c r="BE182" s="7"/>
      <c r="BF182" s="7"/>
      <c r="BG182" s="7"/>
      <c r="BH182" s="7"/>
      <c r="BI182" s="7"/>
      <c r="BJ182" s="7"/>
      <c r="BK182" s="7"/>
      <c r="BL182" s="7"/>
      <c r="BM182" s="7"/>
    </row>
    <row r="183" spans="3:65" x14ac:dyDescent="0.2"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7"/>
      <c r="AU183" s="7"/>
      <c r="AV183" s="7"/>
      <c r="AW183" s="7"/>
      <c r="AX183" s="7"/>
      <c r="AY183" s="7"/>
      <c r="AZ183" s="7"/>
      <c r="BA183" s="7"/>
      <c r="BB183" s="7"/>
      <c r="BC183" s="7"/>
      <c r="BD183" s="7"/>
      <c r="BE183" s="7"/>
      <c r="BF183" s="7"/>
      <c r="BG183" s="7"/>
      <c r="BH183" s="7"/>
      <c r="BI183" s="7"/>
      <c r="BJ183" s="7"/>
      <c r="BK183" s="7"/>
      <c r="BL183" s="7"/>
      <c r="BM183" s="7"/>
    </row>
    <row r="184" spans="3:65" x14ac:dyDescent="0.2"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7"/>
      <c r="AU184" s="7"/>
      <c r="AV184" s="7"/>
      <c r="AW184" s="7"/>
      <c r="AX184" s="7"/>
      <c r="AY184" s="7"/>
      <c r="AZ184" s="7"/>
      <c r="BA184" s="7"/>
      <c r="BB184" s="7"/>
      <c r="BC184" s="7"/>
      <c r="BD184" s="7"/>
      <c r="BE184" s="7"/>
      <c r="BF184" s="7"/>
      <c r="BG184" s="7"/>
      <c r="BH184" s="7"/>
      <c r="BI184" s="7"/>
      <c r="BJ184" s="7"/>
      <c r="BK184" s="7"/>
      <c r="BL184" s="7"/>
      <c r="BM184" s="7"/>
    </row>
    <row r="185" spans="3:65" x14ac:dyDescent="0.2"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7"/>
      <c r="AU185" s="7"/>
      <c r="AV185" s="7"/>
      <c r="AW185" s="7"/>
      <c r="AX185" s="7"/>
      <c r="AY185" s="7"/>
      <c r="AZ185" s="7"/>
      <c r="BA185" s="7"/>
      <c r="BB185" s="7"/>
      <c r="BC185" s="7"/>
      <c r="BD185" s="7"/>
      <c r="BE185" s="7"/>
      <c r="BF185" s="7"/>
      <c r="BG185" s="7"/>
      <c r="BH185" s="7"/>
      <c r="BI185" s="7"/>
      <c r="BJ185" s="7"/>
      <c r="BK185" s="7"/>
      <c r="BL185" s="7"/>
      <c r="BM185" s="7"/>
    </row>
    <row r="186" spans="3:65" x14ac:dyDescent="0.2"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7"/>
      <c r="AU186" s="7"/>
      <c r="AV186" s="7"/>
      <c r="AW186" s="7"/>
      <c r="AX186" s="7"/>
      <c r="AY186" s="7"/>
      <c r="AZ186" s="7"/>
      <c r="BA186" s="7"/>
      <c r="BB186" s="7"/>
      <c r="BC186" s="7"/>
      <c r="BD186" s="7"/>
      <c r="BE186" s="7"/>
      <c r="BF186" s="7"/>
      <c r="BG186" s="7"/>
      <c r="BH186" s="7"/>
      <c r="BI186" s="7"/>
      <c r="BJ186" s="7"/>
      <c r="BK186" s="7"/>
      <c r="BL186" s="7"/>
      <c r="BM186" s="7"/>
    </row>
    <row r="187" spans="3:65" x14ac:dyDescent="0.2"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7"/>
      <c r="AU187" s="7"/>
      <c r="AV187" s="7"/>
      <c r="AW187" s="7"/>
      <c r="AX187" s="7"/>
      <c r="AY187" s="7"/>
      <c r="AZ187" s="7"/>
      <c r="BA187" s="7"/>
      <c r="BB187" s="7"/>
      <c r="BC187" s="7"/>
      <c r="BD187" s="7"/>
      <c r="BE187" s="7"/>
      <c r="BF187" s="7"/>
      <c r="BG187" s="7"/>
      <c r="BH187" s="7"/>
      <c r="BI187" s="7"/>
      <c r="BJ187" s="7"/>
      <c r="BK187" s="7"/>
      <c r="BL187" s="7"/>
      <c r="BM187" s="7"/>
    </row>
    <row r="188" spans="3:65" x14ac:dyDescent="0.2"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7"/>
      <c r="AU188" s="7"/>
      <c r="AV188" s="7"/>
      <c r="AW188" s="7"/>
      <c r="AX188" s="7"/>
      <c r="AY188" s="7"/>
      <c r="AZ188" s="7"/>
      <c r="BA188" s="7"/>
      <c r="BB188" s="7"/>
      <c r="BC188" s="7"/>
      <c r="BD188" s="7"/>
      <c r="BE188" s="7"/>
      <c r="BF188" s="7"/>
      <c r="BG188" s="7"/>
      <c r="BH188" s="7"/>
      <c r="BI188" s="7"/>
      <c r="BJ188" s="7"/>
      <c r="BK188" s="7"/>
      <c r="BL188" s="7"/>
      <c r="BM188" s="7"/>
    </row>
    <row r="189" spans="3:65" x14ac:dyDescent="0.2"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7"/>
      <c r="AU189" s="7"/>
      <c r="AV189" s="7"/>
      <c r="AW189" s="7"/>
      <c r="AX189" s="7"/>
      <c r="AY189" s="7"/>
      <c r="AZ189" s="7"/>
      <c r="BA189" s="7"/>
      <c r="BB189" s="7"/>
      <c r="BC189" s="7"/>
      <c r="BD189" s="7"/>
      <c r="BE189" s="7"/>
      <c r="BF189" s="7"/>
      <c r="BG189" s="7"/>
      <c r="BH189" s="7"/>
      <c r="BI189" s="7"/>
      <c r="BJ189" s="7"/>
      <c r="BK189" s="7"/>
      <c r="BL189" s="7"/>
      <c r="BM189" s="7"/>
    </row>
    <row r="190" spans="3:65" x14ac:dyDescent="0.2"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7"/>
      <c r="AU190" s="7"/>
      <c r="AV190" s="7"/>
      <c r="AW190" s="7"/>
      <c r="AX190" s="7"/>
      <c r="AY190" s="7"/>
      <c r="AZ190" s="7"/>
      <c r="BA190" s="7"/>
      <c r="BB190" s="7"/>
      <c r="BC190" s="7"/>
      <c r="BD190" s="7"/>
      <c r="BE190" s="7"/>
      <c r="BF190" s="7"/>
      <c r="BG190" s="7"/>
      <c r="BH190" s="7"/>
      <c r="BI190" s="7"/>
      <c r="BJ190" s="7"/>
      <c r="BK190" s="7"/>
      <c r="BL190" s="7"/>
      <c r="BM190" s="7"/>
    </row>
    <row r="191" spans="3:65" x14ac:dyDescent="0.2"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7"/>
      <c r="AU191" s="7"/>
      <c r="AV191" s="7"/>
      <c r="AW191" s="7"/>
      <c r="AX191" s="7"/>
      <c r="AY191" s="7"/>
      <c r="AZ191" s="7"/>
      <c r="BA191" s="7"/>
      <c r="BB191" s="7"/>
      <c r="BC191" s="7"/>
      <c r="BD191" s="7"/>
      <c r="BE191" s="7"/>
      <c r="BF191" s="7"/>
      <c r="BG191" s="7"/>
      <c r="BH191" s="7"/>
      <c r="BI191" s="7"/>
      <c r="BJ191" s="7"/>
      <c r="BK191" s="7"/>
      <c r="BL191" s="7"/>
      <c r="BM191" s="7"/>
    </row>
    <row r="192" spans="3:65" x14ac:dyDescent="0.2"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7"/>
      <c r="AU192" s="7"/>
      <c r="AV192" s="7"/>
      <c r="AW192" s="7"/>
      <c r="AX192" s="7"/>
      <c r="AY192" s="7"/>
      <c r="AZ192" s="7"/>
      <c r="BA192" s="7"/>
      <c r="BB192" s="7"/>
      <c r="BC192" s="7"/>
      <c r="BD192" s="7"/>
      <c r="BE192" s="7"/>
      <c r="BF192" s="7"/>
      <c r="BG192" s="7"/>
      <c r="BH192" s="7"/>
      <c r="BI192" s="7"/>
      <c r="BJ192" s="7"/>
      <c r="BK192" s="7"/>
      <c r="BL192" s="7"/>
      <c r="BM192" s="7"/>
    </row>
    <row r="193" spans="3:65" x14ac:dyDescent="0.2"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7"/>
      <c r="AU193" s="7"/>
      <c r="AV193" s="7"/>
      <c r="AW193" s="7"/>
      <c r="AX193" s="7"/>
      <c r="AY193" s="7"/>
      <c r="AZ193" s="7"/>
      <c r="BA193" s="7"/>
      <c r="BB193" s="7"/>
      <c r="BC193" s="7"/>
      <c r="BD193" s="7"/>
      <c r="BE193" s="7"/>
      <c r="BF193" s="7"/>
      <c r="BG193" s="7"/>
      <c r="BH193" s="7"/>
      <c r="BI193" s="7"/>
      <c r="BJ193" s="7"/>
      <c r="BK193" s="7"/>
      <c r="BL193" s="7"/>
      <c r="BM193" s="7"/>
    </row>
    <row r="194" spans="3:65" x14ac:dyDescent="0.2"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7"/>
      <c r="AU194" s="7"/>
      <c r="AV194" s="7"/>
      <c r="AW194" s="7"/>
      <c r="AX194" s="7"/>
      <c r="AY194" s="7"/>
      <c r="AZ194" s="7"/>
      <c r="BA194" s="7"/>
      <c r="BB194" s="7"/>
      <c r="BC194" s="7"/>
      <c r="BD194" s="7"/>
      <c r="BE194" s="7"/>
      <c r="BF194" s="7"/>
      <c r="BG194" s="7"/>
      <c r="BH194" s="7"/>
      <c r="BI194" s="7"/>
      <c r="BJ194" s="7"/>
      <c r="BK194" s="7"/>
      <c r="BL194" s="7"/>
      <c r="BM194" s="7"/>
    </row>
    <row r="195" spans="3:65" x14ac:dyDescent="0.2"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7"/>
      <c r="AU195" s="7"/>
      <c r="AV195" s="7"/>
      <c r="AW195" s="7"/>
      <c r="AX195" s="7"/>
      <c r="AY195" s="7"/>
      <c r="AZ195" s="7"/>
      <c r="BA195" s="7"/>
      <c r="BB195" s="7"/>
      <c r="BC195" s="7"/>
      <c r="BD195" s="7"/>
      <c r="BE195" s="7"/>
      <c r="BF195" s="7"/>
      <c r="BG195" s="7"/>
      <c r="BH195" s="7"/>
      <c r="BI195" s="7"/>
      <c r="BJ195" s="7"/>
      <c r="BK195" s="7"/>
      <c r="BL195" s="7"/>
      <c r="BM195" s="7"/>
    </row>
    <row r="196" spans="3:65" x14ac:dyDescent="0.2"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7"/>
      <c r="AU196" s="7"/>
      <c r="AV196" s="7"/>
      <c r="AW196" s="7"/>
      <c r="AX196" s="7"/>
      <c r="AY196" s="7"/>
      <c r="AZ196" s="7"/>
      <c r="BA196" s="7"/>
      <c r="BB196" s="7"/>
      <c r="BC196" s="7"/>
      <c r="BD196" s="7"/>
      <c r="BE196" s="7"/>
      <c r="BF196" s="7"/>
      <c r="BG196" s="7"/>
      <c r="BH196" s="7"/>
      <c r="BI196" s="7"/>
      <c r="BJ196" s="7"/>
      <c r="BK196" s="7"/>
      <c r="BL196" s="7"/>
      <c r="BM196" s="7"/>
    </row>
    <row r="197" spans="3:65" x14ac:dyDescent="0.2"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7"/>
      <c r="AU197" s="7"/>
      <c r="AV197" s="7"/>
      <c r="AW197" s="7"/>
      <c r="AX197" s="7"/>
      <c r="AY197" s="7"/>
      <c r="AZ197" s="7"/>
      <c r="BA197" s="7"/>
      <c r="BB197" s="7"/>
      <c r="BC197" s="7"/>
      <c r="BD197" s="7"/>
      <c r="BE197" s="7"/>
      <c r="BF197" s="7"/>
      <c r="BG197" s="7"/>
      <c r="BH197" s="7"/>
      <c r="BI197" s="7"/>
      <c r="BJ197" s="7"/>
      <c r="BK197" s="7"/>
      <c r="BL197" s="7"/>
      <c r="BM197" s="7"/>
    </row>
    <row r="198" spans="3:65" x14ac:dyDescent="0.2"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7"/>
      <c r="AU198" s="7"/>
      <c r="AV198" s="7"/>
      <c r="AW198" s="7"/>
      <c r="AX198" s="7"/>
      <c r="AY198" s="7"/>
      <c r="AZ198" s="7"/>
      <c r="BA198" s="7"/>
      <c r="BB198" s="7"/>
      <c r="BC198" s="7"/>
      <c r="BD198" s="7"/>
      <c r="BE198" s="7"/>
      <c r="BF198" s="7"/>
      <c r="BG198" s="7"/>
      <c r="BH198" s="7"/>
      <c r="BI198" s="7"/>
      <c r="BJ198" s="7"/>
      <c r="BK198" s="7"/>
      <c r="BL198" s="7"/>
      <c r="BM198" s="7"/>
    </row>
    <row r="199" spans="3:65" x14ac:dyDescent="0.2"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7"/>
      <c r="AU199" s="7"/>
      <c r="AV199" s="7"/>
      <c r="AW199" s="7"/>
      <c r="AX199" s="7"/>
      <c r="AY199" s="7"/>
      <c r="AZ199" s="7"/>
      <c r="BA199" s="7"/>
      <c r="BB199" s="7"/>
      <c r="BC199" s="7"/>
      <c r="BD199" s="7"/>
      <c r="BE199" s="7"/>
      <c r="BF199" s="7"/>
      <c r="BG199" s="7"/>
      <c r="BH199" s="7"/>
      <c r="BI199" s="7"/>
      <c r="BJ199" s="7"/>
      <c r="BK199" s="7"/>
      <c r="BL199" s="7"/>
      <c r="BM199" s="7"/>
    </row>
    <row r="200" spans="3:65" x14ac:dyDescent="0.2"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7"/>
      <c r="AU200" s="7"/>
      <c r="AV200" s="7"/>
      <c r="AW200" s="7"/>
      <c r="AX200" s="7"/>
      <c r="AY200" s="7"/>
      <c r="AZ200" s="7"/>
      <c r="BA200" s="7"/>
      <c r="BB200" s="7"/>
      <c r="BC200" s="7"/>
      <c r="BD200" s="7"/>
      <c r="BE200" s="7"/>
      <c r="BF200" s="7"/>
      <c r="BG200" s="7"/>
      <c r="BH200" s="7"/>
      <c r="BI200" s="7"/>
      <c r="BJ200" s="7"/>
      <c r="BK200" s="7"/>
      <c r="BL200" s="7"/>
      <c r="BM200" s="7"/>
    </row>
    <row r="201" spans="3:65" x14ac:dyDescent="0.2"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7"/>
      <c r="AU201" s="7"/>
      <c r="AV201" s="7"/>
      <c r="AW201" s="7"/>
      <c r="AX201" s="7"/>
      <c r="AY201" s="7"/>
      <c r="AZ201" s="7"/>
      <c r="BA201" s="7"/>
      <c r="BB201" s="7"/>
      <c r="BC201" s="7"/>
      <c r="BD201" s="7"/>
      <c r="BE201" s="7"/>
      <c r="BF201" s="7"/>
      <c r="BG201" s="7"/>
      <c r="BH201" s="7"/>
      <c r="BI201" s="7"/>
      <c r="BJ201" s="7"/>
      <c r="BK201" s="7"/>
      <c r="BL201" s="7"/>
      <c r="BM201" s="7"/>
    </row>
    <row r="202" spans="3:65" x14ac:dyDescent="0.2"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7"/>
      <c r="AU202" s="7"/>
      <c r="AV202" s="7"/>
      <c r="AW202" s="7"/>
      <c r="AX202" s="7"/>
      <c r="AY202" s="7"/>
      <c r="AZ202" s="7"/>
      <c r="BA202" s="7"/>
      <c r="BB202" s="7"/>
      <c r="BC202" s="7"/>
      <c r="BD202" s="7"/>
      <c r="BE202" s="7"/>
      <c r="BF202" s="7"/>
      <c r="BG202" s="7"/>
      <c r="BH202" s="7"/>
      <c r="BI202" s="7"/>
      <c r="BJ202" s="7"/>
      <c r="BK202" s="7"/>
      <c r="BL202" s="7"/>
      <c r="BM202" s="7"/>
    </row>
    <row r="203" spans="3:65" x14ac:dyDescent="0.2"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7"/>
      <c r="AU203" s="7"/>
      <c r="AV203" s="7"/>
      <c r="AW203" s="7"/>
      <c r="AX203" s="7"/>
      <c r="AY203" s="7"/>
      <c r="AZ203" s="7"/>
      <c r="BA203" s="7"/>
      <c r="BB203" s="7"/>
      <c r="BC203" s="7"/>
      <c r="BD203" s="7"/>
      <c r="BE203" s="7"/>
      <c r="BF203" s="7"/>
      <c r="BG203" s="7"/>
      <c r="BH203" s="7"/>
      <c r="BI203" s="7"/>
      <c r="BJ203" s="7"/>
      <c r="BK203" s="7"/>
      <c r="BL203" s="7"/>
      <c r="BM203" s="7"/>
    </row>
    <row r="204" spans="3:65" x14ac:dyDescent="0.2"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7"/>
      <c r="AU204" s="7"/>
      <c r="AV204" s="7"/>
      <c r="AW204" s="7"/>
      <c r="AX204" s="7"/>
      <c r="AY204" s="7"/>
      <c r="AZ204" s="7"/>
      <c r="BA204" s="7"/>
      <c r="BB204" s="7"/>
      <c r="BC204" s="7"/>
      <c r="BD204" s="7"/>
      <c r="BE204" s="7"/>
      <c r="BF204" s="7"/>
      <c r="BG204" s="7"/>
      <c r="BH204" s="7"/>
      <c r="BI204" s="7"/>
      <c r="BJ204" s="7"/>
      <c r="BK204" s="7"/>
      <c r="BL204" s="7"/>
      <c r="BM204" s="7"/>
    </row>
    <row r="205" spans="3:65" x14ac:dyDescent="0.2"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7"/>
      <c r="AU205" s="7"/>
      <c r="AV205" s="7"/>
      <c r="AW205" s="7"/>
      <c r="AX205" s="7"/>
      <c r="AY205" s="7"/>
      <c r="AZ205" s="7"/>
      <c r="BA205" s="7"/>
      <c r="BB205" s="7"/>
      <c r="BC205" s="7"/>
      <c r="BD205" s="7"/>
      <c r="BE205" s="7"/>
      <c r="BF205" s="7"/>
      <c r="BG205" s="7"/>
      <c r="BH205" s="7"/>
      <c r="BI205" s="7"/>
      <c r="BJ205" s="7"/>
      <c r="BK205" s="7"/>
      <c r="BL205" s="7"/>
      <c r="BM205" s="7"/>
    </row>
    <row r="206" spans="3:65" x14ac:dyDescent="0.2"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7"/>
      <c r="AU206" s="7"/>
      <c r="AV206" s="7"/>
      <c r="AW206" s="7"/>
      <c r="AX206" s="7"/>
      <c r="AY206" s="7"/>
      <c r="AZ206" s="7"/>
      <c r="BA206" s="7"/>
      <c r="BB206" s="7"/>
      <c r="BC206" s="7"/>
      <c r="BD206" s="7"/>
      <c r="BE206" s="7"/>
      <c r="BF206" s="7"/>
      <c r="BG206" s="7"/>
      <c r="BH206" s="7"/>
      <c r="BI206" s="7"/>
      <c r="BJ206" s="7"/>
      <c r="BK206" s="7"/>
      <c r="BL206" s="7"/>
      <c r="BM206" s="7"/>
    </row>
    <row r="207" spans="3:65" x14ac:dyDescent="0.2"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7"/>
      <c r="AU207" s="7"/>
      <c r="AV207" s="7"/>
      <c r="AW207" s="7"/>
      <c r="AX207" s="7"/>
      <c r="AY207" s="7"/>
      <c r="AZ207" s="7"/>
      <c r="BA207" s="7"/>
      <c r="BB207" s="7"/>
      <c r="BC207" s="7"/>
      <c r="BD207" s="7"/>
      <c r="BE207" s="7"/>
      <c r="BF207" s="7"/>
      <c r="BG207" s="7"/>
      <c r="BH207" s="7"/>
      <c r="BI207" s="7"/>
      <c r="BJ207" s="7"/>
      <c r="BK207" s="7"/>
      <c r="BL207" s="7"/>
      <c r="BM207" s="7"/>
    </row>
    <row r="208" spans="3:65" x14ac:dyDescent="0.2"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7"/>
      <c r="AU208" s="7"/>
      <c r="AV208" s="7"/>
      <c r="AW208" s="7"/>
      <c r="AX208" s="7"/>
      <c r="AY208" s="7"/>
      <c r="AZ208" s="7"/>
      <c r="BA208" s="7"/>
      <c r="BB208" s="7"/>
      <c r="BC208" s="7"/>
      <c r="BD208" s="7"/>
      <c r="BE208" s="7"/>
      <c r="BF208" s="7"/>
      <c r="BG208" s="7"/>
      <c r="BH208" s="7"/>
      <c r="BI208" s="7"/>
      <c r="BJ208" s="7"/>
      <c r="BK208" s="7"/>
      <c r="BL208" s="7"/>
      <c r="BM208" s="7"/>
    </row>
    <row r="209" spans="3:65" x14ac:dyDescent="0.2"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7"/>
      <c r="AU209" s="7"/>
      <c r="AV209" s="7"/>
      <c r="AW209" s="7"/>
      <c r="AX209" s="7"/>
      <c r="AY209" s="7"/>
      <c r="AZ209" s="7"/>
      <c r="BA209" s="7"/>
      <c r="BB209" s="7"/>
      <c r="BC209" s="7"/>
      <c r="BD209" s="7"/>
      <c r="BE209" s="7"/>
      <c r="BF209" s="7"/>
      <c r="BG209" s="7"/>
      <c r="BH209" s="7"/>
      <c r="BI209" s="7"/>
      <c r="BJ209" s="7"/>
      <c r="BK209" s="7"/>
      <c r="BL209" s="7"/>
      <c r="BM209" s="7"/>
    </row>
    <row r="210" spans="3:65" x14ac:dyDescent="0.2"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7"/>
      <c r="AU210" s="7"/>
      <c r="AV210" s="7"/>
      <c r="AW210" s="7"/>
      <c r="AX210" s="7"/>
      <c r="AY210" s="7"/>
      <c r="AZ210" s="7"/>
      <c r="BA210" s="7"/>
      <c r="BB210" s="7"/>
      <c r="BC210" s="7"/>
      <c r="BD210" s="7"/>
      <c r="BE210" s="7"/>
      <c r="BF210" s="7"/>
      <c r="BG210" s="7"/>
      <c r="BH210" s="7"/>
      <c r="BI210" s="7"/>
      <c r="BJ210" s="7"/>
      <c r="BK210" s="7"/>
      <c r="BL210" s="7"/>
      <c r="BM210" s="7"/>
    </row>
    <row r="211" spans="3:65" x14ac:dyDescent="0.2"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7"/>
      <c r="AU211" s="7"/>
      <c r="AV211" s="7"/>
      <c r="AW211" s="7"/>
      <c r="AX211" s="7"/>
      <c r="AY211" s="7"/>
      <c r="AZ211" s="7"/>
      <c r="BA211" s="7"/>
      <c r="BB211" s="7"/>
      <c r="BC211" s="7"/>
      <c r="BD211" s="7"/>
      <c r="BE211" s="7"/>
      <c r="BF211" s="7"/>
      <c r="BG211" s="7"/>
      <c r="BH211" s="7"/>
      <c r="BI211" s="7"/>
      <c r="BJ211" s="7"/>
      <c r="BK211" s="7"/>
      <c r="BL211" s="7"/>
      <c r="BM211" s="7"/>
    </row>
    <row r="212" spans="3:65" x14ac:dyDescent="0.2"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7"/>
      <c r="AU212" s="7"/>
      <c r="AV212" s="7"/>
      <c r="AW212" s="7"/>
      <c r="AX212" s="7"/>
      <c r="AY212" s="7"/>
      <c r="AZ212" s="7"/>
      <c r="BA212" s="7"/>
      <c r="BB212" s="7"/>
      <c r="BC212" s="7"/>
      <c r="BD212" s="7"/>
      <c r="BE212" s="7"/>
      <c r="BF212" s="7"/>
      <c r="BG212" s="7"/>
      <c r="BH212" s="7"/>
      <c r="BI212" s="7"/>
      <c r="BJ212" s="7"/>
      <c r="BK212" s="7"/>
      <c r="BL212" s="7"/>
      <c r="BM212" s="7"/>
    </row>
    <row r="213" spans="3:65" x14ac:dyDescent="0.2"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7"/>
      <c r="AU213" s="7"/>
      <c r="AV213" s="7"/>
      <c r="AW213" s="7"/>
      <c r="AX213" s="7"/>
      <c r="AY213" s="7"/>
      <c r="AZ213" s="7"/>
      <c r="BA213" s="7"/>
      <c r="BB213" s="7"/>
      <c r="BC213" s="7"/>
      <c r="BD213" s="7"/>
      <c r="BE213" s="7"/>
      <c r="BF213" s="7"/>
      <c r="BG213" s="7"/>
      <c r="BH213" s="7"/>
      <c r="BI213" s="7"/>
      <c r="BJ213" s="7"/>
      <c r="BK213" s="7"/>
      <c r="BL213" s="7"/>
      <c r="BM213" s="7"/>
    </row>
    <row r="214" spans="3:65" x14ac:dyDescent="0.2"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7"/>
      <c r="AU214" s="7"/>
      <c r="AV214" s="7"/>
      <c r="AW214" s="7"/>
      <c r="AX214" s="7"/>
      <c r="AY214" s="7"/>
      <c r="AZ214" s="7"/>
      <c r="BA214" s="7"/>
      <c r="BB214" s="7"/>
      <c r="BC214" s="7"/>
      <c r="BD214" s="7"/>
      <c r="BE214" s="7"/>
      <c r="BF214" s="7"/>
      <c r="BG214" s="7"/>
      <c r="BH214" s="7"/>
      <c r="BI214" s="7"/>
      <c r="BJ214" s="7"/>
      <c r="BK214" s="7"/>
      <c r="BL214" s="7"/>
      <c r="BM214" s="7"/>
    </row>
    <row r="215" spans="3:65" x14ac:dyDescent="0.2"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7"/>
      <c r="AU215" s="7"/>
      <c r="AV215" s="7"/>
      <c r="AW215" s="7"/>
      <c r="AX215" s="7"/>
      <c r="AY215" s="7"/>
      <c r="AZ215" s="7"/>
      <c r="BA215" s="7"/>
      <c r="BB215" s="7"/>
      <c r="BC215" s="7"/>
      <c r="BD215" s="7"/>
      <c r="BE215" s="7"/>
      <c r="BF215" s="7"/>
      <c r="BG215" s="7"/>
      <c r="BH215" s="7"/>
      <c r="BI215" s="7"/>
      <c r="BJ215" s="7"/>
      <c r="BK215" s="7"/>
      <c r="BL215" s="7"/>
      <c r="BM215" s="7"/>
    </row>
    <row r="216" spans="3:65" x14ac:dyDescent="0.2"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7"/>
      <c r="AU216" s="7"/>
      <c r="AV216" s="7"/>
      <c r="AW216" s="7"/>
      <c r="AX216" s="7"/>
      <c r="AY216" s="7"/>
      <c r="AZ216" s="7"/>
      <c r="BA216" s="7"/>
      <c r="BB216" s="7"/>
      <c r="BC216" s="7"/>
      <c r="BD216" s="7"/>
      <c r="BE216" s="7"/>
      <c r="BF216" s="7"/>
      <c r="BG216" s="7"/>
      <c r="BH216" s="7"/>
      <c r="BI216" s="7"/>
      <c r="BJ216" s="7"/>
      <c r="BK216" s="7"/>
      <c r="BL216" s="7"/>
      <c r="BM216" s="7"/>
    </row>
    <row r="217" spans="3:65" x14ac:dyDescent="0.2"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7"/>
      <c r="AU217" s="7"/>
      <c r="AV217" s="7"/>
      <c r="AW217" s="7"/>
      <c r="AX217" s="7"/>
      <c r="AY217" s="7"/>
      <c r="AZ217" s="7"/>
      <c r="BA217" s="7"/>
      <c r="BB217" s="7"/>
      <c r="BC217" s="7"/>
      <c r="BD217" s="7"/>
      <c r="BE217" s="7"/>
      <c r="BF217" s="7"/>
      <c r="BG217" s="7"/>
      <c r="BH217" s="7"/>
      <c r="BI217" s="7"/>
      <c r="BJ217" s="7"/>
      <c r="BK217" s="7"/>
      <c r="BL217" s="7"/>
      <c r="BM217" s="7"/>
    </row>
    <row r="218" spans="3:65" x14ac:dyDescent="0.2"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7"/>
      <c r="AU218" s="7"/>
      <c r="AV218" s="7"/>
      <c r="AW218" s="7"/>
      <c r="AX218" s="7"/>
      <c r="AY218" s="7"/>
      <c r="AZ218" s="7"/>
      <c r="BA218" s="7"/>
      <c r="BB218" s="7"/>
      <c r="BC218" s="7"/>
      <c r="BD218" s="7"/>
      <c r="BE218" s="7"/>
      <c r="BF218" s="7"/>
      <c r="BG218" s="7"/>
      <c r="BH218" s="7"/>
      <c r="BI218" s="7"/>
      <c r="BJ218" s="7"/>
      <c r="BK218" s="7"/>
      <c r="BL218" s="7"/>
      <c r="BM218" s="7"/>
    </row>
    <row r="219" spans="3:65" x14ac:dyDescent="0.2"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7"/>
      <c r="AU219" s="7"/>
      <c r="AV219" s="7"/>
      <c r="AW219" s="7"/>
      <c r="AX219" s="7"/>
      <c r="AY219" s="7"/>
      <c r="AZ219" s="7"/>
      <c r="BA219" s="7"/>
      <c r="BB219" s="7"/>
      <c r="BC219" s="7"/>
      <c r="BD219" s="7"/>
      <c r="BE219" s="7"/>
      <c r="BF219" s="7"/>
      <c r="BG219" s="7"/>
      <c r="BH219" s="7"/>
      <c r="BI219" s="7"/>
      <c r="BJ219" s="7"/>
      <c r="BK219" s="7"/>
      <c r="BL219" s="7"/>
      <c r="BM219" s="7"/>
    </row>
    <row r="220" spans="3:65" x14ac:dyDescent="0.2"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7"/>
      <c r="AU220" s="7"/>
      <c r="AV220" s="7"/>
      <c r="AW220" s="7"/>
      <c r="AX220" s="7"/>
      <c r="AY220" s="7"/>
      <c r="AZ220" s="7"/>
      <c r="BA220" s="7"/>
      <c r="BB220" s="7"/>
      <c r="BC220" s="7"/>
      <c r="BD220" s="7"/>
      <c r="BE220" s="7"/>
      <c r="BF220" s="7"/>
      <c r="BG220" s="7"/>
      <c r="BH220" s="7"/>
      <c r="BI220" s="7"/>
      <c r="BJ220" s="7"/>
      <c r="BK220" s="7"/>
      <c r="BL220" s="7"/>
      <c r="BM220" s="7"/>
    </row>
    <row r="221" spans="3:65" x14ac:dyDescent="0.2"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7"/>
      <c r="AU221" s="7"/>
      <c r="AV221" s="7"/>
      <c r="AW221" s="7"/>
      <c r="AX221" s="7"/>
      <c r="AY221" s="7"/>
      <c r="AZ221" s="7"/>
      <c r="BA221" s="7"/>
      <c r="BB221" s="7"/>
      <c r="BC221" s="7"/>
      <c r="BD221" s="7"/>
      <c r="BE221" s="7"/>
      <c r="BF221" s="7"/>
      <c r="BG221" s="7"/>
      <c r="BH221" s="7"/>
      <c r="BI221" s="7"/>
      <c r="BJ221" s="7"/>
      <c r="BK221" s="7"/>
      <c r="BL221" s="7"/>
      <c r="BM221" s="7"/>
    </row>
    <row r="222" spans="3:65" x14ac:dyDescent="0.2"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7"/>
      <c r="AU222" s="7"/>
      <c r="AV222" s="7"/>
      <c r="AW222" s="7"/>
      <c r="AX222" s="7"/>
      <c r="AY222" s="7"/>
      <c r="AZ222" s="7"/>
      <c r="BA222" s="7"/>
      <c r="BB222" s="7"/>
      <c r="BC222" s="7"/>
      <c r="BD222" s="7"/>
      <c r="BE222" s="7"/>
      <c r="BF222" s="7"/>
      <c r="BG222" s="7"/>
      <c r="BH222" s="7"/>
      <c r="BI222" s="7"/>
      <c r="BJ222" s="7"/>
      <c r="BK222" s="7"/>
      <c r="BL222" s="7"/>
      <c r="BM222" s="7"/>
    </row>
    <row r="223" spans="3:65" x14ac:dyDescent="0.2"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7"/>
      <c r="AU223" s="7"/>
      <c r="AV223" s="7"/>
      <c r="AW223" s="7"/>
      <c r="AX223" s="7"/>
      <c r="AY223" s="7"/>
      <c r="AZ223" s="7"/>
      <c r="BA223" s="7"/>
      <c r="BB223" s="7"/>
      <c r="BC223" s="7"/>
      <c r="BD223" s="7"/>
      <c r="BE223" s="7"/>
      <c r="BF223" s="7"/>
      <c r="BG223" s="7"/>
      <c r="BH223" s="7"/>
      <c r="BI223" s="7"/>
      <c r="BJ223" s="7"/>
      <c r="BK223" s="7"/>
      <c r="BL223" s="7"/>
      <c r="BM223" s="7"/>
    </row>
    <row r="224" spans="3:65" x14ac:dyDescent="0.2"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7"/>
      <c r="AU224" s="7"/>
      <c r="AV224" s="7"/>
      <c r="AW224" s="7"/>
      <c r="AX224" s="7"/>
      <c r="AY224" s="7"/>
      <c r="AZ224" s="7"/>
      <c r="BA224" s="7"/>
      <c r="BB224" s="7"/>
      <c r="BC224" s="7"/>
      <c r="BD224" s="7"/>
      <c r="BE224" s="7"/>
      <c r="BF224" s="7"/>
      <c r="BG224" s="7"/>
      <c r="BH224" s="7"/>
      <c r="BI224" s="7"/>
      <c r="BJ224" s="7"/>
      <c r="BK224" s="7"/>
      <c r="BL224" s="7"/>
      <c r="BM224" s="7"/>
    </row>
    <row r="225" spans="3:65" x14ac:dyDescent="0.2"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7"/>
      <c r="AU225" s="7"/>
      <c r="AV225" s="7"/>
      <c r="AW225" s="7"/>
      <c r="AX225" s="7"/>
      <c r="AY225" s="7"/>
      <c r="AZ225" s="7"/>
      <c r="BA225" s="7"/>
      <c r="BB225" s="7"/>
      <c r="BC225" s="7"/>
      <c r="BD225" s="7"/>
      <c r="BE225" s="7"/>
      <c r="BF225" s="7"/>
      <c r="BG225" s="7"/>
      <c r="BH225" s="7"/>
      <c r="BI225" s="7"/>
      <c r="BJ225" s="7"/>
      <c r="BK225" s="7"/>
      <c r="BL225" s="7"/>
      <c r="BM225" s="7"/>
    </row>
    <row r="226" spans="3:65" x14ac:dyDescent="0.2"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7"/>
      <c r="AU226" s="7"/>
      <c r="AV226" s="7"/>
      <c r="AW226" s="7"/>
      <c r="AX226" s="7"/>
      <c r="AY226" s="7"/>
      <c r="AZ226" s="7"/>
      <c r="BA226" s="7"/>
      <c r="BB226" s="7"/>
      <c r="BC226" s="7"/>
      <c r="BD226" s="7"/>
      <c r="BE226" s="7"/>
      <c r="BF226" s="7"/>
      <c r="BG226" s="7"/>
      <c r="BH226" s="7"/>
      <c r="BI226" s="7"/>
      <c r="BJ226" s="7"/>
      <c r="BK226" s="7"/>
      <c r="BL226" s="7"/>
      <c r="BM226" s="7"/>
    </row>
    <row r="227" spans="3:65" x14ac:dyDescent="0.2"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7"/>
      <c r="AU227" s="7"/>
      <c r="AV227" s="7"/>
      <c r="AW227" s="7"/>
      <c r="AX227" s="7"/>
      <c r="AY227" s="7"/>
      <c r="AZ227" s="7"/>
      <c r="BA227" s="7"/>
      <c r="BB227" s="7"/>
      <c r="BC227" s="7"/>
      <c r="BD227" s="7"/>
      <c r="BE227" s="7"/>
      <c r="BF227" s="7"/>
      <c r="BG227" s="7"/>
      <c r="BH227" s="7"/>
      <c r="BI227" s="7"/>
      <c r="BJ227" s="7"/>
      <c r="BK227" s="7"/>
      <c r="BL227" s="7"/>
      <c r="BM227" s="7"/>
    </row>
    <row r="228" spans="3:65" x14ac:dyDescent="0.2"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7"/>
      <c r="AU228" s="7"/>
      <c r="AV228" s="7"/>
      <c r="AW228" s="7"/>
      <c r="AX228" s="7"/>
      <c r="AY228" s="7"/>
      <c r="AZ228" s="7"/>
      <c r="BA228" s="7"/>
      <c r="BB228" s="7"/>
      <c r="BC228" s="7"/>
      <c r="BD228" s="7"/>
      <c r="BE228" s="7"/>
      <c r="BF228" s="7"/>
      <c r="BG228" s="7"/>
      <c r="BH228" s="7"/>
      <c r="BI228" s="7"/>
      <c r="BJ228" s="7"/>
      <c r="BK228" s="7"/>
      <c r="BL228" s="7"/>
      <c r="BM228" s="7"/>
    </row>
    <row r="229" spans="3:65" x14ac:dyDescent="0.2"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7"/>
      <c r="AU229" s="7"/>
      <c r="AV229" s="7"/>
      <c r="AW229" s="7"/>
      <c r="AX229" s="7"/>
      <c r="AY229" s="7"/>
      <c r="AZ229" s="7"/>
      <c r="BA229" s="7"/>
      <c r="BB229" s="7"/>
      <c r="BC229" s="7"/>
      <c r="BD229" s="7"/>
      <c r="BE229" s="7"/>
      <c r="BF229" s="7"/>
      <c r="BG229" s="7"/>
      <c r="BH229" s="7"/>
      <c r="BI229" s="7"/>
      <c r="BJ229" s="7"/>
      <c r="BK229" s="7"/>
      <c r="BL229" s="7"/>
      <c r="BM229" s="7"/>
    </row>
    <row r="230" spans="3:65" x14ac:dyDescent="0.2"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7"/>
      <c r="AU230" s="7"/>
      <c r="AV230" s="7"/>
      <c r="AW230" s="7"/>
      <c r="AX230" s="7"/>
      <c r="AY230" s="7"/>
      <c r="AZ230" s="7"/>
      <c r="BA230" s="7"/>
      <c r="BB230" s="7"/>
      <c r="BC230" s="7"/>
      <c r="BD230" s="7"/>
      <c r="BE230" s="7"/>
      <c r="BF230" s="7"/>
      <c r="BG230" s="7"/>
      <c r="BH230" s="7"/>
      <c r="BI230" s="7"/>
      <c r="BJ230" s="7"/>
      <c r="BK230" s="7"/>
      <c r="BL230" s="7"/>
      <c r="BM230" s="7"/>
    </row>
    <row r="231" spans="3:65" x14ac:dyDescent="0.2"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7"/>
      <c r="AU231" s="7"/>
      <c r="AV231" s="7"/>
      <c r="AW231" s="7"/>
      <c r="AX231" s="7"/>
      <c r="AY231" s="7"/>
      <c r="AZ231" s="7"/>
      <c r="BA231" s="7"/>
      <c r="BB231" s="7"/>
      <c r="BC231" s="7"/>
      <c r="BD231" s="7"/>
      <c r="BE231" s="7"/>
      <c r="BF231" s="7"/>
      <c r="BG231" s="7"/>
      <c r="BH231" s="7"/>
      <c r="BI231" s="7"/>
      <c r="BJ231" s="7"/>
      <c r="BK231" s="7"/>
      <c r="BL231" s="7"/>
      <c r="BM231" s="7"/>
    </row>
    <row r="232" spans="3:65" x14ac:dyDescent="0.2"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7"/>
      <c r="AU232" s="7"/>
      <c r="AV232" s="7"/>
      <c r="AW232" s="7"/>
      <c r="AX232" s="7"/>
      <c r="AY232" s="7"/>
      <c r="AZ232" s="7"/>
      <c r="BA232" s="7"/>
      <c r="BB232" s="7"/>
      <c r="BC232" s="7"/>
      <c r="BD232" s="7"/>
      <c r="BE232" s="7"/>
      <c r="BF232" s="7"/>
      <c r="BG232" s="7"/>
      <c r="BH232" s="7"/>
      <c r="BI232" s="7"/>
      <c r="BJ232" s="7"/>
      <c r="BK232" s="7"/>
      <c r="BL232" s="7"/>
      <c r="BM232" s="7"/>
    </row>
    <row r="233" spans="3:65" x14ac:dyDescent="0.2"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7"/>
      <c r="AU233" s="7"/>
      <c r="AV233" s="7"/>
      <c r="AW233" s="7"/>
      <c r="AX233" s="7"/>
      <c r="AY233" s="7"/>
      <c r="AZ233" s="7"/>
      <c r="BA233" s="7"/>
      <c r="BB233" s="7"/>
      <c r="BC233" s="7"/>
      <c r="BD233" s="7"/>
      <c r="BE233" s="7"/>
      <c r="BF233" s="7"/>
      <c r="BG233" s="7"/>
      <c r="BH233" s="7"/>
      <c r="BI233" s="7"/>
      <c r="BJ233" s="7"/>
      <c r="BK233" s="7"/>
      <c r="BL233" s="7"/>
      <c r="BM233" s="7"/>
    </row>
    <row r="234" spans="3:65" x14ac:dyDescent="0.2"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7"/>
      <c r="AU234" s="7"/>
      <c r="AV234" s="7"/>
      <c r="AW234" s="7"/>
      <c r="AX234" s="7"/>
      <c r="AY234" s="7"/>
      <c r="AZ234" s="7"/>
      <c r="BA234" s="7"/>
      <c r="BB234" s="7"/>
      <c r="BC234" s="7"/>
      <c r="BD234" s="7"/>
      <c r="BE234" s="7"/>
      <c r="BF234" s="7"/>
      <c r="BG234" s="7"/>
      <c r="BH234" s="7"/>
      <c r="BI234" s="7"/>
      <c r="BJ234" s="7"/>
      <c r="BK234" s="7"/>
      <c r="BL234" s="7"/>
      <c r="BM234" s="7"/>
    </row>
    <row r="235" spans="3:65" x14ac:dyDescent="0.2"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7"/>
      <c r="AU235" s="7"/>
      <c r="AV235" s="7"/>
      <c r="AW235" s="7"/>
      <c r="AX235" s="7"/>
      <c r="AY235" s="7"/>
      <c r="AZ235" s="7"/>
      <c r="BA235" s="7"/>
      <c r="BB235" s="7"/>
      <c r="BC235" s="7"/>
      <c r="BD235" s="7"/>
      <c r="BE235" s="7"/>
      <c r="BF235" s="7"/>
      <c r="BG235" s="7"/>
      <c r="BH235" s="7"/>
      <c r="BI235" s="7"/>
      <c r="BJ235" s="7"/>
      <c r="BK235" s="7"/>
      <c r="BL235" s="7"/>
      <c r="BM235" s="7"/>
    </row>
    <row r="236" spans="3:65" x14ac:dyDescent="0.2"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7"/>
      <c r="AU236" s="7"/>
      <c r="AV236" s="7"/>
      <c r="AW236" s="7"/>
      <c r="AX236" s="7"/>
      <c r="AY236" s="7"/>
      <c r="AZ236" s="7"/>
      <c r="BA236" s="7"/>
      <c r="BB236" s="7"/>
      <c r="BC236" s="7"/>
      <c r="BD236" s="7"/>
      <c r="BE236" s="7"/>
      <c r="BF236" s="7"/>
      <c r="BG236" s="7"/>
      <c r="BH236" s="7"/>
      <c r="BI236" s="7"/>
      <c r="BJ236" s="7"/>
      <c r="BK236" s="7"/>
      <c r="BL236" s="7"/>
      <c r="BM236" s="7"/>
    </row>
    <row r="237" spans="3:65" x14ac:dyDescent="0.2"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7"/>
      <c r="AU237" s="7"/>
      <c r="AV237" s="7"/>
      <c r="AW237" s="7"/>
      <c r="AX237" s="7"/>
      <c r="AY237" s="7"/>
      <c r="AZ237" s="7"/>
      <c r="BA237" s="7"/>
      <c r="BB237" s="7"/>
      <c r="BC237" s="7"/>
      <c r="BD237" s="7"/>
      <c r="BE237" s="7"/>
      <c r="BF237" s="7"/>
      <c r="BG237" s="7"/>
      <c r="BH237" s="7"/>
      <c r="BI237" s="7"/>
      <c r="BJ237" s="7"/>
      <c r="BK237" s="7"/>
      <c r="BL237" s="7"/>
      <c r="BM237" s="7"/>
    </row>
    <row r="238" spans="3:65" x14ac:dyDescent="0.2"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7"/>
      <c r="AU238" s="7"/>
      <c r="AV238" s="7"/>
      <c r="AW238" s="7"/>
      <c r="AX238" s="7"/>
      <c r="AY238" s="7"/>
      <c r="AZ238" s="7"/>
      <c r="BA238" s="7"/>
      <c r="BB238" s="7"/>
      <c r="BC238" s="7"/>
      <c r="BD238" s="7"/>
      <c r="BE238" s="7"/>
      <c r="BF238" s="7"/>
      <c r="BG238" s="7"/>
      <c r="BH238" s="7"/>
      <c r="BI238" s="7"/>
      <c r="BJ238" s="7"/>
      <c r="BK238" s="7"/>
      <c r="BL238" s="7"/>
      <c r="BM238" s="7"/>
    </row>
    <row r="239" spans="3:65" x14ac:dyDescent="0.2"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7"/>
      <c r="AU239" s="7"/>
      <c r="AV239" s="7"/>
      <c r="AW239" s="7"/>
      <c r="AX239" s="7"/>
      <c r="AY239" s="7"/>
      <c r="AZ239" s="7"/>
      <c r="BA239" s="7"/>
      <c r="BB239" s="7"/>
      <c r="BC239" s="7"/>
      <c r="BD239" s="7"/>
      <c r="BE239" s="7"/>
      <c r="BF239" s="7"/>
      <c r="BG239" s="7"/>
      <c r="BH239" s="7"/>
      <c r="BI239" s="7"/>
      <c r="BJ239" s="7"/>
      <c r="BK239" s="7"/>
      <c r="BL239" s="7"/>
      <c r="BM239" s="7"/>
    </row>
    <row r="240" spans="3:65" x14ac:dyDescent="0.2"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7"/>
      <c r="AU240" s="7"/>
      <c r="AV240" s="7"/>
      <c r="AW240" s="7"/>
      <c r="AX240" s="7"/>
      <c r="AY240" s="7"/>
      <c r="AZ240" s="7"/>
      <c r="BA240" s="7"/>
      <c r="BB240" s="7"/>
      <c r="BC240" s="7"/>
      <c r="BD240" s="7"/>
      <c r="BE240" s="7"/>
      <c r="BF240" s="7"/>
      <c r="BG240" s="7"/>
      <c r="BH240" s="7"/>
      <c r="BI240" s="7"/>
      <c r="BJ240" s="7"/>
      <c r="BK240" s="7"/>
      <c r="BL240" s="7"/>
      <c r="BM240" s="7"/>
    </row>
    <row r="241" spans="3:65" x14ac:dyDescent="0.2"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7"/>
      <c r="AU241" s="7"/>
      <c r="AV241" s="7"/>
      <c r="AW241" s="7"/>
      <c r="AX241" s="7"/>
      <c r="AY241" s="7"/>
      <c r="AZ241" s="7"/>
      <c r="BA241" s="7"/>
      <c r="BB241" s="7"/>
      <c r="BC241" s="7"/>
      <c r="BD241" s="7"/>
      <c r="BE241" s="7"/>
      <c r="BF241" s="7"/>
      <c r="BG241" s="7"/>
      <c r="BH241" s="7"/>
      <c r="BI241" s="7"/>
      <c r="BJ241" s="7"/>
      <c r="BK241" s="7"/>
      <c r="BL241" s="7"/>
      <c r="BM241" s="7"/>
    </row>
    <row r="242" spans="3:65" x14ac:dyDescent="0.2"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7"/>
      <c r="AU242" s="7"/>
      <c r="AV242" s="7"/>
      <c r="AW242" s="7"/>
      <c r="AX242" s="7"/>
      <c r="AY242" s="7"/>
      <c r="AZ242" s="7"/>
      <c r="BA242" s="7"/>
      <c r="BB242" s="7"/>
      <c r="BC242" s="7"/>
      <c r="BD242" s="7"/>
      <c r="BE242" s="7"/>
      <c r="BF242" s="7"/>
      <c r="BG242" s="7"/>
      <c r="BH242" s="7"/>
      <c r="BI242" s="7"/>
      <c r="BJ242" s="7"/>
      <c r="BK242" s="7"/>
      <c r="BL242" s="7"/>
      <c r="BM242" s="7"/>
    </row>
    <row r="243" spans="3:65" x14ac:dyDescent="0.2"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7"/>
      <c r="AU243" s="7"/>
      <c r="AV243" s="7"/>
      <c r="AW243" s="7"/>
      <c r="AX243" s="7"/>
      <c r="AY243" s="7"/>
      <c r="AZ243" s="7"/>
      <c r="BA243" s="7"/>
      <c r="BB243" s="7"/>
      <c r="BC243" s="7"/>
      <c r="BD243" s="7"/>
      <c r="BE243" s="7"/>
      <c r="BF243" s="7"/>
      <c r="BG243" s="7"/>
      <c r="BH243" s="7"/>
      <c r="BI243" s="7"/>
      <c r="BJ243" s="7"/>
      <c r="BK243" s="7"/>
      <c r="BL243" s="7"/>
      <c r="BM243" s="7"/>
    </row>
    <row r="244" spans="3:65" x14ac:dyDescent="0.2"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7"/>
      <c r="AU244" s="7"/>
      <c r="AV244" s="7"/>
      <c r="AW244" s="7"/>
      <c r="AX244" s="7"/>
      <c r="AY244" s="7"/>
      <c r="AZ244" s="7"/>
      <c r="BA244" s="7"/>
      <c r="BB244" s="7"/>
      <c r="BC244" s="7"/>
      <c r="BD244" s="7"/>
      <c r="BE244" s="7"/>
      <c r="BF244" s="7"/>
      <c r="BG244" s="7"/>
      <c r="BH244" s="7"/>
      <c r="BI244" s="7"/>
      <c r="BJ244" s="7"/>
      <c r="BK244" s="7"/>
      <c r="BL244" s="7"/>
      <c r="BM244" s="7"/>
    </row>
    <row r="245" spans="3:65" x14ac:dyDescent="0.2"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7"/>
      <c r="AU245" s="7"/>
      <c r="AV245" s="7"/>
      <c r="AW245" s="7"/>
      <c r="AX245" s="7"/>
      <c r="AY245" s="7"/>
      <c r="AZ245" s="7"/>
      <c r="BA245" s="7"/>
      <c r="BB245" s="7"/>
      <c r="BC245" s="7"/>
      <c r="BD245" s="7"/>
      <c r="BE245" s="7"/>
      <c r="BF245" s="7"/>
      <c r="BG245" s="7"/>
      <c r="BH245" s="7"/>
      <c r="BI245" s="7"/>
      <c r="BJ245" s="7"/>
      <c r="BK245" s="7"/>
      <c r="BL245" s="7"/>
      <c r="BM245" s="7"/>
    </row>
    <row r="246" spans="3:65" x14ac:dyDescent="0.2"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7"/>
      <c r="AU246" s="7"/>
      <c r="AV246" s="7"/>
      <c r="AW246" s="7"/>
      <c r="AX246" s="7"/>
      <c r="AY246" s="7"/>
      <c r="AZ246" s="7"/>
      <c r="BA246" s="7"/>
      <c r="BB246" s="7"/>
      <c r="BC246" s="7"/>
      <c r="BD246" s="7"/>
      <c r="BE246" s="7"/>
      <c r="BF246" s="7"/>
      <c r="BG246" s="7"/>
      <c r="BH246" s="7"/>
      <c r="BI246" s="7"/>
      <c r="BJ246" s="7"/>
      <c r="BK246" s="7"/>
      <c r="BL246" s="7"/>
      <c r="BM246" s="7"/>
    </row>
    <row r="247" spans="3:65" x14ac:dyDescent="0.2"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7"/>
      <c r="AU247" s="7"/>
      <c r="AV247" s="7"/>
      <c r="AW247" s="7"/>
      <c r="AX247" s="7"/>
      <c r="AY247" s="7"/>
      <c r="AZ247" s="7"/>
      <c r="BA247" s="7"/>
      <c r="BB247" s="7"/>
      <c r="BC247" s="7"/>
      <c r="BD247" s="7"/>
      <c r="BE247" s="7"/>
      <c r="BF247" s="7"/>
      <c r="BG247" s="7"/>
      <c r="BH247" s="7"/>
      <c r="BI247" s="7"/>
      <c r="BJ247" s="7"/>
      <c r="BK247" s="7"/>
      <c r="BL247" s="7"/>
      <c r="BM247" s="7"/>
    </row>
    <row r="248" spans="3:65" x14ac:dyDescent="0.2"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7"/>
      <c r="AU248" s="7"/>
      <c r="AV248" s="7"/>
      <c r="AW248" s="7"/>
      <c r="AX248" s="7"/>
      <c r="AY248" s="7"/>
      <c r="AZ248" s="7"/>
      <c r="BA248" s="7"/>
      <c r="BB248" s="7"/>
      <c r="BC248" s="7"/>
      <c r="BD248" s="7"/>
      <c r="BE248" s="7"/>
      <c r="BF248" s="7"/>
      <c r="BG248" s="7"/>
      <c r="BH248" s="7"/>
      <c r="BI248" s="7"/>
      <c r="BJ248" s="7"/>
      <c r="BK248" s="7"/>
      <c r="BL248" s="7"/>
      <c r="BM248" s="7"/>
    </row>
    <row r="249" spans="3:65" x14ac:dyDescent="0.2"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7"/>
      <c r="AU249" s="7"/>
      <c r="AV249" s="7"/>
      <c r="AW249" s="7"/>
      <c r="AX249" s="7"/>
      <c r="AY249" s="7"/>
      <c r="AZ249" s="7"/>
      <c r="BA249" s="7"/>
      <c r="BB249" s="7"/>
      <c r="BC249" s="7"/>
      <c r="BD249" s="7"/>
      <c r="BE249" s="7"/>
      <c r="BF249" s="7"/>
      <c r="BG249" s="7"/>
      <c r="BH249" s="7"/>
      <c r="BI249" s="7"/>
      <c r="BJ249" s="7"/>
      <c r="BK249" s="7"/>
      <c r="BL249" s="7"/>
      <c r="BM249" s="7"/>
    </row>
    <row r="250" spans="3:65" x14ac:dyDescent="0.2"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7"/>
      <c r="AU250" s="7"/>
      <c r="AV250" s="7"/>
      <c r="AW250" s="7"/>
      <c r="AX250" s="7"/>
      <c r="AY250" s="7"/>
      <c r="AZ250" s="7"/>
      <c r="BA250" s="7"/>
      <c r="BB250" s="7"/>
      <c r="BC250" s="7"/>
      <c r="BD250" s="7"/>
      <c r="BE250" s="7"/>
      <c r="BF250" s="7"/>
      <c r="BG250" s="7"/>
      <c r="BH250" s="7"/>
      <c r="BI250" s="7"/>
      <c r="BJ250" s="7"/>
      <c r="BK250" s="7"/>
      <c r="BL250" s="7"/>
      <c r="BM250" s="7"/>
    </row>
    <row r="251" spans="3:65" x14ac:dyDescent="0.2"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7"/>
      <c r="AU251" s="7"/>
      <c r="AV251" s="7"/>
      <c r="AW251" s="7"/>
      <c r="AX251" s="7"/>
      <c r="AY251" s="7"/>
      <c r="AZ251" s="7"/>
      <c r="BA251" s="7"/>
      <c r="BB251" s="7"/>
      <c r="BC251" s="7"/>
      <c r="BD251" s="7"/>
      <c r="BE251" s="7"/>
      <c r="BF251" s="7"/>
      <c r="BG251" s="7"/>
      <c r="BH251" s="7"/>
      <c r="BI251" s="7"/>
      <c r="BJ251" s="7"/>
      <c r="BK251" s="7"/>
      <c r="BL251" s="7"/>
      <c r="BM251" s="7"/>
    </row>
    <row r="252" spans="3:65" x14ac:dyDescent="0.2"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7"/>
      <c r="AU252" s="7"/>
      <c r="AV252" s="7"/>
      <c r="AW252" s="7"/>
      <c r="AX252" s="7"/>
      <c r="AY252" s="7"/>
      <c r="AZ252" s="7"/>
      <c r="BA252" s="7"/>
      <c r="BB252" s="7"/>
      <c r="BC252" s="7"/>
      <c r="BD252" s="7"/>
      <c r="BE252" s="7"/>
      <c r="BF252" s="7"/>
      <c r="BG252" s="7"/>
      <c r="BH252" s="7"/>
      <c r="BI252" s="7"/>
      <c r="BJ252" s="7"/>
      <c r="BK252" s="7"/>
      <c r="BL252" s="7"/>
      <c r="BM252" s="7"/>
    </row>
    <row r="253" spans="3:65" x14ac:dyDescent="0.2"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7"/>
      <c r="AU253" s="7"/>
      <c r="AV253" s="7"/>
      <c r="AW253" s="7"/>
      <c r="AX253" s="7"/>
      <c r="AY253" s="7"/>
      <c r="AZ253" s="7"/>
      <c r="BA253" s="7"/>
      <c r="BB253" s="7"/>
      <c r="BC253" s="7"/>
      <c r="BD253" s="7"/>
      <c r="BE253" s="7"/>
      <c r="BF253" s="7"/>
      <c r="BG253" s="7"/>
      <c r="BH253" s="7"/>
      <c r="BI253" s="7"/>
      <c r="BJ253" s="7"/>
      <c r="BK253" s="7"/>
      <c r="BL253" s="7"/>
      <c r="BM253" s="7"/>
    </row>
    <row r="254" spans="3:65" x14ac:dyDescent="0.2"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7"/>
      <c r="AU254" s="7"/>
      <c r="AV254" s="7"/>
      <c r="AW254" s="7"/>
      <c r="AX254" s="7"/>
      <c r="AY254" s="7"/>
      <c r="AZ254" s="7"/>
      <c r="BA254" s="7"/>
      <c r="BB254" s="7"/>
      <c r="BC254" s="7"/>
      <c r="BD254" s="7"/>
      <c r="BE254" s="7"/>
      <c r="BF254" s="7"/>
      <c r="BG254" s="7"/>
      <c r="BH254" s="7"/>
      <c r="BI254" s="7"/>
      <c r="BJ254" s="7"/>
      <c r="BK254" s="7"/>
      <c r="BL254" s="7"/>
      <c r="BM254" s="7"/>
    </row>
    <row r="255" spans="3:65" x14ac:dyDescent="0.2"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7"/>
      <c r="AU255" s="7"/>
      <c r="AV255" s="7"/>
      <c r="AW255" s="7"/>
      <c r="AX255" s="7"/>
      <c r="AY255" s="7"/>
      <c r="AZ255" s="7"/>
      <c r="BA255" s="7"/>
      <c r="BB255" s="7"/>
      <c r="BC255" s="7"/>
      <c r="BD255" s="7"/>
      <c r="BE255" s="7"/>
      <c r="BF255" s="7"/>
      <c r="BG255" s="7"/>
      <c r="BH255" s="7"/>
      <c r="BI255" s="7"/>
      <c r="BJ255" s="7"/>
      <c r="BK255" s="7"/>
      <c r="BL255" s="7"/>
      <c r="BM255" s="7"/>
    </row>
    <row r="256" spans="3:65" x14ac:dyDescent="0.2"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7"/>
      <c r="AU256" s="7"/>
      <c r="AV256" s="7"/>
      <c r="AW256" s="7"/>
      <c r="AX256" s="7"/>
      <c r="AY256" s="7"/>
      <c r="AZ256" s="7"/>
      <c r="BA256" s="7"/>
      <c r="BB256" s="7"/>
      <c r="BC256" s="7"/>
      <c r="BD256" s="7"/>
      <c r="BE256" s="7"/>
      <c r="BF256" s="7"/>
      <c r="BG256" s="7"/>
      <c r="BH256" s="7"/>
      <c r="BI256" s="7"/>
      <c r="BJ256" s="7"/>
      <c r="BK256" s="7"/>
      <c r="BL256" s="7"/>
      <c r="BM256" s="7"/>
    </row>
    <row r="257" spans="3:65" x14ac:dyDescent="0.2"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7"/>
      <c r="AU257" s="7"/>
      <c r="AV257" s="7"/>
      <c r="AW257" s="7"/>
      <c r="AX257" s="7"/>
      <c r="AY257" s="7"/>
      <c r="AZ257" s="7"/>
      <c r="BA257" s="7"/>
      <c r="BB257" s="7"/>
      <c r="BC257" s="7"/>
      <c r="BD257" s="7"/>
      <c r="BE257" s="7"/>
      <c r="BF257" s="7"/>
      <c r="BG257" s="7"/>
      <c r="BH257" s="7"/>
      <c r="BI257" s="7"/>
      <c r="BJ257" s="7"/>
      <c r="BK257" s="7"/>
      <c r="BL257" s="7"/>
      <c r="BM257" s="7"/>
    </row>
    <row r="258" spans="3:65" x14ac:dyDescent="0.2"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7"/>
      <c r="AU258" s="7"/>
      <c r="AV258" s="7"/>
      <c r="AW258" s="7"/>
      <c r="AX258" s="7"/>
      <c r="AY258" s="7"/>
      <c r="AZ258" s="7"/>
      <c r="BA258" s="7"/>
      <c r="BB258" s="7"/>
      <c r="BC258" s="7"/>
      <c r="BD258" s="7"/>
      <c r="BE258" s="7"/>
      <c r="BF258" s="7"/>
      <c r="BG258" s="7"/>
      <c r="BH258" s="7"/>
      <c r="BI258" s="7"/>
      <c r="BJ258" s="7"/>
      <c r="BK258" s="7"/>
      <c r="BL258" s="7"/>
      <c r="BM258" s="7"/>
    </row>
    <row r="259" spans="3:65" x14ac:dyDescent="0.2"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7"/>
      <c r="AU259" s="7"/>
      <c r="AV259" s="7"/>
      <c r="AW259" s="7"/>
      <c r="AX259" s="7"/>
      <c r="AY259" s="7"/>
      <c r="AZ259" s="7"/>
      <c r="BA259" s="7"/>
      <c r="BB259" s="7"/>
      <c r="BC259" s="7"/>
      <c r="BD259" s="7"/>
      <c r="BE259" s="7"/>
      <c r="BF259" s="7"/>
      <c r="BG259" s="7"/>
      <c r="BH259" s="7"/>
      <c r="BI259" s="7"/>
      <c r="BJ259" s="7"/>
      <c r="BK259" s="7"/>
      <c r="BL259" s="7"/>
      <c r="BM259" s="7"/>
    </row>
    <row r="260" spans="3:65" x14ac:dyDescent="0.2"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7"/>
      <c r="AU260" s="7"/>
      <c r="AV260" s="7"/>
      <c r="AW260" s="7"/>
      <c r="AX260" s="7"/>
      <c r="AY260" s="7"/>
      <c r="AZ260" s="7"/>
      <c r="BA260" s="7"/>
      <c r="BB260" s="7"/>
      <c r="BC260" s="7"/>
      <c r="BD260" s="7"/>
      <c r="BE260" s="7"/>
      <c r="BF260" s="7"/>
      <c r="BG260" s="7"/>
      <c r="BH260" s="7"/>
      <c r="BI260" s="7"/>
      <c r="BJ260" s="7"/>
      <c r="BK260" s="7"/>
      <c r="BL260" s="7"/>
      <c r="BM260" s="7"/>
    </row>
    <row r="261" spans="3:65" x14ac:dyDescent="0.2"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7"/>
      <c r="AU261" s="7"/>
      <c r="AV261" s="7"/>
      <c r="AW261" s="7"/>
      <c r="AX261" s="7"/>
      <c r="AY261" s="7"/>
      <c r="AZ261" s="7"/>
      <c r="BA261" s="7"/>
      <c r="BB261" s="7"/>
      <c r="BC261" s="7"/>
      <c r="BD261" s="7"/>
      <c r="BE261" s="7"/>
      <c r="BF261" s="7"/>
      <c r="BG261" s="7"/>
      <c r="BH261" s="7"/>
      <c r="BI261" s="7"/>
      <c r="BJ261" s="7"/>
      <c r="BK261" s="7"/>
      <c r="BL261" s="7"/>
      <c r="BM261" s="7"/>
    </row>
    <row r="262" spans="3:65" x14ac:dyDescent="0.2"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7"/>
      <c r="AU262" s="7"/>
      <c r="AV262" s="7"/>
      <c r="AW262" s="7"/>
      <c r="AX262" s="7"/>
      <c r="AY262" s="7"/>
      <c r="AZ262" s="7"/>
      <c r="BA262" s="7"/>
      <c r="BB262" s="7"/>
      <c r="BC262" s="7"/>
      <c r="BD262" s="7"/>
      <c r="BE262" s="7"/>
      <c r="BF262" s="7"/>
      <c r="BG262" s="7"/>
      <c r="BH262" s="7"/>
      <c r="BI262" s="7"/>
      <c r="BJ262" s="7"/>
      <c r="BK262" s="7"/>
      <c r="BL262" s="7"/>
      <c r="BM262" s="7"/>
    </row>
    <row r="263" spans="3:65" x14ac:dyDescent="0.2"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7"/>
      <c r="AU263" s="7"/>
      <c r="AV263" s="7"/>
      <c r="AW263" s="7"/>
      <c r="AX263" s="7"/>
      <c r="AY263" s="7"/>
      <c r="AZ263" s="7"/>
      <c r="BA263" s="7"/>
      <c r="BB263" s="7"/>
      <c r="BC263" s="7"/>
      <c r="BD263" s="7"/>
      <c r="BE263" s="7"/>
      <c r="BF263" s="7"/>
      <c r="BG263" s="7"/>
      <c r="BH263" s="7"/>
      <c r="BI263" s="7"/>
      <c r="BJ263" s="7"/>
      <c r="BK263" s="7"/>
      <c r="BL263" s="7"/>
      <c r="BM263" s="7"/>
    </row>
    <row r="264" spans="3:65" x14ac:dyDescent="0.2"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7"/>
      <c r="AU264" s="7"/>
      <c r="AV264" s="7"/>
      <c r="AW264" s="7"/>
      <c r="AX264" s="7"/>
      <c r="AY264" s="7"/>
      <c r="AZ264" s="7"/>
      <c r="BA264" s="7"/>
      <c r="BB264" s="7"/>
      <c r="BC264" s="7"/>
      <c r="BD264" s="7"/>
      <c r="BE264" s="7"/>
      <c r="BF264" s="7"/>
      <c r="BG264" s="7"/>
      <c r="BH264" s="7"/>
      <c r="BI264" s="7"/>
      <c r="BJ264" s="7"/>
      <c r="BK264" s="7"/>
      <c r="BL264" s="7"/>
      <c r="BM264" s="7"/>
    </row>
    <row r="265" spans="3:65" x14ac:dyDescent="0.2"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7"/>
      <c r="AU265" s="7"/>
      <c r="AV265" s="7"/>
      <c r="AW265" s="7"/>
      <c r="AX265" s="7"/>
      <c r="AY265" s="7"/>
      <c r="AZ265" s="7"/>
      <c r="BA265" s="7"/>
      <c r="BB265" s="7"/>
      <c r="BC265" s="7"/>
      <c r="BD265" s="7"/>
      <c r="BE265" s="7"/>
      <c r="BF265" s="7"/>
      <c r="BG265" s="7"/>
      <c r="BH265" s="7"/>
      <c r="BI265" s="7"/>
      <c r="BJ265" s="7"/>
      <c r="BK265" s="7"/>
      <c r="BL265" s="7"/>
      <c r="BM265" s="7"/>
    </row>
    <row r="266" spans="3:65" x14ac:dyDescent="0.2"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7"/>
      <c r="AU266" s="7"/>
      <c r="AV266" s="7"/>
      <c r="AW266" s="7"/>
      <c r="AX266" s="7"/>
      <c r="AY266" s="7"/>
      <c r="AZ266" s="7"/>
      <c r="BA266" s="7"/>
      <c r="BB266" s="7"/>
      <c r="BC266" s="7"/>
      <c r="BD266" s="7"/>
      <c r="BE266" s="7"/>
      <c r="BF266" s="7"/>
      <c r="BG266" s="7"/>
      <c r="BH266" s="7"/>
      <c r="BI266" s="7"/>
      <c r="BJ266" s="7"/>
      <c r="BK266" s="7"/>
      <c r="BL266" s="7"/>
      <c r="BM266" s="7"/>
    </row>
    <row r="267" spans="3:65" x14ac:dyDescent="0.2"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7"/>
      <c r="AU267" s="7"/>
      <c r="AV267" s="7"/>
      <c r="AW267" s="7"/>
      <c r="AX267" s="7"/>
      <c r="AY267" s="7"/>
      <c r="AZ267" s="7"/>
      <c r="BA267" s="7"/>
      <c r="BB267" s="7"/>
      <c r="BC267" s="7"/>
      <c r="BD267" s="7"/>
      <c r="BE267" s="7"/>
      <c r="BF267" s="7"/>
      <c r="BG267" s="7"/>
      <c r="BH267" s="7"/>
      <c r="BI267" s="7"/>
      <c r="BJ267" s="7"/>
      <c r="BK267" s="7"/>
      <c r="BL267" s="7"/>
      <c r="BM267" s="7"/>
    </row>
    <row r="268" spans="3:65" x14ac:dyDescent="0.2"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7"/>
      <c r="AU268" s="7"/>
      <c r="AV268" s="7"/>
      <c r="AW268" s="7"/>
      <c r="AX268" s="7"/>
      <c r="AY268" s="7"/>
      <c r="AZ268" s="7"/>
      <c r="BA268" s="7"/>
      <c r="BB268" s="7"/>
      <c r="BC268" s="7"/>
      <c r="BD268" s="7"/>
      <c r="BE268" s="7"/>
      <c r="BF268" s="7"/>
      <c r="BG268" s="7"/>
      <c r="BH268" s="7"/>
      <c r="BI268" s="7"/>
      <c r="BJ268" s="7"/>
      <c r="BK268" s="7"/>
      <c r="BL268" s="7"/>
      <c r="BM268" s="7"/>
    </row>
    <row r="269" spans="3:65" x14ac:dyDescent="0.2"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7"/>
      <c r="AU269" s="7"/>
      <c r="AV269" s="7"/>
      <c r="AW269" s="7"/>
      <c r="AX269" s="7"/>
      <c r="AY269" s="7"/>
      <c r="AZ269" s="7"/>
      <c r="BA269" s="7"/>
      <c r="BB269" s="7"/>
      <c r="BC269" s="7"/>
      <c r="BD269" s="7"/>
      <c r="BE269" s="7"/>
      <c r="BF269" s="7"/>
      <c r="BG269" s="7"/>
      <c r="BH269" s="7"/>
      <c r="BI269" s="7"/>
      <c r="BJ269" s="7"/>
      <c r="BK269" s="7"/>
      <c r="BL269" s="7"/>
      <c r="BM269" s="7"/>
    </row>
    <row r="270" spans="3:65" x14ac:dyDescent="0.2"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7"/>
      <c r="AU270" s="7"/>
      <c r="AV270" s="7"/>
      <c r="AW270" s="7"/>
      <c r="AX270" s="7"/>
      <c r="AY270" s="7"/>
      <c r="AZ270" s="7"/>
      <c r="BA270" s="7"/>
      <c r="BB270" s="7"/>
      <c r="BC270" s="7"/>
      <c r="BD270" s="7"/>
      <c r="BE270" s="7"/>
      <c r="BF270" s="7"/>
      <c r="BG270" s="7"/>
      <c r="BH270" s="7"/>
      <c r="BI270" s="7"/>
      <c r="BJ270" s="7"/>
      <c r="BK270" s="7"/>
      <c r="BL270" s="7"/>
      <c r="BM270" s="7"/>
    </row>
    <row r="271" spans="3:65" x14ac:dyDescent="0.2"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7"/>
      <c r="AU271" s="7"/>
      <c r="AV271" s="7"/>
      <c r="AW271" s="7"/>
      <c r="AX271" s="7"/>
      <c r="AY271" s="7"/>
      <c r="AZ271" s="7"/>
      <c r="BA271" s="7"/>
      <c r="BB271" s="7"/>
      <c r="BC271" s="7"/>
      <c r="BD271" s="7"/>
      <c r="BE271" s="7"/>
      <c r="BF271" s="7"/>
      <c r="BG271" s="7"/>
      <c r="BH271" s="7"/>
      <c r="BI271" s="7"/>
      <c r="BJ271" s="7"/>
      <c r="BK271" s="7"/>
      <c r="BL271" s="7"/>
      <c r="BM271" s="7"/>
    </row>
    <row r="272" spans="3:65" x14ac:dyDescent="0.2"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7"/>
      <c r="AU272" s="7"/>
      <c r="AV272" s="7"/>
      <c r="AW272" s="7"/>
      <c r="AX272" s="7"/>
      <c r="AY272" s="7"/>
      <c r="AZ272" s="7"/>
      <c r="BA272" s="7"/>
      <c r="BB272" s="7"/>
      <c r="BC272" s="7"/>
      <c r="BD272" s="7"/>
      <c r="BE272" s="7"/>
      <c r="BF272" s="7"/>
      <c r="BG272" s="7"/>
      <c r="BH272" s="7"/>
      <c r="BI272" s="7"/>
      <c r="BJ272" s="7"/>
      <c r="BK272" s="7"/>
      <c r="BL272" s="7"/>
      <c r="BM272" s="7"/>
    </row>
    <row r="273" spans="3:65" x14ac:dyDescent="0.2"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7"/>
      <c r="AU273" s="7"/>
      <c r="AV273" s="7"/>
      <c r="AW273" s="7"/>
      <c r="AX273" s="7"/>
      <c r="AY273" s="7"/>
      <c r="AZ273" s="7"/>
      <c r="BA273" s="7"/>
      <c r="BB273" s="7"/>
      <c r="BC273" s="7"/>
      <c r="BD273" s="7"/>
      <c r="BE273" s="7"/>
      <c r="BF273" s="7"/>
      <c r="BG273" s="7"/>
      <c r="BH273" s="7"/>
      <c r="BI273" s="7"/>
      <c r="BJ273" s="7"/>
      <c r="BK273" s="7"/>
      <c r="BL273" s="7"/>
      <c r="BM273" s="7"/>
    </row>
    <row r="274" spans="3:65" x14ac:dyDescent="0.2"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7"/>
      <c r="AU274" s="7"/>
      <c r="AV274" s="7"/>
      <c r="AW274" s="7"/>
      <c r="AX274" s="7"/>
      <c r="AY274" s="7"/>
      <c r="AZ274" s="7"/>
      <c r="BA274" s="7"/>
      <c r="BB274" s="7"/>
      <c r="BC274" s="7"/>
      <c r="BD274" s="7"/>
      <c r="BE274" s="7"/>
      <c r="BF274" s="7"/>
      <c r="BG274" s="7"/>
      <c r="BH274" s="7"/>
      <c r="BI274" s="7"/>
      <c r="BJ274" s="7"/>
      <c r="BK274" s="7"/>
      <c r="BL274" s="7"/>
      <c r="BM274" s="7"/>
    </row>
    <row r="275" spans="3:65" x14ac:dyDescent="0.2"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7"/>
      <c r="AU275" s="7"/>
      <c r="AV275" s="7"/>
      <c r="AW275" s="7"/>
      <c r="AX275" s="7"/>
      <c r="AY275" s="7"/>
      <c r="AZ275" s="7"/>
      <c r="BA275" s="7"/>
      <c r="BB275" s="7"/>
      <c r="BC275" s="7"/>
      <c r="BD275" s="7"/>
      <c r="BE275" s="7"/>
      <c r="BF275" s="7"/>
      <c r="BG275" s="7"/>
      <c r="BH275" s="7"/>
      <c r="BI275" s="7"/>
      <c r="BJ275" s="7"/>
      <c r="BK275" s="7"/>
      <c r="BL275" s="7"/>
      <c r="BM275" s="7"/>
    </row>
    <row r="276" spans="3:65" x14ac:dyDescent="0.2"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7"/>
      <c r="AU276" s="7"/>
      <c r="AV276" s="7"/>
      <c r="AW276" s="7"/>
      <c r="AX276" s="7"/>
      <c r="AY276" s="7"/>
      <c r="AZ276" s="7"/>
      <c r="BA276" s="7"/>
      <c r="BB276" s="7"/>
      <c r="BC276" s="7"/>
      <c r="BD276" s="7"/>
      <c r="BE276" s="7"/>
      <c r="BF276" s="7"/>
      <c r="BG276" s="7"/>
      <c r="BH276" s="7"/>
      <c r="BI276" s="7"/>
      <c r="BJ276" s="7"/>
      <c r="BK276" s="7"/>
      <c r="BL276" s="7"/>
      <c r="BM276" s="7"/>
    </row>
    <row r="277" spans="3:65" x14ac:dyDescent="0.2"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7"/>
      <c r="AU277" s="7"/>
      <c r="AV277" s="7"/>
      <c r="AW277" s="7"/>
      <c r="AX277" s="7"/>
      <c r="AY277" s="7"/>
      <c r="AZ277" s="7"/>
      <c r="BA277" s="7"/>
      <c r="BB277" s="7"/>
      <c r="BC277" s="7"/>
      <c r="BD277" s="7"/>
      <c r="BE277" s="7"/>
      <c r="BF277" s="7"/>
      <c r="BG277" s="7"/>
      <c r="BH277" s="7"/>
      <c r="BI277" s="7"/>
      <c r="BJ277" s="7"/>
      <c r="BK277" s="7"/>
      <c r="BL277" s="7"/>
      <c r="BM277" s="7"/>
    </row>
    <row r="278" spans="3:65" x14ac:dyDescent="0.2"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7"/>
      <c r="AU278" s="7"/>
      <c r="AV278" s="7"/>
      <c r="AW278" s="7"/>
      <c r="AX278" s="7"/>
      <c r="AY278" s="7"/>
      <c r="AZ278" s="7"/>
      <c r="BA278" s="7"/>
      <c r="BB278" s="7"/>
      <c r="BC278" s="7"/>
      <c r="BD278" s="7"/>
      <c r="BE278" s="7"/>
      <c r="BF278" s="7"/>
      <c r="BG278" s="7"/>
      <c r="BH278" s="7"/>
      <c r="BI278" s="7"/>
      <c r="BJ278" s="7"/>
      <c r="BK278" s="7"/>
      <c r="BL278" s="7"/>
      <c r="BM278" s="7"/>
    </row>
    <row r="279" spans="3:65" x14ac:dyDescent="0.2"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7"/>
      <c r="AU279" s="7"/>
      <c r="AV279" s="7"/>
      <c r="AW279" s="7"/>
      <c r="AX279" s="7"/>
      <c r="AY279" s="7"/>
      <c r="AZ279" s="7"/>
      <c r="BA279" s="7"/>
      <c r="BB279" s="7"/>
      <c r="BC279" s="7"/>
      <c r="BD279" s="7"/>
      <c r="BE279" s="7"/>
      <c r="BF279" s="7"/>
      <c r="BG279" s="7"/>
      <c r="BH279" s="7"/>
      <c r="BI279" s="7"/>
      <c r="BJ279" s="7"/>
      <c r="BK279" s="7"/>
      <c r="BL279" s="7"/>
      <c r="BM279" s="7"/>
    </row>
    <row r="280" spans="3:65" x14ac:dyDescent="0.2"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7"/>
      <c r="AU280" s="7"/>
      <c r="AV280" s="7"/>
      <c r="AW280" s="7"/>
      <c r="AX280" s="7"/>
      <c r="AY280" s="7"/>
      <c r="AZ280" s="7"/>
      <c r="BA280" s="7"/>
      <c r="BB280" s="7"/>
      <c r="BC280" s="7"/>
      <c r="BD280" s="7"/>
      <c r="BE280" s="7"/>
      <c r="BF280" s="7"/>
      <c r="BG280" s="7"/>
      <c r="BH280" s="7"/>
      <c r="BI280" s="7"/>
      <c r="BJ280" s="7"/>
      <c r="BK280" s="7"/>
      <c r="BL280" s="7"/>
      <c r="BM280" s="7"/>
    </row>
    <row r="281" spans="3:65" x14ac:dyDescent="0.2"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7"/>
      <c r="AU281" s="7"/>
      <c r="AV281" s="7"/>
      <c r="AW281" s="7"/>
      <c r="AX281" s="7"/>
      <c r="AY281" s="7"/>
      <c r="AZ281" s="7"/>
      <c r="BA281" s="7"/>
      <c r="BB281" s="7"/>
      <c r="BC281" s="7"/>
      <c r="BD281" s="7"/>
      <c r="BE281" s="7"/>
      <c r="BF281" s="7"/>
      <c r="BG281" s="7"/>
      <c r="BH281" s="7"/>
      <c r="BI281" s="7"/>
      <c r="BJ281" s="7"/>
      <c r="BK281" s="7"/>
      <c r="BL281" s="7"/>
      <c r="BM281" s="7"/>
    </row>
    <row r="282" spans="3:65" x14ac:dyDescent="0.2"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7"/>
      <c r="AU282" s="7"/>
      <c r="AV282" s="7"/>
      <c r="AW282" s="7"/>
      <c r="AX282" s="7"/>
      <c r="AY282" s="7"/>
      <c r="AZ282" s="7"/>
      <c r="BA282" s="7"/>
      <c r="BB282" s="7"/>
      <c r="BC282" s="7"/>
      <c r="BD282" s="7"/>
      <c r="BE282" s="7"/>
      <c r="BF282" s="7"/>
      <c r="BG282" s="7"/>
      <c r="BH282" s="7"/>
      <c r="BI282" s="7"/>
      <c r="BJ282" s="7"/>
      <c r="BK282" s="7"/>
      <c r="BL282" s="7"/>
      <c r="BM282" s="7"/>
    </row>
    <row r="283" spans="3:65" x14ac:dyDescent="0.2"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7"/>
      <c r="AU283" s="7"/>
      <c r="AV283" s="7"/>
      <c r="AW283" s="7"/>
      <c r="AX283" s="7"/>
      <c r="AY283" s="7"/>
      <c r="AZ283" s="7"/>
      <c r="BA283" s="7"/>
      <c r="BB283" s="7"/>
      <c r="BC283" s="7"/>
      <c r="BD283" s="7"/>
      <c r="BE283" s="7"/>
      <c r="BF283" s="7"/>
      <c r="BG283" s="7"/>
      <c r="BH283" s="7"/>
      <c r="BI283" s="7"/>
      <c r="BJ283" s="7"/>
      <c r="BK283" s="7"/>
      <c r="BL283" s="7"/>
      <c r="BM283" s="7"/>
    </row>
    <row r="284" spans="3:65" x14ac:dyDescent="0.2"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7"/>
      <c r="AU284" s="7"/>
      <c r="AV284" s="7"/>
      <c r="AW284" s="7"/>
      <c r="AX284" s="7"/>
      <c r="AY284" s="7"/>
      <c r="AZ284" s="7"/>
      <c r="BA284" s="7"/>
      <c r="BB284" s="7"/>
      <c r="BC284" s="7"/>
      <c r="BD284" s="7"/>
      <c r="BE284" s="7"/>
      <c r="BF284" s="7"/>
      <c r="BG284" s="7"/>
      <c r="BH284" s="7"/>
      <c r="BI284" s="7"/>
      <c r="BJ284" s="7"/>
      <c r="BK284" s="7"/>
      <c r="BL284" s="7"/>
      <c r="BM284" s="7"/>
    </row>
    <row r="285" spans="3:65" x14ac:dyDescent="0.2"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7"/>
      <c r="AU285" s="7"/>
      <c r="AV285" s="7"/>
      <c r="AW285" s="7"/>
      <c r="AX285" s="7"/>
      <c r="AY285" s="7"/>
      <c r="AZ285" s="7"/>
      <c r="BA285" s="7"/>
      <c r="BB285" s="7"/>
      <c r="BC285" s="7"/>
      <c r="BD285" s="7"/>
      <c r="BE285" s="7"/>
      <c r="BF285" s="7"/>
      <c r="BG285" s="7"/>
      <c r="BH285" s="7"/>
      <c r="BI285" s="7"/>
      <c r="BJ285" s="7"/>
      <c r="BK285" s="7"/>
      <c r="BL285" s="7"/>
      <c r="BM285" s="7"/>
    </row>
    <row r="286" spans="3:65" x14ac:dyDescent="0.2"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7"/>
      <c r="AU286" s="7"/>
      <c r="AV286" s="7"/>
      <c r="AW286" s="7"/>
      <c r="AX286" s="7"/>
      <c r="AY286" s="7"/>
      <c r="AZ286" s="7"/>
      <c r="BA286" s="7"/>
      <c r="BB286" s="7"/>
      <c r="BC286" s="7"/>
      <c r="BD286" s="7"/>
      <c r="BE286" s="7"/>
      <c r="BF286" s="7"/>
      <c r="BG286" s="7"/>
      <c r="BH286" s="7"/>
      <c r="BI286" s="7"/>
      <c r="BJ286" s="7"/>
      <c r="BK286" s="7"/>
      <c r="BL286" s="7"/>
      <c r="BM286" s="7"/>
    </row>
    <row r="287" spans="3:65" x14ac:dyDescent="0.2"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7"/>
      <c r="AU287" s="7"/>
      <c r="AV287" s="7"/>
      <c r="AW287" s="7"/>
      <c r="AX287" s="7"/>
      <c r="AY287" s="7"/>
      <c r="AZ287" s="7"/>
      <c r="BA287" s="7"/>
      <c r="BB287" s="7"/>
      <c r="BC287" s="7"/>
      <c r="BD287" s="7"/>
      <c r="BE287" s="7"/>
      <c r="BF287" s="7"/>
      <c r="BG287" s="7"/>
      <c r="BH287" s="7"/>
      <c r="BI287" s="7"/>
      <c r="BJ287" s="7"/>
      <c r="BK287" s="7"/>
      <c r="BL287" s="7"/>
      <c r="BM287" s="7"/>
    </row>
    <row r="288" spans="3:65" x14ac:dyDescent="0.2"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7"/>
      <c r="AU288" s="7"/>
      <c r="AV288" s="7"/>
      <c r="AW288" s="7"/>
      <c r="AX288" s="7"/>
      <c r="AY288" s="7"/>
      <c r="AZ288" s="7"/>
      <c r="BA288" s="7"/>
      <c r="BB288" s="7"/>
      <c r="BC288" s="7"/>
      <c r="BD288" s="7"/>
      <c r="BE288" s="7"/>
      <c r="BF288" s="7"/>
      <c r="BG288" s="7"/>
      <c r="BH288" s="7"/>
      <c r="BI288" s="7"/>
      <c r="BJ288" s="7"/>
      <c r="BK288" s="7"/>
      <c r="BL288" s="7"/>
      <c r="BM288" s="7"/>
    </row>
    <row r="289" spans="3:65" x14ac:dyDescent="0.2"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7"/>
      <c r="AU289" s="7"/>
      <c r="AV289" s="7"/>
      <c r="AW289" s="7"/>
      <c r="AX289" s="7"/>
      <c r="AY289" s="7"/>
      <c r="AZ289" s="7"/>
      <c r="BA289" s="7"/>
      <c r="BB289" s="7"/>
      <c r="BC289" s="7"/>
      <c r="BD289" s="7"/>
      <c r="BE289" s="7"/>
      <c r="BF289" s="7"/>
      <c r="BG289" s="7"/>
      <c r="BH289" s="7"/>
      <c r="BI289" s="7"/>
      <c r="BJ289" s="7"/>
      <c r="BK289" s="7"/>
      <c r="BL289" s="7"/>
      <c r="BM289" s="7"/>
    </row>
    <row r="290" spans="3:65" x14ac:dyDescent="0.2"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7"/>
      <c r="AU290" s="7"/>
      <c r="AV290" s="7"/>
      <c r="AW290" s="7"/>
      <c r="AX290" s="7"/>
      <c r="AY290" s="7"/>
      <c r="AZ290" s="7"/>
      <c r="BA290" s="7"/>
      <c r="BB290" s="7"/>
      <c r="BC290" s="7"/>
      <c r="BD290" s="7"/>
      <c r="BE290" s="7"/>
      <c r="BF290" s="7"/>
      <c r="BG290" s="7"/>
      <c r="BH290" s="7"/>
      <c r="BI290" s="7"/>
      <c r="BJ290" s="7"/>
      <c r="BK290" s="7"/>
      <c r="BL290" s="7"/>
      <c r="BM290" s="7"/>
    </row>
    <row r="291" spans="3:65" x14ac:dyDescent="0.2"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7"/>
      <c r="AU291" s="7"/>
      <c r="AV291" s="7"/>
      <c r="AW291" s="7"/>
      <c r="AX291" s="7"/>
      <c r="AY291" s="7"/>
      <c r="AZ291" s="7"/>
      <c r="BA291" s="7"/>
      <c r="BB291" s="7"/>
      <c r="BC291" s="7"/>
      <c r="BD291" s="7"/>
      <c r="BE291" s="7"/>
      <c r="BF291" s="7"/>
      <c r="BG291" s="7"/>
      <c r="BH291" s="7"/>
      <c r="BI291" s="7"/>
      <c r="BJ291" s="7"/>
      <c r="BK291" s="7"/>
      <c r="BL291" s="7"/>
      <c r="BM291" s="7"/>
    </row>
    <row r="292" spans="3:65" x14ac:dyDescent="0.2"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7"/>
      <c r="AU292" s="7"/>
      <c r="AV292" s="7"/>
      <c r="AW292" s="7"/>
      <c r="AX292" s="7"/>
      <c r="AY292" s="7"/>
      <c r="AZ292" s="7"/>
      <c r="BA292" s="7"/>
      <c r="BB292" s="7"/>
      <c r="BC292" s="7"/>
      <c r="BD292" s="7"/>
      <c r="BE292" s="7"/>
      <c r="BF292" s="7"/>
      <c r="BG292" s="7"/>
      <c r="BH292" s="7"/>
      <c r="BI292" s="7"/>
      <c r="BJ292" s="7"/>
      <c r="BK292" s="7"/>
      <c r="BL292" s="7"/>
      <c r="BM292" s="7"/>
    </row>
    <row r="293" spans="3:65" x14ac:dyDescent="0.2"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7"/>
      <c r="AU293" s="7"/>
      <c r="AV293" s="7"/>
      <c r="AW293" s="7"/>
      <c r="AX293" s="7"/>
      <c r="AY293" s="7"/>
      <c r="AZ293" s="7"/>
      <c r="BA293" s="7"/>
      <c r="BB293" s="7"/>
      <c r="BC293" s="7"/>
      <c r="BD293" s="7"/>
      <c r="BE293" s="7"/>
      <c r="BF293" s="7"/>
      <c r="BG293" s="7"/>
      <c r="BH293" s="7"/>
      <c r="BI293" s="7"/>
      <c r="BJ293" s="7"/>
      <c r="BK293" s="7"/>
      <c r="BL293" s="7"/>
      <c r="BM293" s="7"/>
    </row>
    <row r="294" spans="3:65" x14ac:dyDescent="0.2"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7"/>
      <c r="AU294" s="7"/>
      <c r="AV294" s="7"/>
      <c r="AW294" s="7"/>
      <c r="AX294" s="7"/>
      <c r="AY294" s="7"/>
      <c r="AZ294" s="7"/>
      <c r="BA294" s="7"/>
      <c r="BB294" s="7"/>
      <c r="BC294" s="7"/>
      <c r="BD294" s="7"/>
      <c r="BE294" s="7"/>
      <c r="BF294" s="7"/>
      <c r="BG294" s="7"/>
      <c r="BH294" s="7"/>
      <c r="BI294" s="7"/>
      <c r="BJ294" s="7"/>
      <c r="BK294" s="7"/>
      <c r="BL294" s="7"/>
      <c r="BM294" s="7"/>
    </row>
    <row r="295" spans="3:65" x14ac:dyDescent="0.2"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7"/>
      <c r="AU295" s="7"/>
      <c r="AV295" s="7"/>
      <c r="AW295" s="7"/>
      <c r="AX295" s="7"/>
      <c r="AY295" s="7"/>
      <c r="AZ295" s="7"/>
      <c r="BA295" s="7"/>
      <c r="BB295" s="7"/>
      <c r="BC295" s="7"/>
      <c r="BD295" s="7"/>
      <c r="BE295" s="7"/>
      <c r="BF295" s="7"/>
      <c r="BG295" s="7"/>
      <c r="BH295" s="7"/>
      <c r="BI295" s="7"/>
      <c r="BJ295" s="7"/>
      <c r="BK295" s="7"/>
      <c r="BL295" s="7"/>
      <c r="BM295" s="7"/>
    </row>
    <row r="296" spans="3:65" x14ac:dyDescent="0.2"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7"/>
      <c r="AU296" s="7"/>
      <c r="AV296" s="7"/>
      <c r="AW296" s="7"/>
      <c r="AX296" s="7"/>
      <c r="AY296" s="7"/>
      <c r="AZ296" s="7"/>
      <c r="BA296" s="7"/>
      <c r="BB296" s="7"/>
      <c r="BC296" s="7"/>
      <c r="BD296" s="7"/>
      <c r="BE296" s="7"/>
      <c r="BF296" s="7"/>
      <c r="BG296" s="7"/>
      <c r="BH296" s="7"/>
      <c r="BI296" s="7"/>
      <c r="BJ296" s="7"/>
      <c r="BK296" s="7"/>
      <c r="BL296" s="7"/>
      <c r="BM296" s="7"/>
    </row>
    <row r="297" spans="3:65" x14ac:dyDescent="0.2"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7"/>
      <c r="AU297" s="7"/>
      <c r="AV297" s="7"/>
      <c r="AW297" s="7"/>
      <c r="AX297" s="7"/>
      <c r="AY297" s="7"/>
      <c r="AZ297" s="7"/>
      <c r="BA297" s="7"/>
      <c r="BB297" s="7"/>
      <c r="BC297" s="7"/>
      <c r="BD297" s="7"/>
      <c r="BE297" s="7"/>
      <c r="BF297" s="7"/>
      <c r="BG297" s="7"/>
      <c r="BH297" s="7"/>
      <c r="BI297" s="7"/>
      <c r="BJ297" s="7"/>
      <c r="BK297" s="7"/>
      <c r="BL297" s="7"/>
      <c r="BM297" s="7"/>
    </row>
    <row r="298" spans="3:65" x14ac:dyDescent="0.2"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7"/>
      <c r="AU298" s="7"/>
      <c r="AV298" s="7"/>
      <c r="AW298" s="7"/>
      <c r="AX298" s="7"/>
      <c r="AY298" s="7"/>
      <c r="AZ298" s="7"/>
      <c r="BA298" s="7"/>
      <c r="BB298" s="7"/>
      <c r="BC298" s="7"/>
      <c r="BD298" s="7"/>
      <c r="BE298" s="7"/>
      <c r="BF298" s="7"/>
      <c r="BG298" s="7"/>
      <c r="BH298" s="7"/>
      <c r="BI298" s="7"/>
      <c r="BJ298" s="7"/>
      <c r="BK298" s="7"/>
      <c r="BL298" s="7"/>
      <c r="BM298" s="7"/>
    </row>
    <row r="299" spans="3:65" x14ac:dyDescent="0.2"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7"/>
      <c r="AU299" s="7"/>
      <c r="AV299" s="7"/>
      <c r="AW299" s="7"/>
      <c r="AX299" s="7"/>
      <c r="AY299" s="7"/>
      <c r="AZ299" s="7"/>
      <c r="BA299" s="7"/>
      <c r="BB299" s="7"/>
      <c r="BC299" s="7"/>
      <c r="BD299" s="7"/>
      <c r="BE299" s="7"/>
      <c r="BF299" s="7"/>
      <c r="BG299" s="7"/>
      <c r="BH299" s="7"/>
      <c r="BI299" s="7"/>
      <c r="BJ299" s="7"/>
      <c r="BK299" s="7"/>
      <c r="BL299" s="7"/>
      <c r="BM299" s="7"/>
    </row>
    <row r="300" spans="3:65" x14ac:dyDescent="0.2"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7"/>
      <c r="AU300" s="7"/>
      <c r="AV300" s="7"/>
      <c r="AW300" s="7"/>
      <c r="AX300" s="7"/>
      <c r="AY300" s="7"/>
      <c r="AZ300" s="7"/>
      <c r="BA300" s="7"/>
      <c r="BB300" s="7"/>
      <c r="BC300" s="7"/>
      <c r="BD300" s="7"/>
      <c r="BE300" s="7"/>
      <c r="BF300" s="7"/>
      <c r="BG300" s="7"/>
      <c r="BH300" s="7"/>
      <c r="BI300" s="7"/>
      <c r="BJ300" s="7"/>
      <c r="BK300" s="7"/>
      <c r="BL300" s="7"/>
      <c r="BM300" s="7"/>
    </row>
    <row r="301" spans="3:65" x14ac:dyDescent="0.2"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7"/>
      <c r="AU301" s="7"/>
      <c r="AV301" s="7"/>
      <c r="AW301" s="7"/>
      <c r="AX301" s="7"/>
      <c r="AY301" s="7"/>
      <c r="AZ301" s="7"/>
      <c r="BA301" s="7"/>
      <c r="BB301" s="7"/>
      <c r="BC301" s="7"/>
      <c r="BD301" s="7"/>
      <c r="BE301" s="7"/>
      <c r="BF301" s="7"/>
      <c r="BG301" s="7"/>
      <c r="BH301" s="7"/>
      <c r="BI301" s="7"/>
      <c r="BJ301" s="7"/>
      <c r="BK301" s="7"/>
      <c r="BL301" s="7"/>
      <c r="BM301" s="7"/>
    </row>
    <row r="302" spans="3:65" x14ac:dyDescent="0.2"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7"/>
      <c r="AU302" s="7"/>
      <c r="AV302" s="7"/>
      <c r="AW302" s="7"/>
      <c r="AX302" s="7"/>
      <c r="AY302" s="7"/>
      <c r="AZ302" s="7"/>
      <c r="BA302" s="7"/>
      <c r="BB302" s="7"/>
      <c r="BC302" s="7"/>
      <c r="BD302" s="7"/>
      <c r="BE302" s="7"/>
      <c r="BF302" s="7"/>
      <c r="BG302" s="7"/>
      <c r="BH302" s="7"/>
      <c r="BI302" s="7"/>
      <c r="BJ302" s="7"/>
      <c r="BK302" s="7"/>
      <c r="BL302" s="7"/>
      <c r="BM302" s="7"/>
    </row>
    <row r="303" spans="3:65" x14ac:dyDescent="0.2"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7"/>
      <c r="AU303" s="7"/>
      <c r="AV303" s="7"/>
      <c r="AW303" s="7"/>
      <c r="AX303" s="7"/>
      <c r="AY303" s="7"/>
      <c r="AZ303" s="7"/>
      <c r="BA303" s="7"/>
      <c r="BB303" s="7"/>
      <c r="BC303" s="7"/>
      <c r="BD303" s="7"/>
      <c r="BE303" s="7"/>
      <c r="BF303" s="7"/>
      <c r="BG303" s="7"/>
      <c r="BH303" s="7"/>
      <c r="BI303" s="7"/>
      <c r="BJ303" s="7"/>
      <c r="BK303" s="7"/>
      <c r="BL303" s="7"/>
      <c r="BM303" s="7"/>
    </row>
    <row r="304" spans="3:65" x14ac:dyDescent="0.2"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7"/>
      <c r="AU304" s="7"/>
      <c r="AV304" s="7"/>
      <c r="AW304" s="7"/>
      <c r="AX304" s="7"/>
      <c r="AY304" s="7"/>
      <c r="AZ304" s="7"/>
      <c r="BA304" s="7"/>
      <c r="BB304" s="7"/>
      <c r="BC304" s="7"/>
      <c r="BD304" s="7"/>
      <c r="BE304" s="7"/>
      <c r="BF304" s="7"/>
      <c r="BG304" s="7"/>
      <c r="BH304" s="7"/>
      <c r="BI304" s="7"/>
      <c r="BJ304" s="7"/>
      <c r="BK304" s="7"/>
      <c r="BL304" s="7"/>
      <c r="BM304" s="7"/>
    </row>
    <row r="305" spans="3:65" x14ac:dyDescent="0.2"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7"/>
      <c r="AU305" s="7"/>
      <c r="AV305" s="7"/>
      <c r="AW305" s="7"/>
      <c r="AX305" s="7"/>
      <c r="AY305" s="7"/>
      <c r="AZ305" s="7"/>
      <c r="BA305" s="7"/>
      <c r="BB305" s="7"/>
      <c r="BC305" s="7"/>
      <c r="BD305" s="7"/>
      <c r="BE305" s="7"/>
      <c r="BF305" s="7"/>
      <c r="BG305" s="7"/>
      <c r="BH305" s="7"/>
      <c r="BI305" s="7"/>
      <c r="BJ305" s="7"/>
      <c r="BK305" s="7"/>
      <c r="BL305" s="7"/>
      <c r="BM305" s="7"/>
    </row>
    <row r="306" spans="3:65" x14ac:dyDescent="0.2"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7"/>
      <c r="AU306" s="7"/>
      <c r="AV306" s="7"/>
      <c r="AW306" s="7"/>
      <c r="AX306" s="7"/>
      <c r="AY306" s="7"/>
      <c r="AZ306" s="7"/>
      <c r="BA306" s="7"/>
      <c r="BB306" s="7"/>
      <c r="BC306" s="7"/>
      <c r="BD306" s="7"/>
      <c r="BE306" s="7"/>
      <c r="BF306" s="7"/>
      <c r="BG306" s="7"/>
      <c r="BH306" s="7"/>
      <c r="BI306" s="7"/>
      <c r="BJ306" s="7"/>
      <c r="BK306" s="7"/>
      <c r="BL306" s="7"/>
      <c r="BM306" s="7"/>
    </row>
    <row r="307" spans="3:65" x14ac:dyDescent="0.2"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7"/>
      <c r="AU307" s="7"/>
      <c r="AV307" s="7"/>
      <c r="AW307" s="7"/>
      <c r="AX307" s="7"/>
      <c r="AY307" s="7"/>
      <c r="AZ307" s="7"/>
      <c r="BA307" s="7"/>
      <c r="BB307" s="7"/>
      <c r="BC307" s="7"/>
      <c r="BD307" s="7"/>
      <c r="BE307" s="7"/>
      <c r="BF307" s="7"/>
      <c r="BG307" s="7"/>
      <c r="BH307" s="7"/>
      <c r="BI307" s="7"/>
      <c r="BJ307" s="7"/>
      <c r="BK307" s="7"/>
      <c r="BL307" s="7"/>
      <c r="BM307" s="7"/>
    </row>
    <row r="308" spans="3:65" x14ac:dyDescent="0.2"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  <c r="AS308" s="3"/>
      <c r="AT308" s="7"/>
      <c r="AU308" s="7"/>
      <c r="AV308" s="7"/>
      <c r="AW308" s="7"/>
      <c r="AX308" s="7"/>
      <c r="AY308" s="7"/>
      <c r="AZ308" s="7"/>
      <c r="BA308" s="7"/>
      <c r="BB308" s="7"/>
      <c r="BC308" s="7"/>
      <c r="BD308" s="7"/>
      <c r="BE308" s="7"/>
      <c r="BF308" s="7"/>
      <c r="BG308" s="7"/>
      <c r="BH308" s="7"/>
      <c r="BI308" s="7"/>
      <c r="BJ308" s="7"/>
      <c r="BK308" s="7"/>
      <c r="BL308" s="7"/>
      <c r="BM308" s="7"/>
    </row>
    <row r="309" spans="3:65" x14ac:dyDescent="0.2"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7"/>
      <c r="AU309" s="7"/>
      <c r="AV309" s="7"/>
      <c r="AW309" s="7"/>
      <c r="AX309" s="7"/>
      <c r="AY309" s="7"/>
      <c r="AZ309" s="7"/>
      <c r="BA309" s="7"/>
      <c r="BB309" s="7"/>
      <c r="BC309" s="7"/>
      <c r="BD309" s="7"/>
      <c r="BE309" s="7"/>
      <c r="BF309" s="7"/>
      <c r="BG309" s="7"/>
      <c r="BH309" s="7"/>
      <c r="BI309" s="7"/>
      <c r="BJ309" s="7"/>
      <c r="BK309" s="7"/>
      <c r="BL309" s="7"/>
      <c r="BM309" s="7"/>
    </row>
    <row r="310" spans="3:65" x14ac:dyDescent="0.2"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7"/>
      <c r="AU310" s="7"/>
      <c r="AV310" s="7"/>
      <c r="AW310" s="7"/>
      <c r="AX310" s="7"/>
      <c r="AY310" s="7"/>
      <c r="AZ310" s="7"/>
      <c r="BA310" s="7"/>
      <c r="BB310" s="7"/>
      <c r="BC310" s="7"/>
      <c r="BD310" s="7"/>
      <c r="BE310" s="7"/>
      <c r="BF310" s="7"/>
      <c r="BG310" s="7"/>
      <c r="BH310" s="7"/>
      <c r="BI310" s="7"/>
      <c r="BJ310" s="7"/>
      <c r="BK310" s="7"/>
      <c r="BL310" s="7"/>
      <c r="BM310" s="7"/>
    </row>
    <row r="311" spans="3:65" x14ac:dyDescent="0.2"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7"/>
      <c r="AU311" s="7"/>
      <c r="AV311" s="7"/>
      <c r="AW311" s="7"/>
      <c r="AX311" s="7"/>
      <c r="AY311" s="7"/>
      <c r="AZ311" s="7"/>
      <c r="BA311" s="7"/>
      <c r="BB311" s="7"/>
      <c r="BC311" s="7"/>
      <c r="BD311" s="7"/>
      <c r="BE311" s="7"/>
      <c r="BF311" s="7"/>
      <c r="BG311" s="7"/>
      <c r="BH311" s="7"/>
      <c r="BI311" s="7"/>
      <c r="BJ311" s="7"/>
      <c r="BK311" s="7"/>
      <c r="BL311" s="7"/>
      <c r="BM311" s="7"/>
    </row>
    <row r="312" spans="3:65" x14ac:dyDescent="0.2"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7"/>
      <c r="AU312" s="7"/>
      <c r="AV312" s="7"/>
      <c r="AW312" s="7"/>
      <c r="AX312" s="7"/>
      <c r="AY312" s="7"/>
      <c r="AZ312" s="7"/>
      <c r="BA312" s="7"/>
      <c r="BB312" s="7"/>
      <c r="BC312" s="7"/>
      <c r="BD312" s="7"/>
      <c r="BE312" s="7"/>
      <c r="BF312" s="7"/>
      <c r="BG312" s="7"/>
      <c r="BH312" s="7"/>
      <c r="BI312" s="7"/>
      <c r="BJ312" s="7"/>
      <c r="BK312" s="7"/>
      <c r="BL312" s="7"/>
      <c r="BM312" s="7"/>
    </row>
    <row r="313" spans="3:65" x14ac:dyDescent="0.2"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7"/>
      <c r="AU313" s="7"/>
      <c r="AV313" s="7"/>
      <c r="AW313" s="7"/>
      <c r="AX313" s="7"/>
      <c r="AY313" s="7"/>
      <c r="AZ313" s="7"/>
      <c r="BA313" s="7"/>
      <c r="BB313" s="7"/>
      <c r="BC313" s="7"/>
      <c r="BD313" s="7"/>
      <c r="BE313" s="7"/>
      <c r="BF313" s="7"/>
      <c r="BG313" s="7"/>
      <c r="BH313" s="7"/>
      <c r="BI313" s="7"/>
      <c r="BJ313" s="7"/>
      <c r="BK313" s="7"/>
      <c r="BL313" s="7"/>
      <c r="BM313" s="7"/>
    </row>
    <row r="314" spans="3:65" x14ac:dyDescent="0.2"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7"/>
      <c r="AU314" s="7"/>
      <c r="AV314" s="7"/>
      <c r="AW314" s="7"/>
      <c r="AX314" s="7"/>
      <c r="AY314" s="7"/>
      <c r="AZ314" s="7"/>
      <c r="BA314" s="7"/>
      <c r="BB314" s="7"/>
      <c r="BC314" s="7"/>
      <c r="BD314" s="7"/>
      <c r="BE314" s="7"/>
      <c r="BF314" s="7"/>
      <c r="BG314" s="7"/>
      <c r="BH314" s="7"/>
      <c r="BI314" s="7"/>
      <c r="BJ314" s="7"/>
      <c r="BK314" s="7"/>
      <c r="BL314" s="7"/>
      <c r="BM314" s="7"/>
    </row>
    <row r="315" spans="3:65" x14ac:dyDescent="0.2"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7"/>
      <c r="AU315" s="7"/>
      <c r="AV315" s="7"/>
      <c r="AW315" s="7"/>
      <c r="AX315" s="7"/>
      <c r="AY315" s="7"/>
      <c r="AZ315" s="7"/>
      <c r="BA315" s="7"/>
      <c r="BB315" s="7"/>
      <c r="BC315" s="7"/>
      <c r="BD315" s="7"/>
      <c r="BE315" s="7"/>
      <c r="BF315" s="7"/>
      <c r="BG315" s="7"/>
      <c r="BH315" s="7"/>
      <c r="BI315" s="7"/>
      <c r="BJ315" s="7"/>
      <c r="BK315" s="7"/>
      <c r="BL315" s="7"/>
      <c r="BM315" s="7"/>
    </row>
    <row r="316" spans="3:65" x14ac:dyDescent="0.2"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7"/>
      <c r="AU316" s="7"/>
      <c r="AV316" s="7"/>
      <c r="AW316" s="7"/>
      <c r="AX316" s="7"/>
      <c r="AY316" s="7"/>
      <c r="AZ316" s="7"/>
      <c r="BA316" s="7"/>
      <c r="BB316" s="7"/>
      <c r="BC316" s="7"/>
      <c r="BD316" s="7"/>
      <c r="BE316" s="7"/>
      <c r="BF316" s="7"/>
      <c r="BG316" s="7"/>
      <c r="BH316" s="7"/>
      <c r="BI316" s="7"/>
      <c r="BJ316" s="7"/>
      <c r="BK316" s="7"/>
      <c r="BL316" s="7"/>
      <c r="BM316" s="7"/>
    </row>
    <row r="317" spans="3:65" x14ac:dyDescent="0.2"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7"/>
      <c r="AU317" s="7"/>
      <c r="AV317" s="7"/>
      <c r="AW317" s="7"/>
      <c r="AX317" s="7"/>
      <c r="AY317" s="7"/>
      <c r="AZ317" s="7"/>
      <c r="BA317" s="7"/>
      <c r="BB317" s="7"/>
      <c r="BC317" s="7"/>
      <c r="BD317" s="7"/>
      <c r="BE317" s="7"/>
      <c r="BF317" s="7"/>
      <c r="BG317" s="7"/>
      <c r="BH317" s="7"/>
      <c r="BI317" s="7"/>
      <c r="BJ317" s="7"/>
      <c r="BK317" s="7"/>
      <c r="BL317" s="7"/>
      <c r="BM317" s="7"/>
    </row>
    <row r="318" spans="3:65" x14ac:dyDescent="0.2"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7"/>
      <c r="AU318" s="7"/>
      <c r="AV318" s="7"/>
      <c r="AW318" s="7"/>
      <c r="AX318" s="7"/>
      <c r="AY318" s="7"/>
      <c r="AZ318" s="7"/>
      <c r="BA318" s="7"/>
      <c r="BB318" s="7"/>
      <c r="BC318" s="7"/>
      <c r="BD318" s="7"/>
      <c r="BE318" s="7"/>
      <c r="BF318" s="7"/>
      <c r="BG318" s="7"/>
      <c r="BH318" s="7"/>
      <c r="BI318" s="7"/>
      <c r="BJ318" s="7"/>
      <c r="BK318" s="7"/>
      <c r="BL318" s="7"/>
      <c r="BM318" s="7"/>
    </row>
    <row r="319" spans="3:65" x14ac:dyDescent="0.2"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7"/>
      <c r="AU319" s="7"/>
      <c r="AV319" s="7"/>
      <c r="AW319" s="7"/>
      <c r="AX319" s="7"/>
      <c r="AY319" s="7"/>
      <c r="AZ319" s="7"/>
      <c r="BA319" s="7"/>
      <c r="BB319" s="7"/>
      <c r="BC319" s="7"/>
      <c r="BD319" s="7"/>
      <c r="BE319" s="7"/>
      <c r="BF319" s="7"/>
      <c r="BG319" s="7"/>
      <c r="BH319" s="7"/>
      <c r="BI319" s="7"/>
      <c r="BJ319" s="7"/>
      <c r="BK319" s="7"/>
      <c r="BL319" s="7"/>
      <c r="BM319" s="7"/>
    </row>
    <row r="320" spans="3:65" x14ac:dyDescent="0.2"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7"/>
      <c r="AU320" s="7"/>
      <c r="AV320" s="7"/>
      <c r="AW320" s="7"/>
      <c r="AX320" s="7"/>
      <c r="AY320" s="7"/>
      <c r="AZ320" s="7"/>
      <c r="BA320" s="7"/>
      <c r="BB320" s="7"/>
      <c r="BC320" s="7"/>
      <c r="BD320" s="7"/>
      <c r="BE320" s="7"/>
      <c r="BF320" s="7"/>
      <c r="BG320" s="7"/>
      <c r="BH320" s="7"/>
      <c r="BI320" s="7"/>
      <c r="BJ320" s="7"/>
      <c r="BK320" s="7"/>
      <c r="BL320" s="7"/>
      <c r="BM320" s="7"/>
    </row>
    <row r="321" spans="3:65" x14ac:dyDescent="0.2"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7"/>
      <c r="AU321" s="7"/>
      <c r="AV321" s="7"/>
      <c r="AW321" s="7"/>
      <c r="AX321" s="7"/>
      <c r="AY321" s="7"/>
      <c r="AZ321" s="7"/>
      <c r="BA321" s="7"/>
      <c r="BB321" s="7"/>
      <c r="BC321" s="7"/>
      <c r="BD321" s="7"/>
      <c r="BE321" s="7"/>
      <c r="BF321" s="7"/>
      <c r="BG321" s="7"/>
      <c r="BH321" s="7"/>
      <c r="BI321" s="7"/>
      <c r="BJ321" s="7"/>
      <c r="BK321" s="7"/>
      <c r="BL321" s="7"/>
      <c r="BM321" s="7"/>
    </row>
    <row r="322" spans="3:65" x14ac:dyDescent="0.2"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  <c r="AS322" s="3"/>
      <c r="AT322" s="7"/>
      <c r="AU322" s="7"/>
      <c r="AV322" s="7"/>
      <c r="AW322" s="7"/>
      <c r="AX322" s="7"/>
      <c r="AY322" s="7"/>
      <c r="AZ322" s="7"/>
      <c r="BA322" s="7"/>
      <c r="BB322" s="7"/>
      <c r="BC322" s="7"/>
      <c r="BD322" s="7"/>
      <c r="BE322" s="7"/>
      <c r="BF322" s="7"/>
      <c r="BG322" s="7"/>
      <c r="BH322" s="7"/>
      <c r="BI322" s="7"/>
      <c r="BJ322" s="7"/>
      <c r="BK322" s="7"/>
      <c r="BL322" s="7"/>
      <c r="BM322" s="7"/>
    </row>
    <row r="323" spans="3:65" x14ac:dyDescent="0.2"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3"/>
      <c r="AT323" s="7"/>
      <c r="AU323" s="7"/>
      <c r="AV323" s="7"/>
      <c r="AW323" s="7"/>
      <c r="AX323" s="7"/>
      <c r="AY323" s="7"/>
      <c r="AZ323" s="7"/>
      <c r="BA323" s="7"/>
      <c r="BB323" s="7"/>
      <c r="BC323" s="7"/>
      <c r="BD323" s="7"/>
      <c r="BE323" s="7"/>
      <c r="BF323" s="7"/>
      <c r="BG323" s="7"/>
      <c r="BH323" s="7"/>
      <c r="BI323" s="7"/>
      <c r="BJ323" s="7"/>
      <c r="BK323" s="7"/>
      <c r="BL323" s="7"/>
      <c r="BM323" s="7"/>
    </row>
    <row r="324" spans="3:65" x14ac:dyDescent="0.2"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7"/>
      <c r="AU324" s="7"/>
      <c r="AV324" s="7"/>
      <c r="AW324" s="7"/>
      <c r="AX324" s="7"/>
      <c r="AY324" s="7"/>
      <c r="AZ324" s="7"/>
      <c r="BA324" s="7"/>
      <c r="BB324" s="7"/>
      <c r="BC324" s="7"/>
      <c r="BD324" s="7"/>
      <c r="BE324" s="7"/>
      <c r="BF324" s="7"/>
      <c r="BG324" s="7"/>
      <c r="BH324" s="7"/>
      <c r="BI324" s="7"/>
      <c r="BJ324" s="7"/>
      <c r="BK324" s="7"/>
      <c r="BL324" s="7"/>
      <c r="BM324" s="7"/>
    </row>
    <row r="325" spans="3:65" x14ac:dyDescent="0.2"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7"/>
      <c r="AU325" s="7"/>
      <c r="AV325" s="7"/>
      <c r="AW325" s="7"/>
      <c r="AX325" s="7"/>
      <c r="AY325" s="7"/>
      <c r="AZ325" s="7"/>
      <c r="BA325" s="7"/>
      <c r="BB325" s="7"/>
      <c r="BC325" s="7"/>
      <c r="BD325" s="7"/>
      <c r="BE325" s="7"/>
      <c r="BF325" s="7"/>
      <c r="BG325" s="7"/>
      <c r="BH325" s="7"/>
      <c r="BI325" s="7"/>
      <c r="BJ325" s="7"/>
      <c r="BK325" s="7"/>
      <c r="BL325" s="7"/>
      <c r="BM325" s="7"/>
    </row>
    <row r="326" spans="3:65" x14ac:dyDescent="0.2"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7"/>
      <c r="AU326" s="7"/>
      <c r="AV326" s="7"/>
      <c r="AW326" s="7"/>
      <c r="AX326" s="7"/>
      <c r="AY326" s="7"/>
      <c r="AZ326" s="7"/>
      <c r="BA326" s="7"/>
      <c r="BB326" s="7"/>
      <c r="BC326" s="7"/>
      <c r="BD326" s="7"/>
      <c r="BE326" s="7"/>
      <c r="BF326" s="7"/>
      <c r="BG326" s="7"/>
      <c r="BH326" s="7"/>
      <c r="BI326" s="7"/>
      <c r="BJ326" s="7"/>
      <c r="BK326" s="7"/>
      <c r="BL326" s="7"/>
      <c r="BM326" s="7"/>
    </row>
    <row r="327" spans="3:65" x14ac:dyDescent="0.2"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7"/>
      <c r="AU327" s="7"/>
      <c r="AV327" s="7"/>
      <c r="AW327" s="7"/>
      <c r="AX327" s="7"/>
      <c r="AY327" s="7"/>
      <c r="AZ327" s="7"/>
      <c r="BA327" s="7"/>
      <c r="BB327" s="7"/>
      <c r="BC327" s="7"/>
      <c r="BD327" s="7"/>
      <c r="BE327" s="7"/>
      <c r="BF327" s="7"/>
      <c r="BG327" s="7"/>
      <c r="BH327" s="7"/>
      <c r="BI327" s="7"/>
      <c r="BJ327" s="7"/>
      <c r="BK327" s="7"/>
      <c r="BL327" s="7"/>
      <c r="BM327" s="7"/>
    </row>
    <row r="328" spans="3:65" x14ac:dyDescent="0.2"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7"/>
      <c r="AU328" s="7"/>
      <c r="AV328" s="7"/>
      <c r="AW328" s="7"/>
      <c r="AX328" s="7"/>
      <c r="AY328" s="7"/>
      <c r="AZ328" s="7"/>
      <c r="BA328" s="7"/>
      <c r="BB328" s="7"/>
      <c r="BC328" s="7"/>
      <c r="BD328" s="7"/>
      <c r="BE328" s="7"/>
      <c r="BF328" s="7"/>
      <c r="BG328" s="7"/>
      <c r="BH328" s="7"/>
      <c r="BI328" s="7"/>
      <c r="BJ328" s="7"/>
      <c r="BK328" s="7"/>
      <c r="BL328" s="7"/>
      <c r="BM328" s="7"/>
    </row>
    <row r="329" spans="3:65" x14ac:dyDescent="0.2"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7"/>
      <c r="AU329" s="7"/>
      <c r="AV329" s="7"/>
      <c r="AW329" s="7"/>
      <c r="AX329" s="7"/>
      <c r="AY329" s="7"/>
      <c r="AZ329" s="7"/>
      <c r="BA329" s="7"/>
      <c r="BB329" s="7"/>
      <c r="BC329" s="7"/>
      <c r="BD329" s="7"/>
      <c r="BE329" s="7"/>
      <c r="BF329" s="7"/>
      <c r="BG329" s="7"/>
      <c r="BH329" s="7"/>
      <c r="BI329" s="7"/>
      <c r="BJ329" s="7"/>
      <c r="BK329" s="7"/>
      <c r="BL329" s="7"/>
      <c r="BM329" s="7"/>
    </row>
    <row r="330" spans="3:65" x14ac:dyDescent="0.2"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7"/>
      <c r="AU330" s="7"/>
      <c r="AV330" s="7"/>
      <c r="AW330" s="7"/>
      <c r="AX330" s="7"/>
      <c r="AY330" s="7"/>
      <c r="AZ330" s="7"/>
      <c r="BA330" s="7"/>
      <c r="BB330" s="7"/>
      <c r="BC330" s="7"/>
      <c r="BD330" s="7"/>
      <c r="BE330" s="7"/>
      <c r="BF330" s="7"/>
      <c r="BG330" s="7"/>
      <c r="BH330" s="7"/>
      <c r="BI330" s="7"/>
      <c r="BJ330" s="7"/>
      <c r="BK330" s="7"/>
      <c r="BL330" s="7"/>
      <c r="BM330" s="7"/>
    </row>
    <row r="331" spans="3:65" x14ac:dyDescent="0.2"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7"/>
      <c r="AU331" s="7"/>
      <c r="AV331" s="7"/>
      <c r="AW331" s="7"/>
      <c r="AX331" s="7"/>
      <c r="AY331" s="7"/>
      <c r="AZ331" s="7"/>
      <c r="BA331" s="7"/>
      <c r="BB331" s="7"/>
      <c r="BC331" s="7"/>
      <c r="BD331" s="7"/>
      <c r="BE331" s="7"/>
      <c r="BF331" s="7"/>
      <c r="BG331" s="7"/>
      <c r="BH331" s="7"/>
      <c r="BI331" s="7"/>
      <c r="BJ331" s="7"/>
      <c r="BK331" s="7"/>
      <c r="BL331" s="7"/>
      <c r="BM331" s="7"/>
    </row>
    <row r="332" spans="3:65" x14ac:dyDescent="0.2"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7"/>
      <c r="AU332" s="7"/>
      <c r="AV332" s="7"/>
      <c r="AW332" s="7"/>
      <c r="AX332" s="7"/>
      <c r="AY332" s="7"/>
      <c r="AZ332" s="7"/>
      <c r="BA332" s="7"/>
      <c r="BB332" s="7"/>
      <c r="BC332" s="7"/>
      <c r="BD332" s="7"/>
      <c r="BE332" s="7"/>
      <c r="BF332" s="7"/>
      <c r="BG332" s="7"/>
      <c r="BH332" s="7"/>
      <c r="BI332" s="7"/>
      <c r="BJ332" s="7"/>
      <c r="BK332" s="7"/>
      <c r="BL332" s="7"/>
      <c r="BM332" s="7"/>
    </row>
    <row r="333" spans="3:65" x14ac:dyDescent="0.2"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7"/>
      <c r="AU333" s="7"/>
      <c r="AV333" s="7"/>
      <c r="AW333" s="7"/>
      <c r="AX333" s="7"/>
      <c r="AY333" s="7"/>
      <c r="AZ333" s="7"/>
      <c r="BA333" s="7"/>
      <c r="BB333" s="7"/>
      <c r="BC333" s="7"/>
      <c r="BD333" s="7"/>
      <c r="BE333" s="7"/>
      <c r="BF333" s="7"/>
      <c r="BG333" s="7"/>
      <c r="BH333" s="7"/>
      <c r="BI333" s="7"/>
      <c r="BJ333" s="7"/>
      <c r="BK333" s="7"/>
      <c r="BL333" s="7"/>
      <c r="BM333" s="7"/>
    </row>
    <row r="334" spans="3:65" x14ac:dyDescent="0.2"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7"/>
      <c r="AU334" s="7"/>
      <c r="AV334" s="7"/>
      <c r="AW334" s="7"/>
      <c r="AX334" s="7"/>
      <c r="AY334" s="7"/>
      <c r="AZ334" s="7"/>
      <c r="BA334" s="7"/>
      <c r="BB334" s="7"/>
      <c r="BC334" s="7"/>
      <c r="BD334" s="7"/>
      <c r="BE334" s="7"/>
      <c r="BF334" s="7"/>
      <c r="BG334" s="7"/>
      <c r="BH334" s="7"/>
      <c r="BI334" s="7"/>
      <c r="BJ334" s="7"/>
      <c r="BK334" s="7"/>
      <c r="BL334" s="7"/>
      <c r="BM334" s="7"/>
    </row>
    <row r="335" spans="3:65" x14ac:dyDescent="0.2"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7"/>
      <c r="AU335" s="7"/>
      <c r="AV335" s="7"/>
      <c r="AW335" s="7"/>
      <c r="AX335" s="7"/>
      <c r="AY335" s="7"/>
      <c r="AZ335" s="7"/>
      <c r="BA335" s="7"/>
      <c r="BB335" s="7"/>
      <c r="BC335" s="7"/>
      <c r="BD335" s="7"/>
      <c r="BE335" s="7"/>
      <c r="BF335" s="7"/>
      <c r="BG335" s="7"/>
      <c r="BH335" s="7"/>
      <c r="BI335" s="7"/>
      <c r="BJ335" s="7"/>
      <c r="BK335" s="7"/>
      <c r="BL335" s="7"/>
      <c r="BM335" s="7"/>
    </row>
    <row r="336" spans="3:65" x14ac:dyDescent="0.2"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3"/>
      <c r="AT336" s="7"/>
      <c r="AU336" s="7"/>
      <c r="AV336" s="7"/>
      <c r="AW336" s="7"/>
      <c r="AX336" s="7"/>
      <c r="AY336" s="7"/>
      <c r="AZ336" s="7"/>
      <c r="BA336" s="7"/>
      <c r="BB336" s="7"/>
      <c r="BC336" s="7"/>
      <c r="BD336" s="7"/>
      <c r="BE336" s="7"/>
      <c r="BF336" s="7"/>
      <c r="BG336" s="7"/>
      <c r="BH336" s="7"/>
      <c r="BI336" s="7"/>
      <c r="BJ336" s="7"/>
      <c r="BK336" s="7"/>
      <c r="BL336" s="7"/>
      <c r="BM336" s="7"/>
    </row>
    <row r="337" spans="3:65" x14ac:dyDescent="0.2"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  <c r="AR337" s="3"/>
      <c r="AS337" s="3"/>
      <c r="AT337" s="7"/>
      <c r="AU337" s="7"/>
      <c r="AV337" s="7"/>
      <c r="AW337" s="7"/>
      <c r="AX337" s="7"/>
      <c r="AY337" s="7"/>
      <c r="AZ337" s="7"/>
      <c r="BA337" s="7"/>
      <c r="BB337" s="7"/>
      <c r="BC337" s="7"/>
      <c r="BD337" s="7"/>
      <c r="BE337" s="7"/>
      <c r="BF337" s="7"/>
      <c r="BG337" s="7"/>
      <c r="BH337" s="7"/>
      <c r="BI337" s="7"/>
      <c r="BJ337" s="7"/>
      <c r="BK337" s="7"/>
      <c r="BL337" s="7"/>
      <c r="BM337" s="7"/>
    </row>
    <row r="338" spans="3:65" x14ac:dyDescent="0.2"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7"/>
      <c r="AU338" s="7"/>
      <c r="AV338" s="7"/>
      <c r="AW338" s="7"/>
      <c r="AX338" s="7"/>
      <c r="AY338" s="7"/>
      <c r="AZ338" s="7"/>
      <c r="BA338" s="7"/>
      <c r="BB338" s="7"/>
      <c r="BC338" s="7"/>
      <c r="BD338" s="7"/>
      <c r="BE338" s="7"/>
      <c r="BF338" s="7"/>
      <c r="BG338" s="7"/>
      <c r="BH338" s="7"/>
      <c r="BI338" s="7"/>
      <c r="BJ338" s="7"/>
      <c r="BK338" s="7"/>
      <c r="BL338" s="7"/>
      <c r="BM338" s="7"/>
    </row>
    <row r="339" spans="3:65" x14ac:dyDescent="0.2"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7"/>
      <c r="AU339" s="7"/>
      <c r="AV339" s="7"/>
      <c r="AW339" s="7"/>
      <c r="AX339" s="7"/>
      <c r="AY339" s="7"/>
      <c r="AZ339" s="7"/>
      <c r="BA339" s="7"/>
      <c r="BB339" s="7"/>
      <c r="BC339" s="7"/>
      <c r="BD339" s="7"/>
      <c r="BE339" s="7"/>
      <c r="BF339" s="7"/>
      <c r="BG339" s="7"/>
      <c r="BH339" s="7"/>
      <c r="BI339" s="7"/>
      <c r="BJ339" s="7"/>
      <c r="BK339" s="7"/>
      <c r="BL339" s="7"/>
      <c r="BM339" s="7"/>
    </row>
    <row r="340" spans="3:65" x14ac:dyDescent="0.2"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7"/>
      <c r="AU340" s="7"/>
      <c r="AV340" s="7"/>
      <c r="AW340" s="7"/>
      <c r="AX340" s="7"/>
      <c r="AY340" s="7"/>
      <c r="AZ340" s="7"/>
      <c r="BA340" s="7"/>
      <c r="BB340" s="7"/>
      <c r="BC340" s="7"/>
      <c r="BD340" s="7"/>
      <c r="BE340" s="7"/>
      <c r="BF340" s="7"/>
      <c r="BG340" s="7"/>
      <c r="BH340" s="7"/>
      <c r="BI340" s="7"/>
      <c r="BJ340" s="7"/>
      <c r="BK340" s="7"/>
      <c r="BL340" s="7"/>
      <c r="BM340" s="7"/>
    </row>
    <row r="341" spans="3:65" x14ac:dyDescent="0.2"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7"/>
      <c r="AU341" s="7"/>
      <c r="AV341" s="7"/>
      <c r="AW341" s="7"/>
      <c r="AX341" s="7"/>
      <c r="AY341" s="7"/>
      <c r="AZ341" s="7"/>
      <c r="BA341" s="7"/>
      <c r="BB341" s="7"/>
      <c r="BC341" s="7"/>
      <c r="BD341" s="7"/>
      <c r="BE341" s="7"/>
      <c r="BF341" s="7"/>
      <c r="BG341" s="7"/>
      <c r="BH341" s="7"/>
      <c r="BI341" s="7"/>
      <c r="BJ341" s="7"/>
      <c r="BK341" s="7"/>
      <c r="BL341" s="7"/>
      <c r="BM341" s="7"/>
    </row>
    <row r="342" spans="3:65" x14ac:dyDescent="0.2"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7"/>
      <c r="AU342" s="7"/>
      <c r="AV342" s="7"/>
      <c r="AW342" s="7"/>
      <c r="AX342" s="7"/>
      <c r="AY342" s="7"/>
      <c r="AZ342" s="7"/>
      <c r="BA342" s="7"/>
      <c r="BB342" s="7"/>
      <c r="BC342" s="7"/>
      <c r="BD342" s="7"/>
      <c r="BE342" s="7"/>
      <c r="BF342" s="7"/>
      <c r="BG342" s="7"/>
      <c r="BH342" s="7"/>
      <c r="BI342" s="7"/>
      <c r="BJ342" s="7"/>
      <c r="BK342" s="7"/>
      <c r="BL342" s="7"/>
      <c r="BM342" s="7"/>
    </row>
    <row r="343" spans="3:65" x14ac:dyDescent="0.2"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7"/>
      <c r="AU343" s="7"/>
      <c r="AV343" s="7"/>
      <c r="AW343" s="7"/>
      <c r="AX343" s="7"/>
      <c r="AY343" s="7"/>
      <c r="AZ343" s="7"/>
      <c r="BA343" s="7"/>
      <c r="BB343" s="7"/>
      <c r="BC343" s="7"/>
      <c r="BD343" s="7"/>
      <c r="BE343" s="7"/>
      <c r="BF343" s="7"/>
      <c r="BG343" s="7"/>
      <c r="BH343" s="7"/>
      <c r="BI343" s="7"/>
      <c r="BJ343" s="7"/>
      <c r="BK343" s="7"/>
      <c r="BL343" s="7"/>
      <c r="BM343" s="7"/>
    </row>
    <row r="344" spans="3:65" x14ac:dyDescent="0.2"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7"/>
      <c r="AU344" s="7"/>
      <c r="AV344" s="7"/>
      <c r="AW344" s="7"/>
      <c r="AX344" s="7"/>
      <c r="AY344" s="7"/>
      <c r="AZ344" s="7"/>
      <c r="BA344" s="7"/>
      <c r="BB344" s="7"/>
      <c r="BC344" s="7"/>
      <c r="BD344" s="7"/>
      <c r="BE344" s="7"/>
      <c r="BF344" s="7"/>
      <c r="BG344" s="7"/>
      <c r="BH344" s="7"/>
      <c r="BI344" s="7"/>
      <c r="BJ344" s="7"/>
      <c r="BK344" s="7"/>
      <c r="BL344" s="7"/>
      <c r="BM344" s="7"/>
    </row>
    <row r="345" spans="3:65" x14ac:dyDescent="0.2"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7"/>
      <c r="AU345" s="7"/>
      <c r="AV345" s="7"/>
      <c r="AW345" s="7"/>
      <c r="AX345" s="7"/>
      <c r="AY345" s="7"/>
      <c r="AZ345" s="7"/>
      <c r="BA345" s="7"/>
      <c r="BB345" s="7"/>
      <c r="BC345" s="7"/>
      <c r="BD345" s="7"/>
      <c r="BE345" s="7"/>
      <c r="BF345" s="7"/>
      <c r="BG345" s="7"/>
      <c r="BH345" s="7"/>
      <c r="BI345" s="7"/>
      <c r="BJ345" s="7"/>
      <c r="BK345" s="7"/>
      <c r="BL345" s="7"/>
      <c r="BM345" s="7"/>
    </row>
    <row r="346" spans="3:65" x14ac:dyDescent="0.2"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7"/>
      <c r="AU346" s="7"/>
      <c r="AV346" s="7"/>
      <c r="AW346" s="7"/>
      <c r="AX346" s="7"/>
      <c r="AY346" s="7"/>
      <c r="AZ346" s="7"/>
      <c r="BA346" s="7"/>
      <c r="BB346" s="7"/>
      <c r="BC346" s="7"/>
      <c r="BD346" s="7"/>
      <c r="BE346" s="7"/>
      <c r="BF346" s="7"/>
      <c r="BG346" s="7"/>
      <c r="BH346" s="7"/>
      <c r="BI346" s="7"/>
      <c r="BJ346" s="7"/>
      <c r="BK346" s="7"/>
      <c r="BL346" s="7"/>
      <c r="BM346" s="7"/>
    </row>
    <row r="347" spans="3:65" x14ac:dyDescent="0.2"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7"/>
      <c r="AU347" s="7"/>
      <c r="AV347" s="7"/>
      <c r="AW347" s="7"/>
      <c r="AX347" s="7"/>
      <c r="AY347" s="7"/>
      <c r="AZ347" s="7"/>
      <c r="BA347" s="7"/>
      <c r="BB347" s="7"/>
      <c r="BC347" s="7"/>
      <c r="BD347" s="7"/>
      <c r="BE347" s="7"/>
      <c r="BF347" s="7"/>
      <c r="BG347" s="7"/>
      <c r="BH347" s="7"/>
      <c r="BI347" s="7"/>
      <c r="BJ347" s="7"/>
      <c r="BK347" s="7"/>
      <c r="BL347" s="7"/>
      <c r="BM347" s="7"/>
    </row>
    <row r="348" spans="3:65" x14ac:dyDescent="0.2"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7"/>
      <c r="AU348" s="7"/>
      <c r="AV348" s="7"/>
      <c r="AW348" s="7"/>
      <c r="AX348" s="7"/>
      <c r="AY348" s="7"/>
      <c r="AZ348" s="7"/>
      <c r="BA348" s="7"/>
      <c r="BB348" s="7"/>
      <c r="BC348" s="7"/>
      <c r="BD348" s="7"/>
      <c r="BE348" s="7"/>
      <c r="BF348" s="7"/>
      <c r="BG348" s="7"/>
      <c r="BH348" s="7"/>
      <c r="BI348" s="7"/>
      <c r="BJ348" s="7"/>
      <c r="BK348" s="7"/>
      <c r="BL348" s="7"/>
      <c r="BM348" s="7"/>
    </row>
    <row r="349" spans="3:65" x14ac:dyDescent="0.2"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7"/>
      <c r="AU349" s="7"/>
      <c r="AV349" s="7"/>
      <c r="AW349" s="7"/>
      <c r="AX349" s="7"/>
      <c r="AY349" s="7"/>
      <c r="AZ349" s="7"/>
      <c r="BA349" s="7"/>
      <c r="BB349" s="7"/>
      <c r="BC349" s="7"/>
      <c r="BD349" s="7"/>
      <c r="BE349" s="7"/>
      <c r="BF349" s="7"/>
      <c r="BG349" s="7"/>
      <c r="BH349" s="7"/>
      <c r="BI349" s="7"/>
      <c r="BJ349" s="7"/>
      <c r="BK349" s="7"/>
      <c r="BL349" s="7"/>
      <c r="BM349" s="7"/>
    </row>
    <row r="350" spans="3:65" x14ac:dyDescent="0.2"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  <c r="AR350" s="3"/>
      <c r="AS350" s="3"/>
      <c r="AT350" s="7"/>
      <c r="AU350" s="7"/>
      <c r="AV350" s="7"/>
      <c r="AW350" s="7"/>
      <c r="AX350" s="7"/>
      <c r="AY350" s="7"/>
      <c r="AZ350" s="7"/>
      <c r="BA350" s="7"/>
      <c r="BB350" s="7"/>
      <c r="BC350" s="7"/>
      <c r="BD350" s="7"/>
      <c r="BE350" s="7"/>
      <c r="BF350" s="7"/>
      <c r="BG350" s="7"/>
      <c r="BH350" s="7"/>
      <c r="BI350" s="7"/>
      <c r="BJ350" s="7"/>
      <c r="BK350" s="7"/>
      <c r="BL350" s="7"/>
      <c r="BM350" s="7"/>
    </row>
    <row r="351" spans="3:65" x14ac:dyDescent="0.2"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  <c r="AQ351" s="3"/>
      <c r="AR351" s="3"/>
      <c r="AS351" s="3"/>
      <c r="AT351" s="7"/>
      <c r="AU351" s="7"/>
      <c r="AV351" s="7"/>
      <c r="AW351" s="7"/>
      <c r="AX351" s="7"/>
      <c r="AY351" s="7"/>
      <c r="AZ351" s="7"/>
      <c r="BA351" s="7"/>
      <c r="BB351" s="7"/>
      <c r="BC351" s="7"/>
      <c r="BD351" s="7"/>
      <c r="BE351" s="7"/>
      <c r="BF351" s="7"/>
      <c r="BG351" s="7"/>
      <c r="BH351" s="7"/>
      <c r="BI351" s="7"/>
      <c r="BJ351" s="7"/>
      <c r="BK351" s="7"/>
      <c r="BL351" s="7"/>
      <c r="BM351" s="7"/>
    </row>
    <row r="352" spans="3:65" x14ac:dyDescent="0.2"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7"/>
      <c r="AU352" s="7"/>
      <c r="AV352" s="7"/>
      <c r="AW352" s="7"/>
      <c r="AX352" s="7"/>
      <c r="AY352" s="7"/>
      <c r="AZ352" s="7"/>
      <c r="BA352" s="7"/>
      <c r="BB352" s="7"/>
      <c r="BC352" s="7"/>
      <c r="BD352" s="7"/>
      <c r="BE352" s="7"/>
      <c r="BF352" s="7"/>
      <c r="BG352" s="7"/>
      <c r="BH352" s="7"/>
      <c r="BI352" s="7"/>
      <c r="BJ352" s="7"/>
      <c r="BK352" s="7"/>
      <c r="BL352" s="7"/>
      <c r="BM352" s="7"/>
    </row>
    <row r="353" spans="3:65" x14ac:dyDescent="0.2"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7"/>
      <c r="AU353" s="7"/>
      <c r="AV353" s="7"/>
      <c r="AW353" s="7"/>
      <c r="AX353" s="7"/>
      <c r="AY353" s="7"/>
      <c r="AZ353" s="7"/>
      <c r="BA353" s="7"/>
      <c r="BB353" s="7"/>
      <c r="BC353" s="7"/>
      <c r="BD353" s="7"/>
      <c r="BE353" s="7"/>
      <c r="BF353" s="7"/>
      <c r="BG353" s="7"/>
      <c r="BH353" s="7"/>
      <c r="BI353" s="7"/>
      <c r="BJ353" s="7"/>
      <c r="BK353" s="7"/>
      <c r="BL353" s="7"/>
      <c r="BM353" s="7"/>
    </row>
    <row r="354" spans="3:65" x14ac:dyDescent="0.2"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7"/>
      <c r="AU354" s="7"/>
      <c r="AV354" s="7"/>
      <c r="AW354" s="7"/>
      <c r="AX354" s="7"/>
      <c r="AY354" s="7"/>
      <c r="AZ354" s="7"/>
      <c r="BA354" s="7"/>
      <c r="BB354" s="7"/>
      <c r="BC354" s="7"/>
      <c r="BD354" s="7"/>
      <c r="BE354" s="7"/>
      <c r="BF354" s="7"/>
      <c r="BG354" s="7"/>
      <c r="BH354" s="7"/>
      <c r="BI354" s="7"/>
      <c r="BJ354" s="7"/>
      <c r="BK354" s="7"/>
      <c r="BL354" s="7"/>
      <c r="BM354" s="7"/>
    </row>
    <row r="355" spans="3:65" x14ac:dyDescent="0.2"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7"/>
      <c r="AU355" s="7"/>
      <c r="AV355" s="7"/>
      <c r="AW355" s="7"/>
      <c r="AX355" s="7"/>
      <c r="AY355" s="7"/>
      <c r="AZ355" s="7"/>
      <c r="BA355" s="7"/>
      <c r="BB355" s="7"/>
      <c r="BC355" s="7"/>
      <c r="BD355" s="7"/>
      <c r="BE355" s="7"/>
      <c r="BF355" s="7"/>
      <c r="BG355" s="7"/>
      <c r="BH355" s="7"/>
      <c r="BI355" s="7"/>
      <c r="BJ355" s="7"/>
      <c r="BK355" s="7"/>
      <c r="BL355" s="7"/>
      <c r="BM355" s="7"/>
    </row>
    <row r="356" spans="3:65" x14ac:dyDescent="0.2"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7"/>
      <c r="AU356" s="7"/>
      <c r="AV356" s="7"/>
      <c r="AW356" s="7"/>
      <c r="AX356" s="7"/>
      <c r="AY356" s="7"/>
      <c r="AZ356" s="7"/>
      <c r="BA356" s="7"/>
      <c r="BB356" s="7"/>
      <c r="BC356" s="7"/>
      <c r="BD356" s="7"/>
      <c r="BE356" s="7"/>
      <c r="BF356" s="7"/>
      <c r="BG356" s="7"/>
      <c r="BH356" s="7"/>
      <c r="BI356" s="7"/>
      <c r="BJ356" s="7"/>
      <c r="BK356" s="7"/>
      <c r="BL356" s="7"/>
      <c r="BM356" s="7"/>
    </row>
    <row r="357" spans="3:65" x14ac:dyDescent="0.2"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7"/>
      <c r="AU357" s="7"/>
      <c r="AV357" s="7"/>
      <c r="AW357" s="7"/>
      <c r="AX357" s="7"/>
      <c r="AY357" s="7"/>
      <c r="AZ357" s="7"/>
      <c r="BA357" s="7"/>
      <c r="BB357" s="7"/>
      <c r="BC357" s="7"/>
      <c r="BD357" s="7"/>
      <c r="BE357" s="7"/>
      <c r="BF357" s="7"/>
      <c r="BG357" s="7"/>
      <c r="BH357" s="7"/>
      <c r="BI357" s="7"/>
      <c r="BJ357" s="7"/>
      <c r="BK357" s="7"/>
      <c r="BL357" s="7"/>
      <c r="BM357" s="7"/>
    </row>
    <row r="358" spans="3:65" x14ac:dyDescent="0.2"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7"/>
      <c r="AU358" s="7"/>
      <c r="AV358" s="7"/>
      <c r="AW358" s="7"/>
      <c r="AX358" s="7"/>
      <c r="AY358" s="7"/>
      <c r="AZ358" s="7"/>
      <c r="BA358" s="7"/>
      <c r="BB358" s="7"/>
      <c r="BC358" s="7"/>
      <c r="BD358" s="7"/>
      <c r="BE358" s="7"/>
      <c r="BF358" s="7"/>
      <c r="BG358" s="7"/>
      <c r="BH358" s="7"/>
      <c r="BI358" s="7"/>
      <c r="BJ358" s="7"/>
      <c r="BK358" s="7"/>
      <c r="BL358" s="7"/>
      <c r="BM358" s="7"/>
    </row>
    <row r="359" spans="3:65" x14ac:dyDescent="0.2"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7"/>
      <c r="AU359" s="7"/>
      <c r="AV359" s="7"/>
      <c r="AW359" s="7"/>
      <c r="AX359" s="7"/>
      <c r="AY359" s="7"/>
      <c r="AZ359" s="7"/>
      <c r="BA359" s="7"/>
      <c r="BB359" s="7"/>
      <c r="BC359" s="7"/>
      <c r="BD359" s="7"/>
      <c r="BE359" s="7"/>
      <c r="BF359" s="7"/>
      <c r="BG359" s="7"/>
      <c r="BH359" s="7"/>
      <c r="BI359" s="7"/>
      <c r="BJ359" s="7"/>
      <c r="BK359" s="7"/>
      <c r="BL359" s="7"/>
      <c r="BM359" s="7"/>
    </row>
    <row r="360" spans="3:65" x14ac:dyDescent="0.2"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7"/>
      <c r="AU360" s="7"/>
      <c r="AV360" s="7"/>
      <c r="AW360" s="7"/>
      <c r="AX360" s="7"/>
      <c r="AY360" s="7"/>
      <c r="AZ360" s="7"/>
      <c r="BA360" s="7"/>
      <c r="BB360" s="7"/>
      <c r="BC360" s="7"/>
      <c r="BD360" s="7"/>
      <c r="BE360" s="7"/>
      <c r="BF360" s="7"/>
      <c r="BG360" s="7"/>
      <c r="BH360" s="7"/>
      <c r="BI360" s="7"/>
      <c r="BJ360" s="7"/>
      <c r="BK360" s="7"/>
      <c r="BL360" s="7"/>
      <c r="BM360" s="7"/>
    </row>
    <row r="361" spans="3:65" x14ac:dyDescent="0.2"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7"/>
      <c r="AU361" s="7"/>
      <c r="AV361" s="7"/>
      <c r="AW361" s="7"/>
      <c r="AX361" s="7"/>
      <c r="AY361" s="7"/>
      <c r="AZ361" s="7"/>
      <c r="BA361" s="7"/>
      <c r="BB361" s="7"/>
      <c r="BC361" s="7"/>
      <c r="BD361" s="7"/>
      <c r="BE361" s="7"/>
      <c r="BF361" s="7"/>
      <c r="BG361" s="7"/>
      <c r="BH361" s="7"/>
      <c r="BI361" s="7"/>
      <c r="BJ361" s="7"/>
      <c r="BK361" s="7"/>
      <c r="BL361" s="7"/>
      <c r="BM361" s="7"/>
    </row>
    <row r="362" spans="3:65" x14ac:dyDescent="0.2"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7"/>
      <c r="AU362" s="7"/>
      <c r="AV362" s="7"/>
      <c r="AW362" s="7"/>
      <c r="AX362" s="7"/>
      <c r="AY362" s="7"/>
      <c r="AZ362" s="7"/>
      <c r="BA362" s="7"/>
      <c r="BB362" s="7"/>
      <c r="BC362" s="7"/>
      <c r="BD362" s="7"/>
      <c r="BE362" s="7"/>
      <c r="BF362" s="7"/>
      <c r="BG362" s="7"/>
      <c r="BH362" s="7"/>
      <c r="BI362" s="7"/>
      <c r="BJ362" s="7"/>
      <c r="BK362" s="7"/>
      <c r="BL362" s="7"/>
      <c r="BM362" s="7"/>
    </row>
    <row r="363" spans="3:65" x14ac:dyDescent="0.2"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7"/>
      <c r="AU363" s="7"/>
      <c r="AV363" s="7"/>
      <c r="AW363" s="7"/>
      <c r="AX363" s="7"/>
      <c r="AY363" s="7"/>
      <c r="AZ363" s="7"/>
      <c r="BA363" s="7"/>
      <c r="BB363" s="7"/>
      <c r="BC363" s="7"/>
      <c r="BD363" s="7"/>
      <c r="BE363" s="7"/>
      <c r="BF363" s="7"/>
      <c r="BG363" s="7"/>
      <c r="BH363" s="7"/>
      <c r="BI363" s="7"/>
      <c r="BJ363" s="7"/>
      <c r="BK363" s="7"/>
      <c r="BL363" s="7"/>
      <c r="BM363" s="7"/>
    </row>
    <row r="364" spans="3:65" x14ac:dyDescent="0.2"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  <c r="AN364" s="3"/>
      <c r="AO364" s="3"/>
      <c r="AP364" s="3"/>
      <c r="AQ364" s="3"/>
      <c r="AR364" s="3"/>
      <c r="AS364" s="3"/>
      <c r="AT364" s="7"/>
      <c r="AU364" s="7"/>
      <c r="AV364" s="7"/>
      <c r="AW364" s="7"/>
      <c r="AX364" s="7"/>
      <c r="AY364" s="7"/>
      <c r="AZ364" s="7"/>
      <c r="BA364" s="7"/>
      <c r="BB364" s="7"/>
      <c r="BC364" s="7"/>
      <c r="BD364" s="7"/>
      <c r="BE364" s="7"/>
      <c r="BF364" s="7"/>
      <c r="BG364" s="7"/>
      <c r="BH364" s="7"/>
      <c r="BI364" s="7"/>
      <c r="BJ364" s="7"/>
      <c r="BK364" s="7"/>
      <c r="BL364" s="7"/>
      <c r="BM364" s="7"/>
    </row>
    <row r="365" spans="3:65" x14ac:dyDescent="0.2"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  <c r="AN365" s="3"/>
      <c r="AO365" s="3"/>
      <c r="AP365" s="3"/>
      <c r="AQ365" s="3"/>
      <c r="AR365" s="3"/>
      <c r="AS365" s="3"/>
      <c r="AT365" s="7"/>
      <c r="AU365" s="7"/>
      <c r="AV365" s="7"/>
      <c r="AW365" s="7"/>
      <c r="AX365" s="7"/>
      <c r="AY365" s="7"/>
      <c r="AZ365" s="7"/>
      <c r="BA365" s="7"/>
      <c r="BB365" s="7"/>
      <c r="BC365" s="7"/>
      <c r="BD365" s="7"/>
      <c r="BE365" s="7"/>
      <c r="BF365" s="7"/>
      <c r="BG365" s="7"/>
      <c r="BH365" s="7"/>
      <c r="BI365" s="7"/>
      <c r="BJ365" s="7"/>
      <c r="BK365" s="7"/>
      <c r="BL365" s="7"/>
      <c r="BM365" s="7"/>
    </row>
    <row r="366" spans="3:65" x14ac:dyDescent="0.2"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7"/>
      <c r="AU366" s="7"/>
      <c r="AV366" s="7"/>
      <c r="AW366" s="7"/>
      <c r="AX366" s="7"/>
      <c r="AY366" s="7"/>
      <c r="AZ366" s="7"/>
      <c r="BA366" s="7"/>
      <c r="BB366" s="7"/>
      <c r="BC366" s="7"/>
      <c r="BD366" s="7"/>
      <c r="BE366" s="7"/>
      <c r="BF366" s="7"/>
      <c r="BG366" s="7"/>
      <c r="BH366" s="7"/>
      <c r="BI366" s="7"/>
      <c r="BJ366" s="7"/>
      <c r="BK366" s="7"/>
      <c r="BL366" s="7"/>
      <c r="BM366" s="7"/>
    </row>
    <row r="367" spans="3:65" x14ac:dyDescent="0.2"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7"/>
      <c r="AU367" s="7"/>
      <c r="AV367" s="7"/>
      <c r="AW367" s="7"/>
      <c r="AX367" s="7"/>
      <c r="AY367" s="7"/>
      <c r="AZ367" s="7"/>
      <c r="BA367" s="7"/>
      <c r="BB367" s="7"/>
      <c r="BC367" s="7"/>
      <c r="BD367" s="7"/>
      <c r="BE367" s="7"/>
      <c r="BF367" s="7"/>
      <c r="BG367" s="7"/>
      <c r="BH367" s="7"/>
      <c r="BI367" s="7"/>
      <c r="BJ367" s="7"/>
      <c r="BK367" s="7"/>
      <c r="BL367" s="7"/>
      <c r="BM367" s="7"/>
    </row>
    <row r="368" spans="3:65" x14ac:dyDescent="0.2"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7"/>
      <c r="AU368" s="7"/>
      <c r="AV368" s="7"/>
      <c r="AW368" s="7"/>
      <c r="AX368" s="7"/>
      <c r="AY368" s="7"/>
      <c r="AZ368" s="7"/>
      <c r="BA368" s="7"/>
      <c r="BB368" s="7"/>
      <c r="BC368" s="7"/>
      <c r="BD368" s="7"/>
      <c r="BE368" s="7"/>
      <c r="BF368" s="7"/>
      <c r="BG368" s="7"/>
      <c r="BH368" s="7"/>
      <c r="BI368" s="7"/>
      <c r="BJ368" s="7"/>
      <c r="BK368" s="7"/>
      <c r="BL368" s="7"/>
      <c r="BM368" s="7"/>
    </row>
    <row r="369" spans="3:65" x14ac:dyDescent="0.2"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7"/>
      <c r="AU369" s="7"/>
      <c r="AV369" s="7"/>
      <c r="AW369" s="7"/>
      <c r="AX369" s="7"/>
      <c r="AY369" s="7"/>
      <c r="AZ369" s="7"/>
      <c r="BA369" s="7"/>
      <c r="BB369" s="7"/>
      <c r="BC369" s="7"/>
      <c r="BD369" s="7"/>
      <c r="BE369" s="7"/>
      <c r="BF369" s="7"/>
      <c r="BG369" s="7"/>
      <c r="BH369" s="7"/>
      <c r="BI369" s="7"/>
      <c r="BJ369" s="7"/>
      <c r="BK369" s="7"/>
      <c r="BL369" s="7"/>
      <c r="BM369" s="7"/>
    </row>
    <row r="370" spans="3:65" x14ac:dyDescent="0.2"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7"/>
      <c r="AU370" s="7"/>
      <c r="AV370" s="7"/>
      <c r="AW370" s="7"/>
      <c r="AX370" s="7"/>
      <c r="AY370" s="7"/>
      <c r="AZ370" s="7"/>
      <c r="BA370" s="7"/>
      <c r="BB370" s="7"/>
      <c r="BC370" s="7"/>
      <c r="BD370" s="7"/>
      <c r="BE370" s="7"/>
      <c r="BF370" s="7"/>
      <c r="BG370" s="7"/>
      <c r="BH370" s="7"/>
      <c r="BI370" s="7"/>
      <c r="BJ370" s="7"/>
      <c r="BK370" s="7"/>
      <c r="BL370" s="7"/>
      <c r="BM370" s="7"/>
    </row>
    <row r="371" spans="3:65" x14ac:dyDescent="0.2"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7"/>
      <c r="AU371" s="7"/>
      <c r="AV371" s="7"/>
      <c r="AW371" s="7"/>
      <c r="AX371" s="7"/>
      <c r="AY371" s="7"/>
      <c r="AZ371" s="7"/>
      <c r="BA371" s="7"/>
      <c r="BB371" s="7"/>
      <c r="BC371" s="7"/>
      <c r="BD371" s="7"/>
      <c r="BE371" s="7"/>
      <c r="BF371" s="7"/>
      <c r="BG371" s="7"/>
      <c r="BH371" s="7"/>
      <c r="BI371" s="7"/>
      <c r="BJ371" s="7"/>
      <c r="BK371" s="7"/>
      <c r="BL371" s="7"/>
      <c r="BM371" s="7"/>
    </row>
    <row r="372" spans="3:65" x14ac:dyDescent="0.2"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7"/>
      <c r="AU372" s="7"/>
      <c r="AV372" s="7"/>
      <c r="AW372" s="7"/>
      <c r="AX372" s="7"/>
      <c r="AY372" s="7"/>
      <c r="AZ372" s="7"/>
      <c r="BA372" s="7"/>
      <c r="BB372" s="7"/>
      <c r="BC372" s="7"/>
      <c r="BD372" s="7"/>
      <c r="BE372" s="7"/>
      <c r="BF372" s="7"/>
      <c r="BG372" s="7"/>
      <c r="BH372" s="7"/>
      <c r="BI372" s="7"/>
      <c r="BJ372" s="7"/>
      <c r="BK372" s="7"/>
      <c r="BL372" s="7"/>
      <c r="BM372" s="7"/>
    </row>
    <row r="373" spans="3:65" x14ac:dyDescent="0.2"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7"/>
      <c r="AU373" s="7"/>
      <c r="AV373" s="7"/>
      <c r="AW373" s="7"/>
      <c r="AX373" s="7"/>
      <c r="AY373" s="7"/>
      <c r="AZ373" s="7"/>
      <c r="BA373" s="7"/>
      <c r="BB373" s="7"/>
      <c r="BC373" s="7"/>
      <c r="BD373" s="7"/>
      <c r="BE373" s="7"/>
      <c r="BF373" s="7"/>
      <c r="BG373" s="7"/>
      <c r="BH373" s="7"/>
      <c r="BI373" s="7"/>
      <c r="BJ373" s="7"/>
      <c r="BK373" s="7"/>
      <c r="BL373" s="7"/>
      <c r="BM373" s="7"/>
    </row>
    <row r="374" spans="3:65" x14ac:dyDescent="0.2"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7"/>
      <c r="AU374" s="7"/>
      <c r="AV374" s="7"/>
      <c r="AW374" s="7"/>
      <c r="AX374" s="7"/>
      <c r="AY374" s="7"/>
      <c r="AZ374" s="7"/>
      <c r="BA374" s="7"/>
      <c r="BB374" s="7"/>
      <c r="BC374" s="7"/>
      <c r="BD374" s="7"/>
      <c r="BE374" s="7"/>
      <c r="BF374" s="7"/>
      <c r="BG374" s="7"/>
      <c r="BH374" s="7"/>
      <c r="BI374" s="7"/>
      <c r="BJ374" s="7"/>
      <c r="BK374" s="7"/>
      <c r="BL374" s="7"/>
      <c r="BM374" s="7"/>
    </row>
    <row r="375" spans="3:65" x14ac:dyDescent="0.2"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7"/>
      <c r="AU375" s="7"/>
      <c r="AV375" s="7"/>
      <c r="AW375" s="7"/>
      <c r="AX375" s="7"/>
      <c r="AY375" s="7"/>
      <c r="AZ375" s="7"/>
      <c r="BA375" s="7"/>
      <c r="BB375" s="7"/>
      <c r="BC375" s="7"/>
      <c r="BD375" s="7"/>
      <c r="BE375" s="7"/>
      <c r="BF375" s="7"/>
      <c r="BG375" s="7"/>
      <c r="BH375" s="7"/>
      <c r="BI375" s="7"/>
      <c r="BJ375" s="7"/>
      <c r="BK375" s="7"/>
      <c r="BL375" s="7"/>
      <c r="BM375" s="7"/>
    </row>
    <row r="376" spans="3:65" x14ac:dyDescent="0.2"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7"/>
      <c r="AU376" s="7"/>
      <c r="AV376" s="7"/>
      <c r="AW376" s="7"/>
      <c r="AX376" s="7"/>
      <c r="AY376" s="7"/>
      <c r="AZ376" s="7"/>
      <c r="BA376" s="7"/>
      <c r="BB376" s="7"/>
      <c r="BC376" s="7"/>
      <c r="BD376" s="7"/>
      <c r="BE376" s="7"/>
      <c r="BF376" s="7"/>
      <c r="BG376" s="7"/>
      <c r="BH376" s="7"/>
      <c r="BI376" s="7"/>
      <c r="BJ376" s="7"/>
      <c r="BK376" s="7"/>
      <c r="BL376" s="7"/>
      <c r="BM376" s="7"/>
    </row>
    <row r="377" spans="3:65" x14ac:dyDescent="0.2"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7"/>
      <c r="AU377" s="7"/>
      <c r="AV377" s="7"/>
      <c r="AW377" s="7"/>
      <c r="AX377" s="7"/>
      <c r="AY377" s="7"/>
      <c r="AZ377" s="7"/>
      <c r="BA377" s="7"/>
      <c r="BB377" s="7"/>
      <c r="BC377" s="7"/>
      <c r="BD377" s="7"/>
      <c r="BE377" s="7"/>
      <c r="BF377" s="7"/>
      <c r="BG377" s="7"/>
      <c r="BH377" s="7"/>
      <c r="BI377" s="7"/>
      <c r="BJ377" s="7"/>
      <c r="BK377" s="7"/>
      <c r="BL377" s="7"/>
      <c r="BM377" s="7"/>
    </row>
    <row r="378" spans="3:65" x14ac:dyDescent="0.2"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  <c r="AR378" s="3"/>
      <c r="AS378" s="3"/>
      <c r="AT378" s="7"/>
      <c r="AU378" s="7"/>
      <c r="AV378" s="7"/>
      <c r="AW378" s="7"/>
      <c r="AX378" s="7"/>
      <c r="AY378" s="7"/>
      <c r="AZ378" s="7"/>
      <c r="BA378" s="7"/>
      <c r="BB378" s="7"/>
      <c r="BC378" s="7"/>
      <c r="BD378" s="7"/>
      <c r="BE378" s="7"/>
      <c r="BF378" s="7"/>
      <c r="BG378" s="7"/>
      <c r="BH378" s="7"/>
      <c r="BI378" s="7"/>
      <c r="BJ378" s="7"/>
      <c r="BK378" s="7"/>
      <c r="BL378" s="7"/>
      <c r="BM378" s="7"/>
    </row>
    <row r="379" spans="3:65" x14ac:dyDescent="0.2"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  <c r="AN379" s="3"/>
      <c r="AO379" s="3"/>
      <c r="AP379" s="3"/>
      <c r="AQ379" s="3"/>
      <c r="AR379" s="3"/>
      <c r="AS379" s="3"/>
      <c r="AT379" s="7"/>
      <c r="AU379" s="7"/>
      <c r="AV379" s="7"/>
      <c r="AW379" s="7"/>
      <c r="AX379" s="7"/>
      <c r="AY379" s="7"/>
      <c r="AZ379" s="7"/>
      <c r="BA379" s="7"/>
      <c r="BB379" s="7"/>
      <c r="BC379" s="7"/>
      <c r="BD379" s="7"/>
      <c r="BE379" s="7"/>
      <c r="BF379" s="7"/>
      <c r="BG379" s="7"/>
      <c r="BH379" s="7"/>
      <c r="BI379" s="7"/>
      <c r="BJ379" s="7"/>
      <c r="BK379" s="7"/>
      <c r="BL379" s="7"/>
      <c r="BM379" s="7"/>
    </row>
    <row r="380" spans="3:65" x14ac:dyDescent="0.2"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7"/>
      <c r="AU380" s="7"/>
      <c r="AV380" s="7"/>
      <c r="AW380" s="7"/>
      <c r="AX380" s="7"/>
      <c r="AY380" s="7"/>
      <c r="AZ380" s="7"/>
      <c r="BA380" s="7"/>
      <c r="BB380" s="7"/>
      <c r="BC380" s="7"/>
      <c r="BD380" s="7"/>
      <c r="BE380" s="7"/>
      <c r="BF380" s="7"/>
      <c r="BG380" s="7"/>
      <c r="BH380" s="7"/>
      <c r="BI380" s="7"/>
      <c r="BJ380" s="7"/>
      <c r="BK380" s="7"/>
      <c r="BL380" s="7"/>
      <c r="BM380" s="7"/>
    </row>
    <row r="381" spans="3:65" x14ac:dyDescent="0.2"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7"/>
      <c r="AU381" s="7"/>
      <c r="AV381" s="7"/>
      <c r="AW381" s="7"/>
      <c r="AX381" s="7"/>
      <c r="AY381" s="7"/>
      <c r="AZ381" s="7"/>
      <c r="BA381" s="7"/>
      <c r="BB381" s="7"/>
      <c r="BC381" s="7"/>
      <c r="BD381" s="7"/>
      <c r="BE381" s="7"/>
      <c r="BF381" s="7"/>
      <c r="BG381" s="7"/>
      <c r="BH381" s="7"/>
      <c r="BI381" s="7"/>
      <c r="BJ381" s="7"/>
      <c r="BK381" s="7"/>
      <c r="BL381" s="7"/>
      <c r="BM381" s="7"/>
    </row>
    <row r="382" spans="3:65" x14ac:dyDescent="0.2"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7"/>
      <c r="AU382" s="7"/>
      <c r="AV382" s="7"/>
      <c r="AW382" s="7"/>
      <c r="AX382" s="7"/>
      <c r="AY382" s="7"/>
      <c r="AZ382" s="7"/>
      <c r="BA382" s="7"/>
      <c r="BB382" s="7"/>
      <c r="BC382" s="7"/>
      <c r="BD382" s="7"/>
      <c r="BE382" s="7"/>
      <c r="BF382" s="7"/>
      <c r="BG382" s="7"/>
      <c r="BH382" s="7"/>
      <c r="BI382" s="7"/>
      <c r="BJ382" s="7"/>
      <c r="BK382" s="7"/>
      <c r="BL382" s="7"/>
      <c r="BM382" s="7"/>
    </row>
    <row r="383" spans="3:65" x14ac:dyDescent="0.2"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7"/>
      <c r="AU383" s="7"/>
      <c r="AV383" s="7"/>
      <c r="AW383" s="7"/>
      <c r="AX383" s="7"/>
      <c r="AY383" s="7"/>
      <c r="AZ383" s="7"/>
      <c r="BA383" s="7"/>
      <c r="BB383" s="7"/>
      <c r="BC383" s="7"/>
      <c r="BD383" s="7"/>
      <c r="BE383" s="7"/>
      <c r="BF383" s="7"/>
      <c r="BG383" s="7"/>
      <c r="BH383" s="7"/>
      <c r="BI383" s="7"/>
      <c r="BJ383" s="7"/>
      <c r="BK383" s="7"/>
      <c r="BL383" s="7"/>
      <c r="BM383" s="7"/>
    </row>
    <row r="384" spans="3:65" x14ac:dyDescent="0.2"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7"/>
      <c r="AU384" s="7"/>
      <c r="AV384" s="7"/>
      <c r="AW384" s="7"/>
      <c r="AX384" s="7"/>
      <c r="AY384" s="7"/>
      <c r="AZ384" s="7"/>
      <c r="BA384" s="7"/>
      <c r="BB384" s="7"/>
      <c r="BC384" s="7"/>
      <c r="BD384" s="7"/>
      <c r="BE384" s="7"/>
      <c r="BF384" s="7"/>
      <c r="BG384" s="7"/>
      <c r="BH384" s="7"/>
      <c r="BI384" s="7"/>
      <c r="BJ384" s="7"/>
      <c r="BK384" s="7"/>
      <c r="BL384" s="7"/>
      <c r="BM384" s="7"/>
    </row>
    <row r="385" spans="3:65" x14ac:dyDescent="0.2"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7"/>
      <c r="AU385" s="7"/>
      <c r="AV385" s="7"/>
      <c r="AW385" s="7"/>
      <c r="AX385" s="7"/>
      <c r="AY385" s="7"/>
      <c r="AZ385" s="7"/>
      <c r="BA385" s="7"/>
      <c r="BB385" s="7"/>
      <c r="BC385" s="7"/>
      <c r="BD385" s="7"/>
      <c r="BE385" s="7"/>
      <c r="BF385" s="7"/>
      <c r="BG385" s="7"/>
      <c r="BH385" s="7"/>
      <c r="BI385" s="7"/>
      <c r="BJ385" s="7"/>
      <c r="BK385" s="7"/>
      <c r="BL385" s="7"/>
      <c r="BM385" s="7"/>
    </row>
    <row r="386" spans="3:65" x14ac:dyDescent="0.2"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7"/>
      <c r="AU386" s="7"/>
      <c r="AV386" s="7"/>
      <c r="AW386" s="7"/>
      <c r="AX386" s="7"/>
      <c r="AY386" s="7"/>
      <c r="AZ386" s="7"/>
      <c r="BA386" s="7"/>
      <c r="BB386" s="7"/>
      <c r="BC386" s="7"/>
      <c r="BD386" s="7"/>
      <c r="BE386" s="7"/>
      <c r="BF386" s="7"/>
      <c r="BG386" s="7"/>
      <c r="BH386" s="7"/>
      <c r="BI386" s="7"/>
      <c r="BJ386" s="7"/>
      <c r="BK386" s="7"/>
      <c r="BL386" s="7"/>
      <c r="BM386" s="7"/>
    </row>
    <row r="387" spans="3:65" x14ac:dyDescent="0.2"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7"/>
      <c r="AU387" s="7"/>
      <c r="AV387" s="7"/>
      <c r="AW387" s="7"/>
      <c r="AX387" s="7"/>
      <c r="AY387" s="7"/>
      <c r="AZ387" s="7"/>
      <c r="BA387" s="7"/>
      <c r="BB387" s="7"/>
      <c r="BC387" s="7"/>
      <c r="BD387" s="7"/>
      <c r="BE387" s="7"/>
      <c r="BF387" s="7"/>
      <c r="BG387" s="7"/>
      <c r="BH387" s="7"/>
      <c r="BI387" s="7"/>
      <c r="BJ387" s="7"/>
      <c r="BK387" s="7"/>
      <c r="BL387" s="7"/>
      <c r="BM387" s="7"/>
    </row>
    <row r="388" spans="3:65" x14ac:dyDescent="0.2"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7"/>
      <c r="AU388" s="7"/>
      <c r="AV388" s="7"/>
      <c r="AW388" s="7"/>
      <c r="AX388" s="7"/>
      <c r="AY388" s="7"/>
      <c r="AZ388" s="7"/>
      <c r="BA388" s="7"/>
      <c r="BB388" s="7"/>
      <c r="BC388" s="7"/>
      <c r="BD388" s="7"/>
      <c r="BE388" s="7"/>
      <c r="BF388" s="7"/>
      <c r="BG388" s="7"/>
      <c r="BH388" s="7"/>
      <c r="BI388" s="7"/>
      <c r="BJ388" s="7"/>
      <c r="BK388" s="7"/>
      <c r="BL388" s="7"/>
      <c r="BM388" s="7"/>
    </row>
    <row r="389" spans="3:65" x14ac:dyDescent="0.2"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7"/>
      <c r="AU389" s="7"/>
      <c r="AV389" s="7"/>
      <c r="AW389" s="7"/>
      <c r="AX389" s="7"/>
      <c r="AY389" s="7"/>
      <c r="AZ389" s="7"/>
      <c r="BA389" s="7"/>
      <c r="BB389" s="7"/>
      <c r="BC389" s="7"/>
      <c r="BD389" s="7"/>
      <c r="BE389" s="7"/>
      <c r="BF389" s="7"/>
      <c r="BG389" s="7"/>
      <c r="BH389" s="7"/>
      <c r="BI389" s="7"/>
      <c r="BJ389" s="7"/>
      <c r="BK389" s="7"/>
      <c r="BL389" s="7"/>
      <c r="BM389" s="7"/>
    </row>
    <row r="390" spans="3:65" x14ac:dyDescent="0.2"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7"/>
      <c r="AU390" s="7"/>
      <c r="AV390" s="7"/>
      <c r="AW390" s="7"/>
      <c r="AX390" s="7"/>
      <c r="AY390" s="7"/>
      <c r="AZ390" s="7"/>
      <c r="BA390" s="7"/>
      <c r="BB390" s="7"/>
      <c r="BC390" s="7"/>
      <c r="BD390" s="7"/>
      <c r="BE390" s="7"/>
      <c r="BF390" s="7"/>
      <c r="BG390" s="7"/>
      <c r="BH390" s="7"/>
      <c r="BI390" s="7"/>
      <c r="BJ390" s="7"/>
      <c r="BK390" s="7"/>
      <c r="BL390" s="7"/>
      <c r="BM390" s="7"/>
    </row>
    <row r="391" spans="3:65" x14ac:dyDescent="0.2"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7"/>
      <c r="AU391" s="7"/>
      <c r="AV391" s="7"/>
      <c r="AW391" s="7"/>
      <c r="AX391" s="7"/>
      <c r="AY391" s="7"/>
      <c r="AZ391" s="7"/>
      <c r="BA391" s="7"/>
      <c r="BB391" s="7"/>
      <c r="BC391" s="7"/>
      <c r="BD391" s="7"/>
      <c r="BE391" s="7"/>
      <c r="BF391" s="7"/>
      <c r="BG391" s="7"/>
      <c r="BH391" s="7"/>
      <c r="BI391" s="7"/>
      <c r="BJ391" s="7"/>
      <c r="BK391" s="7"/>
      <c r="BL391" s="7"/>
      <c r="BM391" s="7"/>
    </row>
    <row r="392" spans="3:65" x14ac:dyDescent="0.2"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  <c r="AM392" s="3"/>
      <c r="AN392" s="3"/>
      <c r="AO392" s="3"/>
      <c r="AP392" s="3"/>
      <c r="AQ392" s="3"/>
      <c r="AR392" s="3"/>
      <c r="AS392" s="3"/>
      <c r="AT392" s="7"/>
      <c r="AU392" s="7"/>
      <c r="AV392" s="7"/>
      <c r="AW392" s="7"/>
      <c r="AX392" s="7"/>
      <c r="AY392" s="7"/>
      <c r="AZ392" s="7"/>
      <c r="BA392" s="7"/>
      <c r="BB392" s="7"/>
      <c r="BC392" s="7"/>
      <c r="BD392" s="7"/>
      <c r="BE392" s="7"/>
      <c r="BF392" s="7"/>
      <c r="BG392" s="7"/>
      <c r="BH392" s="7"/>
      <c r="BI392" s="7"/>
      <c r="BJ392" s="7"/>
      <c r="BK392" s="7"/>
      <c r="BL392" s="7"/>
      <c r="BM392" s="7"/>
    </row>
    <row r="393" spans="3:65" x14ac:dyDescent="0.2"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  <c r="AM393" s="3"/>
      <c r="AN393" s="3"/>
      <c r="AO393" s="3"/>
      <c r="AP393" s="3"/>
      <c r="AQ393" s="3"/>
      <c r="AR393" s="3"/>
      <c r="AS393" s="3"/>
      <c r="AT393" s="7"/>
      <c r="AU393" s="7"/>
      <c r="AV393" s="7"/>
      <c r="AW393" s="7"/>
      <c r="AX393" s="7"/>
      <c r="AY393" s="7"/>
      <c r="AZ393" s="7"/>
      <c r="BA393" s="7"/>
      <c r="BB393" s="7"/>
      <c r="BC393" s="7"/>
      <c r="BD393" s="7"/>
      <c r="BE393" s="7"/>
      <c r="BF393" s="7"/>
      <c r="BG393" s="7"/>
      <c r="BH393" s="7"/>
      <c r="BI393" s="7"/>
      <c r="BJ393" s="7"/>
      <c r="BK393" s="7"/>
      <c r="BL393" s="7"/>
      <c r="BM393" s="7"/>
    </row>
    <row r="394" spans="3:65" x14ac:dyDescent="0.2"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7"/>
      <c r="AU394" s="7"/>
      <c r="AV394" s="7"/>
      <c r="AW394" s="7"/>
      <c r="AX394" s="7"/>
      <c r="AY394" s="7"/>
      <c r="AZ394" s="7"/>
      <c r="BA394" s="7"/>
      <c r="BB394" s="7"/>
      <c r="BC394" s="7"/>
      <c r="BD394" s="7"/>
      <c r="BE394" s="7"/>
      <c r="BF394" s="7"/>
      <c r="BG394" s="7"/>
      <c r="BH394" s="7"/>
      <c r="BI394" s="7"/>
      <c r="BJ394" s="7"/>
      <c r="BK394" s="7"/>
      <c r="BL394" s="7"/>
      <c r="BM394" s="7"/>
    </row>
    <row r="395" spans="3:65" x14ac:dyDescent="0.2"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7"/>
      <c r="AU395" s="7"/>
      <c r="AV395" s="7"/>
      <c r="AW395" s="7"/>
      <c r="AX395" s="7"/>
      <c r="AY395" s="7"/>
      <c r="AZ395" s="7"/>
      <c r="BA395" s="7"/>
      <c r="BB395" s="7"/>
      <c r="BC395" s="7"/>
      <c r="BD395" s="7"/>
      <c r="BE395" s="7"/>
      <c r="BF395" s="7"/>
      <c r="BG395" s="7"/>
      <c r="BH395" s="7"/>
      <c r="BI395" s="7"/>
      <c r="BJ395" s="7"/>
      <c r="BK395" s="7"/>
      <c r="BL395" s="7"/>
      <c r="BM395" s="7"/>
    </row>
    <row r="396" spans="3:65" x14ac:dyDescent="0.2"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7"/>
      <c r="AU396" s="7"/>
      <c r="AV396" s="7"/>
      <c r="AW396" s="7"/>
      <c r="AX396" s="7"/>
      <c r="AY396" s="7"/>
      <c r="AZ396" s="7"/>
      <c r="BA396" s="7"/>
      <c r="BB396" s="7"/>
      <c r="BC396" s="7"/>
      <c r="BD396" s="7"/>
      <c r="BE396" s="7"/>
      <c r="BF396" s="7"/>
      <c r="BG396" s="7"/>
      <c r="BH396" s="7"/>
      <c r="BI396" s="7"/>
      <c r="BJ396" s="7"/>
      <c r="BK396" s="7"/>
      <c r="BL396" s="7"/>
      <c r="BM396" s="7"/>
    </row>
    <row r="397" spans="3:65" x14ac:dyDescent="0.2"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7"/>
      <c r="AU397" s="7"/>
      <c r="AV397" s="7"/>
      <c r="AW397" s="7"/>
      <c r="AX397" s="7"/>
      <c r="AY397" s="7"/>
      <c r="AZ397" s="7"/>
      <c r="BA397" s="7"/>
      <c r="BB397" s="7"/>
      <c r="BC397" s="7"/>
      <c r="BD397" s="7"/>
      <c r="BE397" s="7"/>
      <c r="BF397" s="7"/>
      <c r="BG397" s="7"/>
      <c r="BH397" s="7"/>
      <c r="BI397" s="7"/>
      <c r="BJ397" s="7"/>
      <c r="BK397" s="7"/>
      <c r="BL397" s="7"/>
      <c r="BM397" s="7"/>
    </row>
    <row r="398" spans="3:65" x14ac:dyDescent="0.2"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7"/>
      <c r="AU398" s="7"/>
      <c r="AV398" s="7"/>
      <c r="AW398" s="7"/>
      <c r="AX398" s="7"/>
      <c r="AY398" s="7"/>
      <c r="AZ398" s="7"/>
      <c r="BA398" s="7"/>
      <c r="BB398" s="7"/>
      <c r="BC398" s="7"/>
      <c r="BD398" s="7"/>
      <c r="BE398" s="7"/>
      <c r="BF398" s="7"/>
      <c r="BG398" s="7"/>
      <c r="BH398" s="7"/>
      <c r="BI398" s="7"/>
      <c r="BJ398" s="7"/>
      <c r="BK398" s="7"/>
      <c r="BL398" s="7"/>
      <c r="BM398" s="7"/>
    </row>
    <row r="399" spans="3:65" x14ac:dyDescent="0.2"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7"/>
      <c r="AU399" s="7"/>
      <c r="AV399" s="7"/>
      <c r="AW399" s="7"/>
      <c r="AX399" s="7"/>
      <c r="AY399" s="7"/>
      <c r="AZ399" s="7"/>
      <c r="BA399" s="7"/>
      <c r="BB399" s="7"/>
      <c r="BC399" s="7"/>
      <c r="BD399" s="7"/>
      <c r="BE399" s="7"/>
      <c r="BF399" s="7"/>
      <c r="BG399" s="7"/>
      <c r="BH399" s="7"/>
      <c r="BI399" s="7"/>
      <c r="BJ399" s="7"/>
      <c r="BK399" s="7"/>
      <c r="BL399" s="7"/>
      <c r="BM399" s="7"/>
    </row>
    <row r="400" spans="3:65" x14ac:dyDescent="0.2"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7"/>
      <c r="AU400" s="7"/>
      <c r="AV400" s="7"/>
      <c r="AW400" s="7"/>
      <c r="AX400" s="7"/>
      <c r="AY400" s="7"/>
      <c r="AZ400" s="7"/>
      <c r="BA400" s="7"/>
      <c r="BB400" s="7"/>
      <c r="BC400" s="7"/>
      <c r="BD400" s="7"/>
      <c r="BE400" s="7"/>
      <c r="BF400" s="7"/>
      <c r="BG400" s="7"/>
      <c r="BH400" s="7"/>
      <c r="BI400" s="7"/>
      <c r="BJ400" s="7"/>
      <c r="BK400" s="7"/>
      <c r="BL400" s="7"/>
      <c r="BM400" s="7"/>
    </row>
    <row r="401" spans="3:65" x14ac:dyDescent="0.2"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7"/>
      <c r="AU401" s="7"/>
      <c r="AV401" s="7"/>
      <c r="AW401" s="7"/>
      <c r="AX401" s="7"/>
      <c r="AY401" s="7"/>
      <c r="AZ401" s="7"/>
      <c r="BA401" s="7"/>
      <c r="BB401" s="7"/>
      <c r="BC401" s="7"/>
      <c r="BD401" s="7"/>
      <c r="BE401" s="7"/>
      <c r="BF401" s="7"/>
      <c r="BG401" s="7"/>
      <c r="BH401" s="7"/>
      <c r="BI401" s="7"/>
      <c r="BJ401" s="7"/>
      <c r="BK401" s="7"/>
      <c r="BL401" s="7"/>
      <c r="BM401" s="7"/>
    </row>
    <row r="402" spans="3:65" x14ac:dyDescent="0.2"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7"/>
      <c r="AU402" s="7"/>
      <c r="AV402" s="7"/>
      <c r="AW402" s="7"/>
      <c r="AX402" s="7"/>
      <c r="AY402" s="7"/>
      <c r="AZ402" s="7"/>
      <c r="BA402" s="7"/>
      <c r="BB402" s="7"/>
      <c r="BC402" s="7"/>
      <c r="BD402" s="7"/>
      <c r="BE402" s="7"/>
      <c r="BF402" s="7"/>
      <c r="BG402" s="7"/>
      <c r="BH402" s="7"/>
      <c r="BI402" s="7"/>
      <c r="BJ402" s="7"/>
      <c r="BK402" s="7"/>
      <c r="BL402" s="7"/>
      <c r="BM402" s="7"/>
    </row>
    <row r="403" spans="3:65" x14ac:dyDescent="0.2"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7"/>
      <c r="AU403" s="7"/>
      <c r="AV403" s="7"/>
      <c r="AW403" s="7"/>
      <c r="AX403" s="7"/>
      <c r="AY403" s="7"/>
      <c r="AZ403" s="7"/>
      <c r="BA403" s="7"/>
      <c r="BB403" s="7"/>
      <c r="BC403" s="7"/>
      <c r="BD403" s="7"/>
      <c r="BE403" s="7"/>
      <c r="BF403" s="7"/>
      <c r="BG403" s="7"/>
      <c r="BH403" s="7"/>
      <c r="BI403" s="7"/>
      <c r="BJ403" s="7"/>
      <c r="BK403" s="7"/>
      <c r="BL403" s="7"/>
      <c r="BM403" s="7"/>
    </row>
    <row r="404" spans="3:65" x14ac:dyDescent="0.2"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7"/>
      <c r="AU404" s="7"/>
      <c r="AV404" s="7"/>
      <c r="AW404" s="7"/>
      <c r="AX404" s="7"/>
      <c r="AY404" s="7"/>
      <c r="AZ404" s="7"/>
      <c r="BA404" s="7"/>
      <c r="BB404" s="7"/>
      <c r="BC404" s="7"/>
      <c r="BD404" s="7"/>
      <c r="BE404" s="7"/>
      <c r="BF404" s="7"/>
      <c r="BG404" s="7"/>
      <c r="BH404" s="7"/>
      <c r="BI404" s="7"/>
      <c r="BJ404" s="7"/>
      <c r="BK404" s="7"/>
      <c r="BL404" s="7"/>
      <c r="BM404" s="7"/>
    </row>
    <row r="405" spans="3:65" x14ac:dyDescent="0.2"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7"/>
      <c r="AU405" s="7"/>
      <c r="AV405" s="7"/>
      <c r="AW405" s="7"/>
      <c r="AX405" s="7"/>
      <c r="AY405" s="7"/>
      <c r="AZ405" s="7"/>
      <c r="BA405" s="7"/>
      <c r="BB405" s="7"/>
      <c r="BC405" s="7"/>
      <c r="BD405" s="7"/>
      <c r="BE405" s="7"/>
      <c r="BF405" s="7"/>
      <c r="BG405" s="7"/>
      <c r="BH405" s="7"/>
      <c r="BI405" s="7"/>
      <c r="BJ405" s="7"/>
      <c r="BK405" s="7"/>
      <c r="BL405" s="7"/>
      <c r="BM405" s="7"/>
    </row>
    <row r="406" spans="3:65" x14ac:dyDescent="0.2"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3"/>
      <c r="AM406" s="3"/>
      <c r="AN406" s="3"/>
      <c r="AO406" s="3"/>
      <c r="AP406" s="3"/>
      <c r="AQ406" s="3"/>
      <c r="AR406" s="3"/>
      <c r="AS406" s="3"/>
      <c r="AT406" s="7"/>
      <c r="AU406" s="7"/>
      <c r="AV406" s="7"/>
      <c r="AW406" s="7"/>
      <c r="AX406" s="7"/>
      <c r="AY406" s="7"/>
      <c r="AZ406" s="7"/>
      <c r="BA406" s="7"/>
      <c r="BB406" s="7"/>
      <c r="BC406" s="7"/>
      <c r="BD406" s="7"/>
      <c r="BE406" s="7"/>
      <c r="BF406" s="7"/>
      <c r="BG406" s="7"/>
      <c r="BH406" s="7"/>
      <c r="BI406" s="7"/>
      <c r="BJ406" s="7"/>
      <c r="BK406" s="7"/>
      <c r="BL406" s="7"/>
      <c r="BM406" s="7"/>
    </row>
    <row r="407" spans="3:65" x14ac:dyDescent="0.2"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  <c r="AL407" s="3"/>
      <c r="AM407" s="3"/>
      <c r="AN407" s="3"/>
      <c r="AO407" s="3"/>
      <c r="AP407" s="3"/>
      <c r="AQ407" s="3"/>
      <c r="AR407" s="3"/>
      <c r="AS407" s="3"/>
      <c r="AT407" s="7"/>
      <c r="AU407" s="7"/>
      <c r="AV407" s="7"/>
      <c r="AW407" s="7"/>
      <c r="AX407" s="7"/>
      <c r="AY407" s="7"/>
      <c r="AZ407" s="7"/>
      <c r="BA407" s="7"/>
      <c r="BB407" s="7"/>
      <c r="BC407" s="7"/>
      <c r="BD407" s="7"/>
      <c r="BE407" s="7"/>
      <c r="BF407" s="7"/>
      <c r="BG407" s="7"/>
      <c r="BH407" s="7"/>
      <c r="BI407" s="7"/>
      <c r="BJ407" s="7"/>
      <c r="BK407" s="7"/>
      <c r="BL407" s="7"/>
      <c r="BM407" s="7"/>
    </row>
    <row r="408" spans="3:65" x14ac:dyDescent="0.2"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7"/>
      <c r="AU408" s="7"/>
      <c r="AV408" s="7"/>
      <c r="AW408" s="7"/>
      <c r="AX408" s="7"/>
      <c r="AY408" s="7"/>
      <c r="AZ408" s="7"/>
      <c r="BA408" s="7"/>
      <c r="BB408" s="7"/>
      <c r="BC408" s="7"/>
      <c r="BD408" s="7"/>
      <c r="BE408" s="7"/>
      <c r="BF408" s="7"/>
      <c r="BG408" s="7"/>
      <c r="BH408" s="7"/>
      <c r="BI408" s="7"/>
      <c r="BJ408" s="7"/>
      <c r="BK408" s="7"/>
      <c r="BL408" s="7"/>
      <c r="BM408" s="7"/>
    </row>
    <row r="409" spans="3:65" x14ac:dyDescent="0.2"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7"/>
      <c r="AU409" s="7"/>
      <c r="AV409" s="7"/>
      <c r="AW409" s="7"/>
      <c r="AX409" s="7"/>
      <c r="AY409" s="7"/>
      <c r="AZ409" s="7"/>
      <c r="BA409" s="7"/>
      <c r="BB409" s="7"/>
      <c r="BC409" s="7"/>
      <c r="BD409" s="7"/>
      <c r="BE409" s="7"/>
      <c r="BF409" s="7"/>
      <c r="BG409" s="7"/>
      <c r="BH409" s="7"/>
      <c r="BI409" s="7"/>
      <c r="BJ409" s="7"/>
      <c r="BK409" s="7"/>
      <c r="BL409" s="7"/>
      <c r="BM409" s="7"/>
    </row>
    <row r="410" spans="3:65" x14ac:dyDescent="0.2"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7"/>
      <c r="AU410" s="7"/>
      <c r="AV410" s="7"/>
      <c r="AW410" s="7"/>
      <c r="AX410" s="7"/>
      <c r="AY410" s="7"/>
      <c r="AZ410" s="7"/>
      <c r="BA410" s="7"/>
      <c r="BB410" s="7"/>
      <c r="BC410" s="7"/>
      <c r="BD410" s="7"/>
      <c r="BE410" s="7"/>
      <c r="BF410" s="7"/>
      <c r="BG410" s="7"/>
      <c r="BH410" s="7"/>
      <c r="BI410" s="7"/>
      <c r="BJ410" s="7"/>
      <c r="BK410" s="7"/>
      <c r="BL410" s="7"/>
      <c r="BM410" s="7"/>
    </row>
    <row r="411" spans="3:65" x14ac:dyDescent="0.2"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7"/>
      <c r="AU411" s="7"/>
      <c r="AV411" s="7"/>
      <c r="AW411" s="7"/>
      <c r="AX411" s="7"/>
      <c r="AY411" s="7"/>
      <c r="AZ411" s="7"/>
      <c r="BA411" s="7"/>
      <c r="BB411" s="7"/>
      <c r="BC411" s="7"/>
      <c r="BD411" s="7"/>
      <c r="BE411" s="7"/>
      <c r="BF411" s="7"/>
      <c r="BG411" s="7"/>
      <c r="BH411" s="7"/>
      <c r="BI411" s="7"/>
      <c r="BJ411" s="7"/>
      <c r="BK411" s="7"/>
      <c r="BL411" s="7"/>
      <c r="BM411" s="7"/>
    </row>
    <row r="412" spans="3:65" x14ac:dyDescent="0.2"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7"/>
      <c r="AU412" s="7"/>
      <c r="AV412" s="7"/>
      <c r="AW412" s="7"/>
      <c r="AX412" s="7"/>
      <c r="AY412" s="7"/>
      <c r="AZ412" s="7"/>
      <c r="BA412" s="7"/>
      <c r="BB412" s="7"/>
      <c r="BC412" s="7"/>
      <c r="BD412" s="7"/>
      <c r="BE412" s="7"/>
      <c r="BF412" s="7"/>
      <c r="BG412" s="7"/>
      <c r="BH412" s="7"/>
      <c r="BI412" s="7"/>
      <c r="BJ412" s="7"/>
      <c r="BK412" s="7"/>
      <c r="BL412" s="7"/>
      <c r="BM412" s="7"/>
    </row>
    <row r="413" spans="3:65" x14ac:dyDescent="0.2"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7"/>
      <c r="AU413" s="7"/>
      <c r="AV413" s="7"/>
      <c r="AW413" s="7"/>
      <c r="AX413" s="7"/>
      <c r="AY413" s="7"/>
      <c r="AZ413" s="7"/>
      <c r="BA413" s="7"/>
      <c r="BB413" s="7"/>
      <c r="BC413" s="7"/>
      <c r="BD413" s="7"/>
      <c r="BE413" s="7"/>
      <c r="BF413" s="7"/>
      <c r="BG413" s="7"/>
      <c r="BH413" s="7"/>
      <c r="BI413" s="7"/>
      <c r="BJ413" s="7"/>
      <c r="BK413" s="7"/>
      <c r="BL413" s="7"/>
      <c r="BM413" s="7"/>
    </row>
    <row r="414" spans="3:65" x14ac:dyDescent="0.2"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7"/>
      <c r="AU414" s="7"/>
      <c r="AV414" s="7"/>
      <c r="AW414" s="7"/>
      <c r="AX414" s="7"/>
      <c r="AY414" s="7"/>
      <c r="AZ414" s="7"/>
      <c r="BA414" s="7"/>
      <c r="BB414" s="7"/>
      <c r="BC414" s="7"/>
      <c r="BD414" s="7"/>
      <c r="BE414" s="7"/>
      <c r="BF414" s="7"/>
      <c r="BG414" s="7"/>
      <c r="BH414" s="7"/>
      <c r="BI414" s="7"/>
      <c r="BJ414" s="7"/>
      <c r="BK414" s="7"/>
      <c r="BL414" s="7"/>
      <c r="BM414" s="7"/>
    </row>
    <row r="415" spans="3:65" x14ac:dyDescent="0.2"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7"/>
      <c r="AU415" s="7"/>
      <c r="AV415" s="7"/>
      <c r="AW415" s="7"/>
      <c r="AX415" s="7"/>
      <c r="AY415" s="7"/>
      <c r="AZ415" s="7"/>
      <c r="BA415" s="7"/>
      <c r="BB415" s="7"/>
      <c r="BC415" s="7"/>
      <c r="BD415" s="7"/>
      <c r="BE415" s="7"/>
      <c r="BF415" s="7"/>
      <c r="BG415" s="7"/>
      <c r="BH415" s="7"/>
      <c r="BI415" s="7"/>
      <c r="BJ415" s="7"/>
      <c r="BK415" s="7"/>
      <c r="BL415" s="7"/>
      <c r="BM415" s="7"/>
    </row>
    <row r="416" spans="3:65" x14ac:dyDescent="0.2"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7"/>
      <c r="AU416" s="7"/>
      <c r="AV416" s="7"/>
      <c r="AW416" s="7"/>
      <c r="AX416" s="7"/>
      <c r="AY416" s="7"/>
      <c r="AZ416" s="7"/>
      <c r="BA416" s="7"/>
      <c r="BB416" s="7"/>
      <c r="BC416" s="7"/>
      <c r="BD416" s="7"/>
      <c r="BE416" s="7"/>
      <c r="BF416" s="7"/>
      <c r="BG416" s="7"/>
      <c r="BH416" s="7"/>
      <c r="BI416" s="7"/>
      <c r="BJ416" s="7"/>
      <c r="BK416" s="7"/>
      <c r="BL416" s="7"/>
      <c r="BM416" s="7"/>
    </row>
    <row r="417" spans="3:65" x14ac:dyDescent="0.2"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  <c r="AN417" s="7"/>
      <c r="AO417" s="7"/>
      <c r="AP417" s="7"/>
      <c r="AQ417" s="7"/>
      <c r="AR417" s="7"/>
      <c r="AS417" s="7"/>
      <c r="AT417" s="7"/>
      <c r="AU417" s="7"/>
      <c r="AV417" s="7"/>
      <c r="AW417" s="7"/>
      <c r="AX417" s="7"/>
      <c r="AY417" s="7"/>
      <c r="AZ417" s="7"/>
      <c r="BA417" s="7"/>
      <c r="BB417" s="7"/>
      <c r="BC417" s="7"/>
      <c r="BD417" s="7"/>
      <c r="BE417" s="7"/>
      <c r="BF417" s="7"/>
      <c r="BG417" s="7"/>
      <c r="BH417" s="7"/>
      <c r="BI417" s="7"/>
      <c r="BJ417" s="7"/>
      <c r="BK417" s="7"/>
      <c r="BL417" s="7"/>
      <c r="BM417" s="7"/>
    </row>
    <row r="418" spans="3:65" x14ac:dyDescent="0.2"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  <c r="AN418" s="7"/>
      <c r="AO418" s="7"/>
      <c r="AP418" s="7"/>
      <c r="AQ418" s="7"/>
      <c r="AR418" s="7"/>
      <c r="AS418" s="7"/>
      <c r="AT418" s="7"/>
      <c r="AU418" s="7"/>
      <c r="AV418" s="7"/>
      <c r="AW418" s="7"/>
      <c r="AX418" s="7"/>
      <c r="AY418" s="7"/>
      <c r="AZ418" s="7"/>
      <c r="BA418" s="7"/>
      <c r="BB418" s="7"/>
      <c r="BC418" s="7"/>
      <c r="BD418" s="7"/>
      <c r="BE418" s="7"/>
      <c r="BF418" s="7"/>
      <c r="BG418" s="7"/>
      <c r="BH418" s="7"/>
      <c r="BI418" s="7"/>
      <c r="BJ418" s="7"/>
      <c r="BK418" s="7"/>
      <c r="BL418" s="7"/>
      <c r="BM418" s="7"/>
    </row>
    <row r="419" spans="3:65" x14ac:dyDescent="0.2"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  <c r="AN419" s="7"/>
      <c r="AO419" s="7"/>
      <c r="AP419" s="7"/>
      <c r="AQ419" s="7"/>
      <c r="AR419" s="7"/>
      <c r="AS419" s="7"/>
      <c r="AT419" s="7"/>
      <c r="AU419" s="7"/>
      <c r="AV419" s="7"/>
      <c r="AW419" s="7"/>
      <c r="AX419" s="7"/>
      <c r="AY419" s="7"/>
      <c r="AZ419" s="7"/>
      <c r="BA419" s="7"/>
      <c r="BB419" s="7"/>
      <c r="BC419" s="7"/>
      <c r="BD419" s="7"/>
      <c r="BE419" s="7"/>
      <c r="BF419" s="7"/>
      <c r="BG419" s="7"/>
      <c r="BH419" s="7"/>
      <c r="BI419" s="7"/>
      <c r="BJ419" s="7"/>
      <c r="BK419" s="7"/>
      <c r="BL419" s="7"/>
      <c r="BM419" s="7"/>
    </row>
    <row r="420" spans="3:65" x14ac:dyDescent="0.2"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  <c r="AN420" s="7"/>
      <c r="AO420" s="7"/>
      <c r="AP420" s="7"/>
      <c r="AQ420" s="7"/>
      <c r="AR420" s="7"/>
      <c r="AS420" s="7"/>
      <c r="AT420" s="7"/>
      <c r="AU420" s="7"/>
      <c r="AV420" s="7"/>
      <c r="AW420" s="7"/>
      <c r="AX420" s="7"/>
      <c r="AY420" s="7"/>
      <c r="AZ420" s="7"/>
      <c r="BA420" s="7"/>
      <c r="BB420" s="7"/>
      <c r="BC420" s="7"/>
      <c r="BD420" s="7"/>
      <c r="BE420" s="7"/>
      <c r="BF420" s="7"/>
      <c r="BG420" s="7"/>
      <c r="BH420" s="7"/>
      <c r="BI420" s="7"/>
      <c r="BJ420" s="7"/>
      <c r="BK420" s="7"/>
      <c r="BL420" s="7"/>
      <c r="BM420" s="7"/>
    </row>
    <row r="421" spans="3:65" x14ac:dyDescent="0.2"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  <c r="AN421" s="7"/>
      <c r="AO421" s="7"/>
      <c r="AP421" s="7"/>
      <c r="AQ421" s="7"/>
      <c r="AR421" s="7"/>
      <c r="AS421" s="7"/>
      <c r="AT421" s="7"/>
      <c r="AU421" s="7"/>
      <c r="AV421" s="7"/>
      <c r="AW421" s="7"/>
      <c r="AX421" s="7"/>
      <c r="AY421" s="7"/>
      <c r="AZ421" s="7"/>
      <c r="BA421" s="7"/>
      <c r="BB421" s="7"/>
      <c r="BC421" s="7"/>
      <c r="BD421" s="7"/>
      <c r="BE421" s="7"/>
      <c r="BF421" s="7"/>
      <c r="BG421" s="7"/>
      <c r="BH421" s="7"/>
      <c r="BI421" s="7"/>
      <c r="BJ421" s="7"/>
      <c r="BK421" s="7"/>
      <c r="BL421" s="7"/>
      <c r="BM421" s="7"/>
    </row>
    <row r="422" spans="3:65" x14ac:dyDescent="0.2"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  <c r="AN422" s="7"/>
      <c r="AO422" s="7"/>
      <c r="AP422" s="7"/>
      <c r="AQ422" s="7"/>
      <c r="AR422" s="7"/>
      <c r="AS422" s="7"/>
      <c r="AT422" s="7"/>
      <c r="AU422" s="7"/>
      <c r="AV422" s="7"/>
      <c r="AW422" s="7"/>
      <c r="AX422" s="7"/>
      <c r="AY422" s="7"/>
      <c r="AZ422" s="7"/>
      <c r="BA422" s="7"/>
      <c r="BB422" s="7"/>
      <c r="BC422" s="7"/>
      <c r="BD422" s="7"/>
      <c r="BE422" s="7"/>
      <c r="BF422" s="7"/>
      <c r="BG422" s="7"/>
      <c r="BH422" s="7"/>
      <c r="BI422" s="7"/>
      <c r="BJ422" s="7"/>
      <c r="BK422" s="7"/>
      <c r="BL422" s="7"/>
      <c r="BM422" s="7"/>
    </row>
    <row r="423" spans="3:65" x14ac:dyDescent="0.2"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  <c r="AN423" s="7"/>
      <c r="AO423" s="7"/>
      <c r="AP423" s="7"/>
      <c r="AQ423" s="7"/>
      <c r="AR423" s="7"/>
      <c r="AS423" s="7"/>
      <c r="AT423" s="7"/>
      <c r="AU423" s="7"/>
      <c r="AV423" s="7"/>
      <c r="AW423" s="7"/>
      <c r="AX423" s="7"/>
      <c r="AY423" s="7"/>
      <c r="AZ423" s="7"/>
      <c r="BA423" s="7"/>
      <c r="BB423" s="7"/>
      <c r="BC423" s="7"/>
      <c r="BD423" s="7"/>
      <c r="BE423" s="7"/>
      <c r="BF423" s="7"/>
      <c r="BG423" s="7"/>
      <c r="BH423" s="7"/>
      <c r="BI423" s="7"/>
      <c r="BJ423" s="7"/>
      <c r="BK423" s="7"/>
      <c r="BL423" s="7"/>
      <c r="BM423" s="7"/>
    </row>
    <row r="424" spans="3:65" x14ac:dyDescent="0.2"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  <c r="AN424" s="7"/>
      <c r="AO424" s="7"/>
      <c r="AP424" s="7"/>
      <c r="AQ424" s="7"/>
      <c r="AR424" s="7"/>
      <c r="AS424" s="7"/>
      <c r="AT424" s="7"/>
      <c r="AU424" s="7"/>
      <c r="AV424" s="7"/>
      <c r="AW424" s="7"/>
      <c r="AX424" s="7"/>
      <c r="AY424" s="7"/>
      <c r="AZ424" s="7"/>
      <c r="BA424" s="7"/>
      <c r="BB424" s="7"/>
      <c r="BC424" s="7"/>
      <c r="BD424" s="7"/>
      <c r="BE424" s="7"/>
      <c r="BF424" s="7"/>
      <c r="BG424" s="7"/>
      <c r="BH424" s="7"/>
      <c r="BI424" s="7"/>
      <c r="BJ424" s="7"/>
      <c r="BK424" s="7"/>
      <c r="BL424" s="7"/>
      <c r="BM424" s="7"/>
    </row>
    <row r="425" spans="3:65" x14ac:dyDescent="0.2"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  <c r="AN425" s="7"/>
      <c r="AO425" s="7"/>
      <c r="AP425" s="7"/>
      <c r="AQ425" s="7"/>
      <c r="AR425" s="7"/>
      <c r="AS425" s="7"/>
      <c r="AT425" s="7"/>
      <c r="AU425" s="7"/>
      <c r="AV425" s="7"/>
      <c r="AW425" s="7"/>
      <c r="AX425" s="7"/>
      <c r="AY425" s="7"/>
      <c r="AZ425" s="7"/>
      <c r="BA425" s="7"/>
      <c r="BB425" s="7"/>
      <c r="BC425" s="7"/>
      <c r="BD425" s="7"/>
      <c r="BE425" s="7"/>
      <c r="BF425" s="7"/>
      <c r="BG425" s="7"/>
      <c r="BH425" s="7"/>
      <c r="BI425" s="7"/>
      <c r="BJ425" s="7"/>
      <c r="BK425" s="7"/>
      <c r="BL425" s="7"/>
      <c r="BM425" s="7"/>
    </row>
    <row r="426" spans="3:65" x14ac:dyDescent="0.2"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  <c r="AN426" s="7"/>
      <c r="AO426" s="7"/>
      <c r="AP426" s="7"/>
      <c r="AQ426" s="7"/>
      <c r="AR426" s="7"/>
      <c r="AS426" s="7"/>
      <c r="AT426" s="7"/>
      <c r="AU426" s="7"/>
      <c r="AV426" s="7"/>
      <c r="AW426" s="7"/>
      <c r="AX426" s="7"/>
      <c r="AY426" s="7"/>
      <c r="AZ426" s="7"/>
      <c r="BA426" s="7"/>
      <c r="BB426" s="7"/>
      <c r="BC426" s="7"/>
      <c r="BD426" s="7"/>
      <c r="BE426" s="7"/>
      <c r="BF426" s="7"/>
      <c r="BG426" s="7"/>
      <c r="BH426" s="7"/>
      <c r="BI426" s="7"/>
      <c r="BJ426" s="7"/>
      <c r="BK426" s="7"/>
      <c r="BL426" s="7"/>
      <c r="BM426" s="7"/>
    </row>
    <row r="427" spans="3:65" x14ac:dyDescent="0.2"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  <c r="AN427" s="7"/>
      <c r="AO427" s="7"/>
      <c r="AP427" s="7"/>
      <c r="AQ427" s="7"/>
      <c r="AR427" s="7"/>
      <c r="AS427" s="7"/>
      <c r="AT427" s="7"/>
      <c r="AU427" s="7"/>
      <c r="AV427" s="7"/>
      <c r="AW427" s="7"/>
      <c r="AX427" s="7"/>
      <c r="AY427" s="7"/>
      <c r="AZ427" s="7"/>
      <c r="BA427" s="7"/>
      <c r="BB427" s="7"/>
      <c r="BC427" s="7"/>
      <c r="BD427" s="7"/>
      <c r="BE427" s="7"/>
      <c r="BF427" s="7"/>
      <c r="BG427" s="7"/>
      <c r="BH427" s="7"/>
      <c r="BI427" s="7"/>
      <c r="BJ427" s="7"/>
      <c r="BK427" s="7"/>
      <c r="BL427" s="7"/>
      <c r="BM427" s="7"/>
    </row>
    <row r="428" spans="3:65" x14ac:dyDescent="0.2"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  <c r="AN428" s="7"/>
      <c r="AO428" s="7"/>
      <c r="AP428" s="7"/>
      <c r="AQ428" s="7"/>
      <c r="AR428" s="7"/>
      <c r="AS428" s="7"/>
      <c r="AT428" s="7"/>
      <c r="AU428" s="7"/>
      <c r="AV428" s="7"/>
      <c r="AW428" s="7"/>
      <c r="AX428" s="7"/>
      <c r="AY428" s="7"/>
      <c r="AZ428" s="7"/>
      <c r="BA428" s="7"/>
      <c r="BB428" s="7"/>
      <c r="BC428" s="7"/>
      <c r="BD428" s="7"/>
      <c r="BE428" s="7"/>
      <c r="BF428" s="7"/>
      <c r="BG428" s="7"/>
      <c r="BH428" s="7"/>
      <c r="BI428" s="7"/>
      <c r="BJ428" s="7"/>
      <c r="BK428" s="7"/>
      <c r="BL428" s="7"/>
      <c r="BM428" s="7"/>
    </row>
    <row r="429" spans="3:65" x14ac:dyDescent="0.2"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  <c r="AN429" s="7"/>
      <c r="AO429" s="7"/>
      <c r="AP429" s="7"/>
      <c r="AQ429" s="7"/>
      <c r="AR429" s="7"/>
      <c r="AS429" s="7"/>
      <c r="AT429" s="7"/>
      <c r="AU429" s="7"/>
      <c r="AV429" s="7"/>
      <c r="AW429" s="7"/>
      <c r="AX429" s="7"/>
      <c r="AY429" s="7"/>
      <c r="AZ429" s="7"/>
      <c r="BA429" s="7"/>
      <c r="BB429" s="7"/>
      <c r="BC429" s="7"/>
      <c r="BD429" s="7"/>
      <c r="BE429" s="7"/>
      <c r="BF429" s="7"/>
      <c r="BG429" s="7"/>
      <c r="BH429" s="7"/>
      <c r="BI429" s="7"/>
      <c r="BJ429" s="7"/>
      <c r="BK429" s="7"/>
      <c r="BL429" s="7"/>
      <c r="BM429" s="7"/>
    </row>
    <row r="430" spans="3:65" x14ac:dyDescent="0.2"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  <c r="AN430" s="7"/>
      <c r="AO430" s="7"/>
      <c r="AP430" s="7"/>
      <c r="AQ430" s="7"/>
      <c r="AR430" s="7"/>
      <c r="AS430" s="7"/>
      <c r="AT430" s="7"/>
      <c r="AU430" s="7"/>
      <c r="AV430" s="7"/>
      <c r="AW430" s="7"/>
      <c r="AX430" s="7"/>
      <c r="AY430" s="7"/>
      <c r="AZ430" s="7"/>
      <c r="BA430" s="7"/>
      <c r="BB430" s="7"/>
      <c r="BC430" s="7"/>
      <c r="BD430" s="7"/>
      <c r="BE430" s="7"/>
      <c r="BF430" s="7"/>
      <c r="BG430" s="7"/>
      <c r="BH430" s="7"/>
      <c r="BI430" s="7"/>
      <c r="BJ430" s="7"/>
      <c r="BK430" s="7"/>
      <c r="BL430" s="7"/>
      <c r="BM430" s="7"/>
    </row>
    <row r="431" spans="3:65" x14ac:dyDescent="0.2"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  <c r="AN431" s="7"/>
      <c r="AO431" s="7"/>
      <c r="AP431" s="7"/>
      <c r="AQ431" s="7"/>
      <c r="AR431" s="7"/>
      <c r="AS431" s="7"/>
      <c r="AT431" s="7"/>
      <c r="AU431" s="7"/>
      <c r="AV431" s="7"/>
      <c r="AW431" s="7"/>
      <c r="AX431" s="7"/>
      <c r="AY431" s="7"/>
      <c r="AZ431" s="7"/>
      <c r="BA431" s="7"/>
      <c r="BB431" s="7"/>
      <c r="BC431" s="7"/>
      <c r="BD431" s="7"/>
      <c r="BE431" s="7"/>
      <c r="BF431" s="7"/>
      <c r="BG431" s="7"/>
      <c r="BH431" s="7"/>
      <c r="BI431" s="7"/>
      <c r="BJ431" s="7"/>
      <c r="BK431" s="7"/>
      <c r="BL431" s="7"/>
      <c r="BM431" s="7"/>
    </row>
    <row r="432" spans="3:65" x14ac:dyDescent="0.2"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  <c r="AN432" s="7"/>
      <c r="AO432" s="7"/>
      <c r="AP432" s="7"/>
      <c r="AQ432" s="7"/>
      <c r="AR432" s="7"/>
      <c r="AS432" s="7"/>
      <c r="AT432" s="7"/>
      <c r="AU432" s="7"/>
      <c r="AV432" s="7"/>
      <c r="AW432" s="7"/>
      <c r="AX432" s="7"/>
      <c r="AY432" s="7"/>
      <c r="AZ432" s="7"/>
      <c r="BA432" s="7"/>
      <c r="BB432" s="7"/>
      <c r="BC432" s="7"/>
      <c r="BD432" s="7"/>
      <c r="BE432" s="7"/>
      <c r="BF432" s="7"/>
      <c r="BG432" s="7"/>
      <c r="BH432" s="7"/>
      <c r="BI432" s="7"/>
      <c r="BJ432" s="7"/>
      <c r="BK432" s="7"/>
      <c r="BL432" s="7"/>
      <c r="BM432" s="7"/>
    </row>
    <row r="433" spans="3:65" x14ac:dyDescent="0.2"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  <c r="AN433" s="7"/>
      <c r="AO433" s="7"/>
      <c r="AP433" s="7"/>
      <c r="AQ433" s="7"/>
      <c r="AR433" s="7"/>
      <c r="AS433" s="7"/>
      <c r="AT433" s="7"/>
      <c r="AU433" s="7"/>
      <c r="AV433" s="7"/>
      <c r="AW433" s="7"/>
      <c r="AX433" s="7"/>
      <c r="AY433" s="7"/>
      <c r="AZ433" s="7"/>
      <c r="BA433" s="7"/>
      <c r="BB433" s="7"/>
      <c r="BC433" s="7"/>
      <c r="BD433" s="7"/>
      <c r="BE433" s="7"/>
      <c r="BF433" s="7"/>
      <c r="BG433" s="7"/>
      <c r="BH433" s="7"/>
      <c r="BI433" s="7"/>
      <c r="BJ433" s="7"/>
      <c r="BK433" s="7"/>
      <c r="BL433" s="7"/>
      <c r="BM433" s="7"/>
    </row>
    <row r="434" spans="3:65" x14ac:dyDescent="0.2"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  <c r="AN434" s="7"/>
      <c r="AO434" s="7"/>
      <c r="AP434" s="7"/>
      <c r="AQ434" s="7"/>
      <c r="AR434" s="7"/>
      <c r="AS434" s="7"/>
      <c r="AT434" s="7"/>
      <c r="AU434" s="7"/>
      <c r="AV434" s="7"/>
      <c r="AW434" s="7"/>
      <c r="AX434" s="7"/>
      <c r="AY434" s="7"/>
      <c r="AZ434" s="7"/>
      <c r="BA434" s="7"/>
      <c r="BB434" s="7"/>
      <c r="BC434" s="7"/>
      <c r="BD434" s="7"/>
      <c r="BE434" s="7"/>
      <c r="BF434" s="7"/>
      <c r="BG434" s="7"/>
      <c r="BH434" s="7"/>
      <c r="BI434" s="7"/>
      <c r="BJ434" s="7"/>
      <c r="BK434" s="7"/>
      <c r="BL434" s="7"/>
      <c r="BM434" s="7"/>
    </row>
    <row r="435" spans="3:65" x14ac:dyDescent="0.2"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  <c r="AN435" s="7"/>
      <c r="AO435" s="7"/>
      <c r="AP435" s="7"/>
      <c r="AQ435" s="7"/>
      <c r="AR435" s="7"/>
      <c r="AS435" s="7"/>
      <c r="AT435" s="7"/>
      <c r="AU435" s="7"/>
      <c r="AV435" s="7"/>
      <c r="AW435" s="7"/>
      <c r="AX435" s="7"/>
      <c r="AY435" s="7"/>
      <c r="AZ435" s="7"/>
      <c r="BA435" s="7"/>
      <c r="BB435" s="7"/>
      <c r="BC435" s="7"/>
      <c r="BD435" s="7"/>
      <c r="BE435" s="7"/>
      <c r="BF435" s="7"/>
      <c r="BG435" s="7"/>
      <c r="BH435" s="7"/>
      <c r="BI435" s="7"/>
      <c r="BJ435" s="7"/>
      <c r="BK435" s="7"/>
      <c r="BL435" s="7"/>
      <c r="BM435" s="7"/>
    </row>
    <row r="436" spans="3:65" x14ac:dyDescent="0.2"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  <c r="AN436" s="7"/>
      <c r="AO436" s="7"/>
      <c r="AP436" s="7"/>
      <c r="AQ436" s="7"/>
      <c r="AR436" s="7"/>
      <c r="AS436" s="7"/>
      <c r="AT436" s="7"/>
      <c r="AU436" s="7"/>
      <c r="AV436" s="7"/>
      <c r="AW436" s="7"/>
      <c r="AX436" s="7"/>
      <c r="AY436" s="7"/>
      <c r="AZ436" s="7"/>
      <c r="BA436" s="7"/>
      <c r="BB436" s="7"/>
      <c r="BC436" s="7"/>
      <c r="BD436" s="7"/>
      <c r="BE436" s="7"/>
      <c r="BF436" s="7"/>
      <c r="BG436" s="7"/>
      <c r="BH436" s="7"/>
      <c r="BI436" s="7"/>
      <c r="BJ436" s="7"/>
      <c r="BK436" s="7"/>
      <c r="BL436" s="7"/>
      <c r="BM436" s="7"/>
    </row>
    <row r="437" spans="3:65" x14ac:dyDescent="0.2"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  <c r="AN437" s="7"/>
      <c r="AO437" s="7"/>
      <c r="AP437" s="7"/>
      <c r="AQ437" s="7"/>
      <c r="AR437" s="7"/>
      <c r="AS437" s="7"/>
      <c r="AT437" s="7"/>
      <c r="AU437" s="7"/>
      <c r="AV437" s="7"/>
      <c r="AW437" s="7"/>
      <c r="AX437" s="7"/>
      <c r="AY437" s="7"/>
      <c r="AZ437" s="7"/>
      <c r="BA437" s="7"/>
      <c r="BB437" s="7"/>
      <c r="BC437" s="7"/>
      <c r="BD437" s="7"/>
      <c r="BE437" s="7"/>
      <c r="BF437" s="7"/>
      <c r="BG437" s="7"/>
      <c r="BH437" s="7"/>
      <c r="BI437" s="7"/>
      <c r="BJ437" s="7"/>
      <c r="BK437" s="7"/>
      <c r="BL437" s="7"/>
      <c r="BM437" s="7"/>
    </row>
    <row r="438" spans="3:65" x14ac:dyDescent="0.2"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  <c r="AN438" s="7"/>
      <c r="AO438" s="7"/>
      <c r="AP438" s="7"/>
      <c r="AQ438" s="7"/>
      <c r="AR438" s="7"/>
      <c r="AS438" s="7"/>
      <c r="AT438" s="7"/>
      <c r="AU438" s="7"/>
      <c r="AV438" s="7"/>
      <c r="AW438" s="7"/>
      <c r="AX438" s="7"/>
      <c r="AY438" s="7"/>
      <c r="AZ438" s="7"/>
      <c r="BA438" s="7"/>
      <c r="BB438" s="7"/>
      <c r="BC438" s="7"/>
      <c r="BD438" s="7"/>
      <c r="BE438" s="7"/>
      <c r="BF438" s="7"/>
      <c r="BG438" s="7"/>
      <c r="BH438" s="7"/>
      <c r="BI438" s="7"/>
      <c r="BJ438" s="7"/>
      <c r="BK438" s="7"/>
      <c r="BL438" s="7"/>
      <c r="BM438" s="7"/>
    </row>
    <row r="439" spans="3:65" x14ac:dyDescent="0.2"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  <c r="AN439" s="7"/>
      <c r="AO439" s="7"/>
      <c r="AP439" s="7"/>
      <c r="AQ439" s="7"/>
      <c r="AR439" s="7"/>
      <c r="AS439" s="7"/>
      <c r="AT439" s="7"/>
      <c r="AU439" s="7"/>
      <c r="AV439" s="7"/>
      <c r="AW439" s="7"/>
      <c r="AX439" s="7"/>
      <c r="AY439" s="7"/>
      <c r="AZ439" s="7"/>
      <c r="BA439" s="7"/>
      <c r="BB439" s="7"/>
      <c r="BC439" s="7"/>
      <c r="BD439" s="7"/>
      <c r="BE439" s="7"/>
      <c r="BF439" s="7"/>
      <c r="BG439" s="7"/>
      <c r="BH439" s="7"/>
      <c r="BI439" s="7"/>
      <c r="BJ439" s="7"/>
      <c r="BK439" s="7"/>
      <c r="BL439" s="7"/>
      <c r="BM439" s="7"/>
    </row>
    <row r="440" spans="3:65" x14ac:dyDescent="0.2"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  <c r="AN440" s="7"/>
      <c r="AO440" s="7"/>
      <c r="AP440" s="7"/>
      <c r="AQ440" s="7"/>
      <c r="AR440" s="7"/>
      <c r="AS440" s="7"/>
      <c r="AT440" s="7"/>
      <c r="AU440" s="7"/>
      <c r="AV440" s="7"/>
      <c r="AW440" s="7"/>
      <c r="AX440" s="7"/>
      <c r="AY440" s="7"/>
      <c r="AZ440" s="7"/>
      <c r="BA440" s="7"/>
      <c r="BB440" s="7"/>
      <c r="BC440" s="7"/>
      <c r="BD440" s="7"/>
      <c r="BE440" s="7"/>
      <c r="BF440" s="7"/>
      <c r="BG440" s="7"/>
      <c r="BH440" s="7"/>
      <c r="BI440" s="7"/>
      <c r="BJ440" s="7"/>
      <c r="BK440" s="7"/>
      <c r="BL440" s="7"/>
      <c r="BM440" s="7"/>
    </row>
    <row r="441" spans="3:65" x14ac:dyDescent="0.2"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  <c r="AN441" s="7"/>
      <c r="AO441" s="7"/>
      <c r="AP441" s="7"/>
      <c r="AQ441" s="7"/>
      <c r="AR441" s="7"/>
      <c r="AS441" s="7"/>
      <c r="AT441" s="7"/>
      <c r="AU441" s="7"/>
      <c r="AV441" s="7"/>
      <c r="AW441" s="7"/>
      <c r="AX441" s="7"/>
      <c r="AY441" s="7"/>
      <c r="AZ441" s="7"/>
      <c r="BA441" s="7"/>
      <c r="BB441" s="7"/>
      <c r="BC441" s="7"/>
      <c r="BD441" s="7"/>
      <c r="BE441" s="7"/>
      <c r="BF441" s="7"/>
      <c r="BG441" s="7"/>
      <c r="BH441" s="7"/>
      <c r="BI441" s="7"/>
      <c r="BJ441" s="7"/>
      <c r="BK441" s="7"/>
      <c r="BL441" s="7"/>
      <c r="BM441" s="7"/>
    </row>
    <row r="442" spans="3:65" x14ac:dyDescent="0.2"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  <c r="AN442" s="7"/>
      <c r="AO442" s="7"/>
      <c r="AP442" s="7"/>
      <c r="AQ442" s="7"/>
      <c r="AR442" s="7"/>
      <c r="AS442" s="7"/>
      <c r="AT442" s="7"/>
      <c r="AU442" s="7"/>
      <c r="AV442" s="7"/>
      <c r="AW442" s="7"/>
      <c r="AX442" s="7"/>
      <c r="AY442" s="7"/>
      <c r="AZ442" s="7"/>
      <c r="BA442" s="7"/>
      <c r="BB442" s="7"/>
      <c r="BC442" s="7"/>
      <c r="BD442" s="7"/>
      <c r="BE442" s="7"/>
      <c r="BF442" s="7"/>
      <c r="BG442" s="7"/>
      <c r="BH442" s="7"/>
      <c r="BI442" s="7"/>
      <c r="BJ442" s="7"/>
      <c r="BK442" s="7"/>
      <c r="BL442" s="7"/>
      <c r="BM442" s="7"/>
    </row>
    <row r="443" spans="3:65" x14ac:dyDescent="0.2"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  <c r="AN443" s="7"/>
      <c r="AO443" s="7"/>
      <c r="AP443" s="7"/>
      <c r="AQ443" s="7"/>
      <c r="AR443" s="7"/>
      <c r="AS443" s="7"/>
      <c r="AT443" s="7"/>
      <c r="AU443" s="7"/>
      <c r="AV443" s="7"/>
      <c r="AW443" s="7"/>
      <c r="AX443" s="7"/>
      <c r="AY443" s="7"/>
      <c r="AZ443" s="7"/>
      <c r="BA443" s="7"/>
      <c r="BB443" s="7"/>
      <c r="BC443" s="7"/>
      <c r="BD443" s="7"/>
      <c r="BE443" s="7"/>
      <c r="BF443" s="7"/>
      <c r="BG443" s="7"/>
      <c r="BH443" s="7"/>
      <c r="BI443" s="7"/>
      <c r="BJ443" s="7"/>
      <c r="BK443" s="7"/>
      <c r="BL443" s="7"/>
      <c r="BM443" s="7"/>
    </row>
    <row r="444" spans="3:65" x14ac:dyDescent="0.2"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  <c r="AN444" s="7"/>
      <c r="AO444" s="7"/>
      <c r="AP444" s="7"/>
      <c r="AQ444" s="7"/>
      <c r="AR444" s="7"/>
      <c r="AS444" s="7"/>
      <c r="AT444" s="7"/>
      <c r="AU444" s="7"/>
      <c r="AV444" s="7"/>
      <c r="AW444" s="7"/>
      <c r="AX444" s="7"/>
      <c r="AY444" s="7"/>
      <c r="AZ444" s="7"/>
      <c r="BA444" s="7"/>
      <c r="BB444" s="7"/>
      <c r="BC444" s="7"/>
      <c r="BD444" s="7"/>
      <c r="BE444" s="7"/>
      <c r="BF444" s="7"/>
      <c r="BG444" s="7"/>
      <c r="BH444" s="7"/>
      <c r="BI444" s="7"/>
      <c r="BJ444" s="7"/>
      <c r="BK444" s="7"/>
      <c r="BL444" s="7"/>
      <c r="BM444" s="7"/>
    </row>
    <row r="445" spans="3:65" x14ac:dyDescent="0.2"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  <c r="AN445" s="7"/>
      <c r="AO445" s="7"/>
      <c r="AP445" s="7"/>
      <c r="AQ445" s="7"/>
      <c r="AR445" s="7"/>
      <c r="AS445" s="7"/>
      <c r="AT445" s="7"/>
      <c r="AU445" s="7"/>
      <c r="AV445" s="7"/>
      <c r="AW445" s="7"/>
      <c r="AX445" s="7"/>
      <c r="AY445" s="7"/>
      <c r="AZ445" s="7"/>
      <c r="BA445" s="7"/>
      <c r="BB445" s="7"/>
      <c r="BC445" s="7"/>
      <c r="BD445" s="7"/>
      <c r="BE445" s="7"/>
      <c r="BF445" s="7"/>
      <c r="BG445" s="7"/>
      <c r="BH445" s="7"/>
      <c r="BI445" s="7"/>
      <c r="BJ445" s="7"/>
      <c r="BK445" s="7"/>
      <c r="BL445" s="7"/>
      <c r="BM445" s="7"/>
    </row>
    <row r="446" spans="3:65" x14ac:dyDescent="0.2"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  <c r="AN446" s="7"/>
      <c r="AO446" s="7"/>
      <c r="AP446" s="7"/>
      <c r="AQ446" s="7"/>
      <c r="AR446" s="7"/>
      <c r="AS446" s="7"/>
      <c r="AT446" s="7"/>
      <c r="AU446" s="7"/>
      <c r="AV446" s="7"/>
      <c r="AW446" s="7"/>
      <c r="AX446" s="7"/>
      <c r="AY446" s="7"/>
      <c r="AZ446" s="7"/>
      <c r="BA446" s="7"/>
      <c r="BB446" s="7"/>
      <c r="BC446" s="7"/>
      <c r="BD446" s="7"/>
      <c r="BE446" s="7"/>
      <c r="BF446" s="7"/>
      <c r="BG446" s="7"/>
      <c r="BH446" s="7"/>
      <c r="BI446" s="7"/>
      <c r="BJ446" s="7"/>
      <c r="BK446" s="7"/>
      <c r="BL446" s="7"/>
      <c r="BM446" s="7"/>
    </row>
    <row r="447" spans="3:65" x14ac:dyDescent="0.2"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  <c r="AN447" s="7"/>
      <c r="AO447" s="7"/>
      <c r="AP447" s="7"/>
      <c r="AQ447" s="7"/>
      <c r="AR447" s="7"/>
      <c r="AS447" s="7"/>
      <c r="AT447" s="7"/>
      <c r="AU447" s="7"/>
      <c r="AV447" s="7"/>
      <c r="AW447" s="7"/>
      <c r="AX447" s="7"/>
      <c r="AY447" s="7"/>
      <c r="AZ447" s="7"/>
      <c r="BA447" s="7"/>
      <c r="BB447" s="7"/>
      <c r="BC447" s="7"/>
      <c r="BD447" s="7"/>
      <c r="BE447" s="7"/>
      <c r="BF447" s="7"/>
      <c r="BG447" s="7"/>
      <c r="BH447" s="7"/>
      <c r="BI447" s="7"/>
      <c r="BJ447" s="7"/>
      <c r="BK447" s="7"/>
      <c r="BL447" s="7"/>
      <c r="BM447" s="7"/>
    </row>
    <row r="448" spans="3:65" x14ac:dyDescent="0.2"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  <c r="AN448" s="7"/>
      <c r="AO448" s="7"/>
      <c r="AP448" s="7"/>
      <c r="AQ448" s="7"/>
      <c r="AR448" s="7"/>
      <c r="AS448" s="7"/>
      <c r="AT448" s="7"/>
      <c r="AU448" s="7"/>
      <c r="AV448" s="7"/>
      <c r="AW448" s="7"/>
      <c r="AX448" s="7"/>
      <c r="AY448" s="7"/>
      <c r="AZ448" s="7"/>
      <c r="BA448" s="7"/>
      <c r="BB448" s="7"/>
      <c r="BC448" s="7"/>
      <c r="BD448" s="7"/>
      <c r="BE448" s="7"/>
      <c r="BF448" s="7"/>
      <c r="BG448" s="7"/>
      <c r="BH448" s="7"/>
      <c r="BI448" s="7"/>
      <c r="BJ448" s="7"/>
      <c r="BK448" s="7"/>
      <c r="BL448" s="7"/>
      <c r="BM448" s="7"/>
    </row>
    <row r="449" spans="3:65" x14ac:dyDescent="0.2"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  <c r="AN449" s="7"/>
      <c r="AO449" s="7"/>
      <c r="AP449" s="7"/>
      <c r="AQ449" s="7"/>
      <c r="AR449" s="7"/>
      <c r="AS449" s="7"/>
      <c r="AT449" s="7"/>
      <c r="AU449" s="7"/>
      <c r="AV449" s="7"/>
      <c r="AW449" s="7"/>
      <c r="AX449" s="7"/>
      <c r="AY449" s="7"/>
      <c r="AZ449" s="7"/>
      <c r="BA449" s="7"/>
      <c r="BB449" s="7"/>
      <c r="BC449" s="7"/>
      <c r="BD449" s="7"/>
      <c r="BE449" s="7"/>
      <c r="BF449" s="7"/>
      <c r="BG449" s="7"/>
      <c r="BH449" s="7"/>
      <c r="BI449" s="7"/>
      <c r="BJ449" s="7"/>
      <c r="BK449" s="7"/>
      <c r="BL449" s="7"/>
      <c r="BM449" s="7"/>
    </row>
    <row r="450" spans="3:65" x14ac:dyDescent="0.2"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  <c r="AN450" s="7"/>
      <c r="AO450" s="7"/>
      <c r="AP450" s="7"/>
      <c r="AQ450" s="7"/>
      <c r="AR450" s="7"/>
      <c r="AS450" s="7"/>
      <c r="AT450" s="7"/>
      <c r="AU450" s="7"/>
      <c r="AV450" s="7"/>
      <c r="AW450" s="7"/>
      <c r="AX450" s="7"/>
      <c r="AY450" s="7"/>
      <c r="AZ450" s="7"/>
      <c r="BA450" s="7"/>
      <c r="BB450" s="7"/>
      <c r="BC450" s="7"/>
      <c r="BD450" s="7"/>
      <c r="BE450" s="7"/>
      <c r="BF450" s="7"/>
      <c r="BG450" s="7"/>
      <c r="BH450" s="7"/>
      <c r="BI450" s="7"/>
      <c r="BJ450" s="7"/>
      <c r="BK450" s="7"/>
      <c r="BL450" s="7"/>
      <c r="BM450" s="7"/>
    </row>
    <row r="451" spans="3:65" x14ac:dyDescent="0.2"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  <c r="AL451" s="7"/>
      <c r="AM451" s="7"/>
      <c r="AN451" s="7"/>
      <c r="AO451" s="7"/>
      <c r="AP451" s="7"/>
      <c r="AQ451" s="7"/>
      <c r="AR451" s="7"/>
      <c r="AS451" s="7"/>
      <c r="AT451" s="7"/>
      <c r="AU451" s="7"/>
      <c r="AV451" s="7"/>
      <c r="AW451" s="7"/>
      <c r="AX451" s="7"/>
      <c r="AY451" s="7"/>
      <c r="AZ451" s="7"/>
      <c r="BA451" s="7"/>
      <c r="BB451" s="7"/>
      <c r="BC451" s="7"/>
      <c r="BD451" s="7"/>
      <c r="BE451" s="7"/>
      <c r="BF451" s="7"/>
      <c r="BG451" s="7"/>
      <c r="BH451" s="7"/>
      <c r="BI451" s="7"/>
      <c r="BJ451" s="7"/>
      <c r="BK451" s="7"/>
      <c r="BL451" s="7"/>
      <c r="BM451" s="7"/>
    </row>
    <row r="452" spans="3:65" x14ac:dyDescent="0.2"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  <c r="AN452" s="7"/>
      <c r="AO452" s="7"/>
      <c r="AP452" s="7"/>
      <c r="AQ452" s="7"/>
      <c r="AR452" s="7"/>
      <c r="AS452" s="7"/>
      <c r="AT452" s="7"/>
      <c r="AU452" s="7"/>
      <c r="AV452" s="7"/>
      <c r="AW452" s="7"/>
      <c r="AX452" s="7"/>
      <c r="AY452" s="7"/>
      <c r="AZ452" s="7"/>
      <c r="BA452" s="7"/>
      <c r="BB452" s="7"/>
      <c r="BC452" s="7"/>
      <c r="BD452" s="7"/>
      <c r="BE452" s="7"/>
      <c r="BF452" s="7"/>
      <c r="BG452" s="7"/>
      <c r="BH452" s="7"/>
      <c r="BI452" s="7"/>
      <c r="BJ452" s="7"/>
      <c r="BK452" s="7"/>
      <c r="BL452" s="7"/>
      <c r="BM452" s="7"/>
    </row>
    <row r="453" spans="3:65" x14ac:dyDescent="0.2"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  <c r="AN453" s="7"/>
      <c r="AO453" s="7"/>
      <c r="AP453" s="7"/>
      <c r="AQ453" s="7"/>
      <c r="AR453" s="7"/>
      <c r="AS453" s="7"/>
      <c r="AT453" s="7"/>
      <c r="AU453" s="7"/>
      <c r="AV453" s="7"/>
      <c r="AW453" s="7"/>
      <c r="AX453" s="7"/>
      <c r="AY453" s="7"/>
      <c r="AZ453" s="7"/>
      <c r="BA453" s="7"/>
      <c r="BB453" s="7"/>
      <c r="BC453" s="7"/>
      <c r="BD453" s="7"/>
      <c r="BE453" s="7"/>
      <c r="BF453" s="7"/>
      <c r="BG453" s="7"/>
      <c r="BH453" s="7"/>
      <c r="BI453" s="7"/>
      <c r="BJ453" s="7"/>
      <c r="BK453" s="7"/>
      <c r="BL453" s="7"/>
      <c r="BM453" s="7"/>
    </row>
    <row r="454" spans="3:65" x14ac:dyDescent="0.2"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  <c r="AN454" s="7"/>
      <c r="AO454" s="7"/>
      <c r="AP454" s="7"/>
      <c r="AQ454" s="7"/>
      <c r="AR454" s="7"/>
      <c r="AS454" s="7"/>
      <c r="AT454" s="7"/>
      <c r="AU454" s="7"/>
      <c r="AV454" s="7"/>
      <c r="AW454" s="7"/>
      <c r="AX454" s="7"/>
      <c r="AY454" s="7"/>
      <c r="AZ454" s="7"/>
      <c r="BA454" s="7"/>
      <c r="BB454" s="7"/>
      <c r="BC454" s="7"/>
      <c r="BD454" s="7"/>
      <c r="BE454" s="7"/>
      <c r="BF454" s="7"/>
      <c r="BG454" s="7"/>
      <c r="BH454" s="7"/>
      <c r="BI454" s="7"/>
      <c r="BJ454" s="7"/>
      <c r="BK454" s="7"/>
      <c r="BL454" s="7"/>
      <c r="BM454" s="7"/>
    </row>
    <row r="455" spans="3:65" x14ac:dyDescent="0.2"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  <c r="AN455" s="7"/>
      <c r="AO455" s="7"/>
      <c r="AP455" s="7"/>
      <c r="AQ455" s="7"/>
      <c r="AR455" s="7"/>
      <c r="AS455" s="7"/>
      <c r="AT455" s="7"/>
      <c r="AU455" s="7"/>
      <c r="AV455" s="7"/>
      <c r="AW455" s="7"/>
      <c r="AX455" s="7"/>
      <c r="AY455" s="7"/>
      <c r="AZ455" s="7"/>
      <c r="BA455" s="7"/>
      <c r="BB455" s="7"/>
      <c r="BC455" s="7"/>
      <c r="BD455" s="7"/>
      <c r="BE455" s="7"/>
      <c r="BF455" s="7"/>
      <c r="BG455" s="7"/>
      <c r="BH455" s="7"/>
      <c r="BI455" s="7"/>
      <c r="BJ455" s="7"/>
      <c r="BK455" s="7"/>
      <c r="BL455" s="7"/>
      <c r="BM455" s="7"/>
    </row>
    <row r="456" spans="3:65" x14ac:dyDescent="0.2"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  <c r="AN456" s="7"/>
      <c r="AO456" s="7"/>
      <c r="AP456" s="7"/>
      <c r="AQ456" s="7"/>
      <c r="AR456" s="7"/>
      <c r="AS456" s="7"/>
      <c r="AT456" s="7"/>
      <c r="AU456" s="7"/>
      <c r="AV456" s="7"/>
      <c r="AW456" s="7"/>
      <c r="AX456" s="7"/>
      <c r="AY456" s="7"/>
      <c r="AZ456" s="7"/>
      <c r="BA456" s="7"/>
      <c r="BB456" s="7"/>
      <c r="BC456" s="7"/>
      <c r="BD456" s="7"/>
      <c r="BE456" s="7"/>
      <c r="BF456" s="7"/>
      <c r="BG456" s="7"/>
      <c r="BH456" s="7"/>
      <c r="BI456" s="7"/>
      <c r="BJ456" s="7"/>
      <c r="BK456" s="7"/>
      <c r="BL456" s="7"/>
      <c r="BM456" s="7"/>
    </row>
    <row r="457" spans="3:65" x14ac:dyDescent="0.2"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  <c r="AL457" s="7"/>
      <c r="AM457" s="7"/>
      <c r="AN457" s="7"/>
      <c r="AO457" s="7"/>
      <c r="AP457" s="7"/>
      <c r="AQ457" s="7"/>
      <c r="AR457" s="7"/>
      <c r="AS457" s="7"/>
      <c r="AT457" s="7"/>
      <c r="AU457" s="7"/>
      <c r="AV457" s="7"/>
      <c r="AW457" s="7"/>
      <c r="AX457" s="7"/>
      <c r="AY457" s="7"/>
      <c r="AZ457" s="7"/>
      <c r="BA457" s="7"/>
      <c r="BB457" s="7"/>
      <c r="BC457" s="7"/>
      <c r="BD457" s="7"/>
      <c r="BE457" s="7"/>
      <c r="BF457" s="7"/>
      <c r="BG457" s="7"/>
      <c r="BH457" s="7"/>
      <c r="BI457" s="7"/>
      <c r="BJ457" s="7"/>
      <c r="BK457" s="7"/>
      <c r="BL457" s="7"/>
      <c r="BM457" s="7"/>
    </row>
    <row r="458" spans="3:65" x14ac:dyDescent="0.2"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  <c r="AN458" s="7"/>
      <c r="AO458" s="7"/>
      <c r="AP458" s="7"/>
      <c r="AQ458" s="7"/>
      <c r="AR458" s="7"/>
      <c r="AS458" s="7"/>
      <c r="AT458" s="7"/>
      <c r="AU458" s="7"/>
      <c r="AV458" s="7"/>
      <c r="AW458" s="7"/>
      <c r="AX458" s="7"/>
      <c r="AY458" s="7"/>
      <c r="AZ458" s="7"/>
      <c r="BA458" s="7"/>
      <c r="BB458" s="7"/>
      <c r="BC458" s="7"/>
      <c r="BD458" s="7"/>
      <c r="BE458" s="7"/>
      <c r="BF458" s="7"/>
      <c r="BG458" s="7"/>
      <c r="BH458" s="7"/>
      <c r="BI458" s="7"/>
      <c r="BJ458" s="7"/>
      <c r="BK458" s="7"/>
      <c r="BL458" s="7"/>
      <c r="BM458" s="7"/>
    </row>
    <row r="459" spans="3:65" x14ac:dyDescent="0.2"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  <c r="AN459" s="7"/>
      <c r="AO459" s="7"/>
      <c r="AP459" s="7"/>
      <c r="AQ459" s="7"/>
      <c r="AR459" s="7"/>
      <c r="AS459" s="7"/>
      <c r="AT459" s="7"/>
      <c r="AU459" s="7"/>
      <c r="AV459" s="7"/>
      <c r="AW459" s="7"/>
      <c r="AX459" s="7"/>
      <c r="AY459" s="7"/>
      <c r="AZ459" s="7"/>
      <c r="BA459" s="7"/>
      <c r="BB459" s="7"/>
      <c r="BC459" s="7"/>
      <c r="BD459" s="7"/>
      <c r="BE459" s="7"/>
      <c r="BF459" s="7"/>
      <c r="BG459" s="7"/>
      <c r="BH459" s="7"/>
      <c r="BI459" s="7"/>
      <c r="BJ459" s="7"/>
      <c r="BK459" s="7"/>
      <c r="BL459" s="7"/>
      <c r="BM459" s="7"/>
    </row>
    <row r="460" spans="3:65" x14ac:dyDescent="0.2"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  <c r="AN460" s="7"/>
      <c r="AO460" s="7"/>
      <c r="AP460" s="7"/>
      <c r="AQ460" s="7"/>
      <c r="AR460" s="7"/>
      <c r="AS460" s="7"/>
      <c r="AT460" s="7"/>
      <c r="AU460" s="7"/>
      <c r="AV460" s="7"/>
      <c r="AW460" s="7"/>
      <c r="AX460" s="7"/>
      <c r="AY460" s="7"/>
      <c r="AZ460" s="7"/>
      <c r="BA460" s="7"/>
      <c r="BB460" s="7"/>
      <c r="BC460" s="7"/>
      <c r="BD460" s="7"/>
      <c r="BE460" s="7"/>
      <c r="BF460" s="7"/>
      <c r="BG460" s="7"/>
      <c r="BH460" s="7"/>
      <c r="BI460" s="7"/>
      <c r="BJ460" s="7"/>
      <c r="BK460" s="7"/>
      <c r="BL460" s="7"/>
      <c r="BM460" s="7"/>
    </row>
    <row r="461" spans="3:65" x14ac:dyDescent="0.2"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  <c r="AN461" s="7"/>
      <c r="AO461" s="7"/>
      <c r="AP461" s="7"/>
      <c r="AQ461" s="7"/>
      <c r="AR461" s="7"/>
      <c r="AS461" s="7"/>
      <c r="AT461" s="7"/>
      <c r="AU461" s="7"/>
      <c r="AV461" s="7"/>
      <c r="AW461" s="7"/>
      <c r="AX461" s="7"/>
      <c r="AY461" s="7"/>
      <c r="AZ461" s="7"/>
      <c r="BA461" s="7"/>
      <c r="BB461" s="7"/>
      <c r="BC461" s="7"/>
      <c r="BD461" s="7"/>
      <c r="BE461" s="7"/>
      <c r="BF461" s="7"/>
      <c r="BG461" s="7"/>
      <c r="BH461" s="7"/>
      <c r="BI461" s="7"/>
      <c r="BJ461" s="7"/>
      <c r="BK461" s="7"/>
      <c r="BL461" s="7"/>
      <c r="BM461" s="7"/>
    </row>
    <row r="462" spans="3:65" x14ac:dyDescent="0.2"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  <c r="AN462" s="7"/>
      <c r="AO462" s="7"/>
      <c r="AP462" s="7"/>
      <c r="AQ462" s="7"/>
      <c r="AR462" s="7"/>
      <c r="AS462" s="7"/>
      <c r="AT462" s="7"/>
      <c r="AU462" s="7"/>
      <c r="AV462" s="7"/>
      <c r="AW462" s="7"/>
      <c r="AX462" s="7"/>
      <c r="AY462" s="7"/>
      <c r="AZ462" s="7"/>
      <c r="BA462" s="7"/>
      <c r="BB462" s="7"/>
      <c r="BC462" s="7"/>
      <c r="BD462" s="7"/>
      <c r="BE462" s="7"/>
      <c r="BF462" s="7"/>
      <c r="BG462" s="7"/>
      <c r="BH462" s="7"/>
      <c r="BI462" s="7"/>
      <c r="BJ462" s="7"/>
      <c r="BK462" s="7"/>
      <c r="BL462" s="7"/>
      <c r="BM462" s="7"/>
    </row>
    <row r="463" spans="3:65" x14ac:dyDescent="0.2"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  <c r="AN463" s="7"/>
      <c r="AO463" s="7"/>
      <c r="AP463" s="7"/>
      <c r="AQ463" s="7"/>
      <c r="AR463" s="7"/>
      <c r="AS463" s="7"/>
      <c r="AT463" s="7"/>
      <c r="AU463" s="7"/>
      <c r="AV463" s="7"/>
      <c r="AW463" s="7"/>
      <c r="AX463" s="7"/>
      <c r="AY463" s="7"/>
      <c r="AZ463" s="7"/>
      <c r="BA463" s="7"/>
      <c r="BB463" s="7"/>
      <c r="BC463" s="7"/>
      <c r="BD463" s="7"/>
      <c r="BE463" s="7"/>
      <c r="BF463" s="7"/>
      <c r="BG463" s="7"/>
      <c r="BH463" s="7"/>
      <c r="BI463" s="7"/>
      <c r="BJ463" s="7"/>
      <c r="BK463" s="7"/>
      <c r="BL463" s="7"/>
      <c r="BM463" s="7"/>
    </row>
    <row r="464" spans="3:65" x14ac:dyDescent="0.2"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  <c r="AN464" s="7"/>
      <c r="AO464" s="7"/>
      <c r="AP464" s="7"/>
      <c r="AQ464" s="7"/>
      <c r="AR464" s="7"/>
      <c r="AS464" s="7"/>
      <c r="AT464" s="7"/>
      <c r="AU464" s="7"/>
      <c r="AV464" s="7"/>
      <c r="AW464" s="7"/>
      <c r="AX464" s="7"/>
      <c r="AY464" s="7"/>
      <c r="AZ464" s="7"/>
      <c r="BA464" s="7"/>
      <c r="BB464" s="7"/>
      <c r="BC464" s="7"/>
      <c r="BD464" s="7"/>
      <c r="BE464" s="7"/>
      <c r="BF464" s="7"/>
      <c r="BG464" s="7"/>
      <c r="BH464" s="7"/>
      <c r="BI464" s="7"/>
      <c r="BJ464" s="7"/>
      <c r="BK464" s="7"/>
      <c r="BL464" s="7"/>
      <c r="BM464" s="7"/>
    </row>
  </sheetData>
  <hyperlinks>
    <hyperlink ref="A1" location="Main!A1" display="Main" xr:uid="{9425B058-B76C-415F-AAD0-8E385B49326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2025-02-18T12:59:28Z</dcterms:created>
  <dcterms:modified xsi:type="dcterms:W3CDTF">2025-12-13T17:07:32Z</dcterms:modified>
</cp:coreProperties>
</file>