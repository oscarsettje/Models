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69E75047-B71A-4CCF-9C5E-4093906AD63E}" xr6:coauthVersionLast="47" xr6:coauthVersionMax="47" xr10:uidLastSave="{00000000-0000-0000-0000-000000000000}"/>
  <bookViews>
    <workbookView xWindow="19095" yWindow="0" windowWidth="19410" windowHeight="20985" activeTab="1" xr2:uid="{98C648A9-E26D-4C03-ABFB-F82A267C3134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P15" i="2"/>
  <c r="P41" i="2" s="1"/>
  <c r="O41" i="2"/>
  <c r="P40" i="2"/>
  <c r="O40" i="2"/>
  <c r="P39" i="2"/>
  <c r="O39" i="2"/>
  <c r="P38" i="2"/>
  <c r="O38" i="2"/>
  <c r="P37" i="2"/>
  <c r="O37" i="2"/>
  <c r="P36" i="2"/>
  <c r="O36" i="2"/>
  <c r="P35" i="2"/>
  <c r="O35" i="2"/>
  <c r="P9" i="2"/>
  <c r="P8" i="2"/>
  <c r="P7" i="2"/>
  <c r="P6" i="2"/>
  <c r="O15" i="2"/>
  <c r="O21" i="2" s="1"/>
  <c r="O9" i="2"/>
  <c r="O8" i="2"/>
  <c r="O7" i="2"/>
  <c r="O6" i="2"/>
  <c r="X40" i="2"/>
  <c r="W40" i="2"/>
  <c r="V40" i="2"/>
  <c r="U40" i="2"/>
  <c r="X39" i="2"/>
  <c r="W39" i="2"/>
  <c r="V39" i="2"/>
  <c r="U39" i="2"/>
  <c r="X38" i="2"/>
  <c r="W38" i="2"/>
  <c r="V38" i="2"/>
  <c r="U38" i="2"/>
  <c r="Y38" i="2"/>
  <c r="Y39" i="2"/>
  <c r="Y40" i="2"/>
  <c r="J31" i="2"/>
  <c r="J26" i="2"/>
  <c r="J24" i="2"/>
  <c r="J23" i="2"/>
  <c r="J22" i="2"/>
  <c r="J20" i="2"/>
  <c r="J19" i="2"/>
  <c r="J18" i="2"/>
  <c r="J17" i="2"/>
  <c r="J16" i="2"/>
  <c r="J14" i="2"/>
  <c r="J13" i="2"/>
  <c r="J40" i="2" s="1"/>
  <c r="M40" i="2"/>
  <c r="M39" i="2"/>
  <c r="M38" i="2"/>
  <c r="N37" i="2"/>
  <c r="M37" i="2"/>
  <c r="N36" i="2"/>
  <c r="M36" i="2"/>
  <c r="M35" i="2"/>
  <c r="N26" i="2"/>
  <c r="N24" i="2"/>
  <c r="N23" i="2"/>
  <c r="N22" i="2"/>
  <c r="N20" i="2"/>
  <c r="N19" i="2"/>
  <c r="N18" i="2"/>
  <c r="N17" i="2"/>
  <c r="N16" i="2"/>
  <c r="N14" i="2"/>
  <c r="N13" i="2"/>
  <c r="N12" i="2"/>
  <c r="N39" i="2" s="1"/>
  <c r="N11" i="2"/>
  <c r="N38" i="2" s="1"/>
  <c r="Y15" i="2"/>
  <c r="N3" i="2"/>
  <c r="N35" i="2" s="1"/>
  <c r="N8" i="2"/>
  <c r="N7" i="2"/>
  <c r="N6" i="2"/>
  <c r="Y9" i="2"/>
  <c r="Y8" i="2"/>
  <c r="Y7" i="2"/>
  <c r="Y6" i="2"/>
  <c r="M15" i="2"/>
  <c r="M9" i="2"/>
  <c r="M8" i="2"/>
  <c r="M7" i="2"/>
  <c r="M6" i="2"/>
  <c r="L40" i="2"/>
  <c r="L39" i="2"/>
  <c r="L38" i="2"/>
  <c r="L37" i="2"/>
  <c r="L36" i="2"/>
  <c r="L35" i="2"/>
  <c r="L15" i="2"/>
  <c r="L9" i="2"/>
  <c r="L8" i="2"/>
  <c r="L7" i="2"/>
  <c r="L6" i="2"/>
  <c r="K40" i="2"/>
  <c r="K39" i="2"/>
  <c r="K38" i="2"/>
  <c r="K37" i="2"/>
  <c r="K36" i="2"/>
  <c r="K35" i="2"/>
  <c r="K15" i="2"/>
  <c r="K41" i="2" s="1"/>
  <c r="K9" i="2"/>
  <c r="K8" i="2"/>
  <c r="K7" i="2"/>
  <c r="K6" i="2"/>
  <c r="X8" i="2"/>
  <c r="W8" i="2"/>
  <c r="V8" i="2"/>
  <c r="U8" i="2"/>
  <c r="T8" i="2"/>
  <c r="X7" i="2"/>
  <c r="W7" i="2"/>
  <c r="V7" i="2"/>
  <c r="U7" i="2"/>
  <c r="T7" i="2"/>
  <c r="X6" i="2"/>
  <c r="W6" i="2"/>
  <c r="V6" i="2"/>
  <c r="U6" i="2"/>
  <c r="T6" i="2"/>
  <c r="X9" i="2"/>
  <c r="W9" i="2"/>
  <c r="V9" i="2"/>
  <c r="U9" i="2"/>
  <c r="T9" i="2"/>
  <c r="X15" i="2"/>
  <c r="W15" i="2"/>
  <c r="V15" i="2"/>
  <c r="U15" i="2"/>
  <c r="T15" i="2"/>
  <c r="T21" i="2" s="1"/>
  <c r="T25" i="2" s="1"/>
  <c r="T28" i="2" s="1"/>
  <c r="T30" i="2" s="1"/>
  <c r="I40" i="2"/>
  <c r="H40" i="2"/>
  <c r="J39" i="2"/>
  <c r="I39" i="2"/>
  <c r="H39" i="2"/>
  <c r="J38" i="2"/>
  <c r="I38" i="2"/>
  <c r="H38" i="2"/>
  <c r="G39" i="2"/>
  <c r="G38" i="2"/>
  <c r="G40" i="2"/>
  <c r="J37" i="2"/>
  <c r="J36" i="2"/>
  <c r="J35" i="2"/>
  <c r="H37" i="2"/>
  <c r="G37" i="2"/>
  <c r="H36" i="2"/>
  <c r="G36" i="2"/>
  <c r="H35" i="2"/>
  <c r="G35" i="2"/>
  <c r="I37" i="2"/>
  <c r="I36" i="2"/>
  <c r="I35" i="2"/>
  <c r="I9" i="2"/>
  <c r="H9" i="2"/>
  <c r="G9" i="2"/>
  <c r="F9" i="2"/>
  <c r="D9" i="2"/>
  <c r="C9" i="2"/>
  <c r="E9" i="2"/>
  <c r="J7" i="2"/>
  <c r="H7" i="2"/>
  <c r="G7" i="2"/>
  <c r="F7" i="2"/>
  <c r="E7" i="2"/>
  <c r="D7" i="2"/>
  <c r="C7" i="2"/>
  <c r="J8" i="2"/>
  <c r="H8" i="2"/>
  <c r="G8" i="2"/>
  <c r="F8" i="2"/>
  <c r="E8" i="2"/>
  <c r="D8" i="2"/>
  <c r="C8" i="2"/>
  <c r="I8" i="2"/>
  <c r="I7" i="2"/>
  <c r="I6" i="2"/>
  <c r="J6" i="2"/>
  <c r="H6" i="2"/>
  <c r="G6" i="2"/>
  <c r="F6" i="2"/>
  <c r="E6" i="2"/>
  <c r="D6" i="2"/>
  <c r="C6" i="2"/>
  <c r="H15" i="2"/>
  <c r="H21" i="2" s="1"/>
  <c r="H25" i="2" s="1"/>
  <c r="H28" i="2" s="1"/>
  <c r="H30" i="2" s="1"/>
  <c r="G15" i="2"/>
  <c r="G21" i="2" s="1"/>
  <c r="F15" i="2"/>
  <c r="F21" i="2" s="1"/>
  <c r="F25" i="2" s="1"/>
  <c r="F28" i="2" s="1"/>
  <c r="F30" i="2" s="1"/>
  <c r="E15" i="2"/>
  <c r="E21" i="2" s="1"/>
  <c r="E25" i="2" s="1"/>
  <c r="E28" i="2" s="1"/>
  <c r="D15" i="2"/>
  <c r="D21" i="2" s="1"/>
  <c r="D25" i="2" s="1"/>
  <c r="D28" i="2" s="1"/>
  <c r="D30" i="2" s="1"/>
  <c r="C15" i="2"/>
  <c r="C21" i="2" s="1"/>
  <c r="C25" i="2" s="1"/>
  <c r="C28" i="2" s="1"/>
  <c r="C30" i="2" s="1"/>
  <c r="I15" i="2"/>
  <c r="I21" i="2" s="1"/>
  <c r="I25" i="2" s="1"/>
  <c r="I28" i="2" s="1"/>
  <c r="I4" i="1"/>
  <c r="O25" i="2" l="1"/>
  <c r="O42" i="2"/>
  <c r="P21" i="2"/>
  <c r="J9" i="2"/>
  <c r="J15" i="2"/>
  <c r="Y21" i="2"/>
  <c r="Y41" i="2"/>
  <c r="M21" i="2"/>
  <c r="M41" i="2"/>
  <c r="N9" i="2"/>
  <c r="N40" i="2"/>
  <c r="N15" i="2"/>
  <c r="L21" i="2"/>
  <c r="L41" i="2"/>
  <c r="X21" i="2"/>
  <c r="X41" i="2"/>
  <c r="W21" i="2"/>
  <c r="W41" i="2"/>
  <c r="V21" i="2"/>
  <c r="V41" i="2"/>
  <c r="U21" i="2"/>
  <c r="U41" i="2"/>
  <c r="L42" i="2"/>
  <c r="L25" i="2"/>
  <c r="L28" i="2" s="1"/>
  <c r="K21" i="2"/>
  <c r="I7" i="1"/>
  <c r="I41" i="2"/>
  <c r="I42" i="2"/>
  <c r="I43" i="2"/>
  <c r="G25" i="2"/>
  <c r="G28" i="2" s="1"/>
  <c r="G30" i="2" s="1"/>
  <c r="G42" i="2"/>
  <c r="C41" i="2"/>
  <c r="D41" i="2"/>
  <c r="E41" i="2"/>
  <c r="F41" i="2"/>
  <c r="G41" i="2"/>
  <c r="C42" i="2"/>
  <c r="D42" i="2"/>
  <c r="E42" i="2"/>
  <c r="F42" i="2"/>
  <c r="C43" i="2"/>
  <c r="D43" i="2"/>
  <c r="E43" i="2"/>
  <c r="F43" i="2"/>
  <c r="H41" i="2"/>
  <c r="H43" i="2"/>
  <c r="H42" i="2"/>
  <c r="O28" i="2" l="1"/>
  <c r="O30" i="2" s="1"/>
  <c r="O43" i="2"/>
  <c r="P42" i="2"/>
  <c r="P25" i="2"/>
  <c r="Y42" i="2"/>
  <c r="Y25" i="2"/>
  <c r="M42" i="2"/>
  <c r="M25" i="2"/>
  <c r="J21" i="2"/>
  <c r="J41" i="2"/>
  <c r="N41" i="2"/>
  <c r="N21" i="2"/>
  <c r="N25" i="2" s="1"/>
  <c r="X42" i="2"/>
  <c r="X25" i="2"/>
  <c r="W42" i="2"/>
  <c r="W25" i="2"/>
  <c r="V42" i="2"/>
  <c r="V25" i="2"/>
  <c r="U42" i="2"/>
  <c r="U25" i="2"/>
  <c r="K42" i="2"/>
  <c r="K25" i="2"/>
  <c r="K28" i="2" s="1"/>
  <c r="L30" i="2"/>
  <c r="L43" i="2"/>
  <c r="G43" i="2"/>
  <c r="P43" i="2" l="1"/>
  <c r="P28" i="2"/>
  <c r="P30" i="2" s="1"/>
  <c r="Y28" i="2"/>
  <c r="Y30" i="2" s="1"/>
  <c r="Y43" i="2"/>
  <c r="M28" i="2"/>
  <c r="M30" i="2" s="1"/>
  <c r="M43" i="2"/>
  <c r="J42" i="2"/>
  <c r="J25" i="2"/>
  <c r="X43" i="2"/>
  <c r="X28" i="2"/>
  <c r="X30" i="2" s="1"/>
  <c r="W43" i="2"/>
  <c r="W28" i="2"/>
  <c r="W30" i="2" s="1"/>
  <c r="V43" i="2"/>
  <c r="V28" i="2"/>
  <c r="V30" i="2" s="1"/>
  <c r="U43" i="2"/>
  <c r="U28" i="2"/>
  <c r="U30" i="2" s="1"/>
  <c r="N42" i="2"/>
  <c r="K43" i="2"/>
  <c r="K30" i="2"/>
  <c r="I30" i="2"/>
  <c r="E30" i="2"/>
  <c r="J28" i="2" l="1"/>
  <c r="J30" i="2" s="1"/>
  <c r="J43" i="2"/>
  <c r="N43" i="2"/>
  <c r="N28" i="2"/>
  <c r="N3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tc={D4B27D74-EED9-482B-A4F1-5CEE32155A2C}</author>
    <author>tc={A6F94B31-257C-4300-BB2C-F707ED69A8C7}</author>
    <author>tc={2657F045-E255-400A-AA3E-0CC46C6B6378}</author>
    <author>tc={74CED45B-8FAB-4A3A-89E6-256D8AFFCB73}</author>
    <author>tc={E7E8705B-EDDF-4FF8-AF71-D79EA085E55F}</author>
  </authors>
  <commentList>
    <comment ref="M40" authorId="0" shapeId="0" xr:uid="{D4B27D74-EED9-482B-A4F1-5CEE32155A2C}">
      <text>
        <t>[Threaded comment]
Your version of Excel allows you to read this threaded comment; however, any edits to it will get removed if the file is opened in a newer version of Excel. Learn more: https://go.microsoft.com/fwlink/?linkid=870924
Comment:
    About You Acq impact</t>
      </text>
    </comment>
    <comment ref="N40" authorId="1" shapeId="0" xr:uid="{A6F94B31-257C-4300-BB2C-F707ED69A8C7}">
      <text>
        <t>[Threaded comment]
Your version of Excel allows you to read this threaded comment; however, any edits to it will get removed if the file is opened in a newer version of Excel. Learn more: https://go.microsoft.com/fwlink/?linkid=870924
Comment:
    AboutYou acq impact</t>
      </text>
    </comment>
    <comment ref="O40" authorId="2" shapeId="0" xr:uid="{2657F045-E255-400A-AA3E-0CC46C6B6378}">
      <text>
        <t>[Threaded comment]
Your version of Excel allows you to read this threaded comment; however, any edits to it will get removed if the file is opened in a newer version of Excel. Learn more: https://go.microsoft.com/fwlink/?linkid=870924
Comment:
    AboutYou acq impact</t>
      </text>
    </comment>
    <comment ref="P40" authorId="3" shapeId="0" xr:uid="{74CED45B-8FAB-4A3A-89E6-256D8AFFCB73}">
      <text>
        <t>[Threaded comment]
Your version of Excel allows you to read this threaded comment; however, any edits to it will get removed if the file is opened in a newer version of Excel. Learn more: https://go.microsoft.com/fwlink/?linkid=870924
Comment:
    AboutYou acq impact</t>
      </text>
    </comment>
    <comment ref="Y40" authorId="4" shapeId="0" xr:uid="{E7E8705B-EDDF-4FF8-AF71-D79EA085E55F}">
      <text>
        <t>[Threaded comment]
Your version of Excel allows you to read this threaded comment; however, any edits to it will get removed if the file is opened in a newer version of Excel. Learn more: https://go.microsoft.com/fwlink/?linkid=870924
Comment:
    AboutYou Acq impact
Adjsuted 7% growth</t>
      </text>
    </comment>
  </commentList>
</comments>
</file>

<file path=xl/sharedStrings.xml><?xml version="1.0" encoding="utf-8"?>
<sst xmlns="http://schemas.openxmlformats.org/spreadsheetml/2006/main" count="78" uniqueCount="74">
  <si>
    <t>ZAL.DE</t>
  </si>
  <si>
    <t>Zalando</t>
  </si>
  <si>
    <t>numbers in mio EUR</t>
  </si>
  <si>
    <t>IR</t>
  </si>
  <si>
    <t>Price</t>
  </si>
  <si>
    <t>Shares</t>
  </si>
  <si>
    <t>MC</t>
  </si>
  <si>
    <t>Cash</t>
  </si>
  <si>
    <t>Debt</t>
  </si>
  <si>
    <t>EV</t>
  </si>
  <si>
    <t>Q324</t>
  </si>
  <si>
    <t>Notes</t>
  </si>
  <si>
    <t>Acqusition of About You</t>
  </si>
  <si>
    <t>Main</t>
  </si>
  <si>
    <t>Q123</t>
  </si>
  <si>
    <t>Q223</t>
  </si>
  <si>
    <t>Q323</t>
  </si>
  <si>
    <t>Q423</t>
  </si>
  <si>
    <t>Q124</t>
  </si>
  <si>
    <t>Q224</t>
  </si>
  <si>
    <t>Q424</t>
  </si>
  <si>
    <t>Revenue</t>
  </si>
  <si>
    <t>COGS</t>
  </si>
  <si>
    <t>Gross Profit</t>
  </si>
  <si>
    <t>Fulfilment</t>
  </si>
  <si>
    <t>Marketing</t>
  </si>
  <si>
    <t>Administrative</t>
  </si>
  <si>
    <t>Other Operating Income</t>
  </si>
  <si>
    <t>Other Operating Expenses</t>
  </si>
  <si>
    <t>Operating Income</t>
  </si>
  <si>
    <t>Finance Income</t>
  </si>
  <si>
    <t>Finance Expenses</t>
  </si>
  <si>
    <t>Other</t>
  </si>
  <si>
    <t>Pretax Income</t>
  </si>
  <si>
    <t>Tax Expenses</t>
  </si>
  <si>
    <t>Net Income</t>
  </si>
  <si>
    <t>EPS</t>
  </si>
  <si>
    <t>Employee Count</t>
  </si>
  <si>
    <t>GMV</t>
  </si>
  <si>
    <t>Number of Costumers</t>
  </si>
  <si>
    <t>Number of Orders</t>
  </si>
  <si>
    <t>GMV per Costumer</t>
  </si>
  <si>
    <t>Orders per Costumer</t>
  </si>
  <si>
    <t>Average Value of Order</t>
  </si>
  <si>
    <t>Conversion Rate</t>
  </si>
  <si>
    <t>GMV Growth</t>
  </si>
  <si>
    <t>Costumer Growth</t>
  </si>
  <si>
    <t>Order Growth</t>
  </si>
  <si>
    <t>Revenue Growth</t>
  </si>
  <si>
    <t xml:space="preserve">Gross Margin </t>
  </si>
  <si>
    <t xml:space="preserve">Operating Margin </t>
  </si>
  <si>
    <t>Tax Rate</t>
  </si>
  <si>
    <t>B2C Revenue</t>
  </si>
  <si>
    <t>B2B Revenue</t>
  </si>
  <si>
    <t>B2C Growth</t>
  </si>
  <si>
    <t>B2B Growth</t>
  </si>
  <si>
    <t>Guidance</t>
  </si>
  <si>
    <t>GMV 3-5%</t>
  </si>
  <si>
    <t>Revenue 2-5%</t>
  </si>
  <si>
    <t>FY20</t>
  </si>
  <si>
    <t>FY21</t>
  </si>
  <si>
    <t>FY22</t>
  </si>
  <si>
    <t>FY23</t>
  </si>
  <si>
    <t>FY24</t>
  </si>
  <si>
    <t>Q125</t>
  </si>
  <si>
    <t>Q225</t>
  </si>
  <si>
    <t>Q325</t>
  </si>
  <si>
    <t>Q425</t>
  </si>
  <si>
    <t>FY25</t>
  </si>
  <si>
    <t>Minority Interest</t>
  </si>
  <si>
    <t>Q126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</si>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</sst>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#,##0.0;\(#,##0.0\)"/>
    <numFmt numFmtId="166" formatCode="#,##0;\(#,##0\)"/>
    <numFmt numFmtId="167" formatCode="#,##0.00;\(#,##0.00\)"/>
  </numFmts>
  <fonts count="11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u/>
      <sz val="10"/>
      <color theme="1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8">
    <xf numFmtId="0" fontId="0" fillId="0" borderId="0" xfId="0"/>
    <xf numFmtId="0" fontId="7" fillId="0" borderId="0" xfId="0" applyFont="1"/>
    <xf numFmtId="0" fontId="4" fillId="0" borderId="0" xfId="0" applyFont="1"/>
    <xf numFmtId="165" fontId="4" fillId="0" borderId="0" xfId="0" applyNumberFormat="1" applyFont="1"/>
    <xf numFmtId="0" fontId="4" fillId="0" borderId="0" xfId="0" applyFont="1" applyAlignment="1">
      <alignment horizontal="right"/>
    </xf>
    <xf numFmtId="0" fontId="8" fillId="0" borderId="0" xfId="2" applyFont="1"/>
    <xf numFmtId="0" fontId="9" fillId="0" borderId="0" xfId="0" applyFont="1"/>
    <xf numFmtId="164" fontId="4" fillId="0" borderId="0" xfId="0" applyNumberFormat="1" applyFont="1"/>
    <xf numFmtId="9" fontId="4" fillId="0" borderId="0" xfId="1" applyFont="1"/>
    <xf numFmtId="165" fontId="7" fillId="0" borderId="0" xfId="0" applyNumberFormat="1" applyFont="1"/>
    <xf numFmtId="167" fontId="4" fillId="0" borderId="0" xfId="0" applyNumberFormat="1" applyFont="1"/>
    <xf numFmtId="166" fontId="4" fillId="0" borderId="0" xfId="0" applyNumberFormat="1" applyFont="1"/>
    <xf numFmtId="9" fontId="7" fillId="0" borderId="0" xfId="1" applyFont="1"/>
    <xf numFmtId="0" fontId="3" fillId="0" borderId="0" xfId="0" applyFont="1"/>
    <xf numFmtId="0" fontId="3" fillId="0" borderId="0" xfId="0" applyFont="1" applyAlignment="1">
      <alignment horizontal="right"/>
    </xf>
    <xf numFmtId="165" fontId="3" fillId="0" borderId="0" xfId="0" applyNumberFormat="1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Oscar Settje" id="{48AB04CC-2CEE-4DAA-8F96-EBFABD3AF0FB}" userId="7ff36870b973954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40" dT="2026-03-13T10:55:36.16" personId="{48AB04CC-2CEE-4DAA-8F96-EBFABD3AF0FB}" id="{D4B27D74-EED9-482B-A4F1-5CEE32155A2C}">
    <text>About You Acq impact</text>
  </threadedComment>
  <threadedComment ref="N40" dT="2026-03-13T10:55:51.13" personId="{48AB04CC-2CEE-4DAA-8F96-EBFABD3AF0FB}" id="{A6F94B31-257C-4300-BB2C-F707ED69A8C7}">
    <text>AboutYou acq impact</text>
  </threadedComment>
  <threadedComment ref="O40" dT="2026-03-13T10:55:51.13" personId="{48AB04CC-2CEE-4DAA-8F96-EBFABD3AF0FB}" id="{2657F045-E255-400A-AA3E-0CC46C6B6378}">
    <text>AboutYou acq impact</text>
  </threadedComment>
  <threadedComment ref="P40" dT="2026-03-13T10:55:51.13" personId="{48AB04CC-2CEE-4DAA-8F96-EBFABD3AF0FB}" id="{74CED45B-8FAB-4A3A-89E6-256D8AFFCB73}">
    <text>AboutYou acq impact</text>
  </threadedComment>
  <threadedComment ref="Y40" dT="2026-03-13T10:56:50.44" personId="{48AB04CC-2CEE-4DAA-8F96-EBFABD3AF0FB}" id="{E7E8705B-EDDF-4FF8-AF71-D79EA085E55F}">
    <text>AboutYou Acq impact
Adjsuted 7% growth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rporate.zalando.com/de/investor-relation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CB31F-2D56-46E3-B670-4DC6239CE78A}">
  <dimension ref="A1:J19"/>
  <sheetViews>
    <sheetView topLeftCell="C1" zoomScale="200" zoomScaleNormal="200" workbookViewId="0">
      <selection activeCell="I4" sqref="I4"/>
    </sheetView>
  </sheetViews>
  <sheetFormatPr defaultRowHeight="12.75" x14ac:dyDescent="0.2"/>
  <cols>
    <col min="1" max="1" width="3.42578125" style="2" customWidth="1"/>
    <col min="2" max="16384" width="9.140625" style="2"/>
  </cols>
  <sheetData>
    <row r="1" spans="1:10" x14ac:dyDescent="0.2">
      <c r="A1" s="1" t="s">
        <v>1</v>
      </c>
    </row>
    <row r="2" spans="1:10" x14ac:dyDescent="0.2">
      <c r="A2" s="2" t="s">
        <v>2</v>
      </c>
      <c r="H2" s="2" t="s">
        <v>4</v>
      </c>
      <c r="I2" s="2">
        <v>25.27</v>
      </c>
    </row>
    <row r="3" spans="1:10" x14ac:dyDescent="0.2">
      <c r="H3" s="2" t="s">
        <v>5</v>
      </c>
      <c r="I3" s="3">
        <v>249</v>
      </c>
      <c r="J3" s="17" t="s">
        <v>71</v>
      </c>
    </row>
    <row r="4" spans="1:10" x14ac:dyDescent="0.2">
      <c r="B4" s="2" t="s">
        <v>0</v>
      </c>
      <c r="H4" s="2" t="s">
        <v>6</v>
      </c>
      <c r="I4" s="3">
        <f>+I2*I3</f>
        <v>6292.23</v>
      </c>
    </row>
    <row r="5" spans="1:10" x14ac:dyDescent="0.2">
      <c r="B5" s="5" t="s">
        <v>3</v>
      </c>
      <c r="H5" s="2" t="s">
        <v>7</v>
      </c>
      <c r="I5" s="3">
        <v>1397.8</v>
      </c>
      <c r="J5" s="17" t="s">
        <v>71</v>
      </c>
    </row>
    <row r="6" spans="1:10" x14ac:dyDescent="0.2">
      <c r="H6" s="2" t="s">
        <v>8</v>
      </c>
      <c r="I6" s="3">
        <f>696.5+242.5</f>
        <v>939</v>
      </c>
      <c r="J6" s="17" t="s">
        <v>71</v>
      </c>
    </row>
    <row r="7" spans="1:10" x14ac:dyDescent="0.2">
      <c r="H7" s="2" t="s">
        <v>9</v>
      </c>
      <c r="I7" s="3">
        <f>+I4-I5+I6</f>
        <v>5833.4299999999994</v>
      </c>
    </row>
    <row r="15" spans="1:10" x14ac:dyDescent="0.2">
      <c r="B15" s="6" t="s">
        <v>11</v>
      </c>
    </row>
    <row r="16" spans="1:10" x14ac:dyDescent="0.2">
      <c r="B16" s="2" t="s">
        <v>12</v>
      </c>
    </row>
    <row r="17" spans="2:2" x14ac:dyDescent="0.2">
      <c r="B17" s="6" t="s">
        <v>56</v>
      </c>
    </row>
    <row r="18" spans="2:2" x14ac:dyDescent="0.2">
      <c r="B18" s="2" t="s">
        <v>57</v>
      </c>
    </row>
    <row r="19" spans="2:2" x14ac:dyDescent="0.2">
      <c r="B19" s="2" t="s">
        <v>58</v>
      </c>
    </row>
  </sheetData>
  <hyperlinks>
    <hyperlink ref="B5" r:id="rId1" xr:uid="{2E71AB40-DF71-4450-B663-D7C206ADFF6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B6BCF-56F9-4A6F-A0B9-70CA233D4BF4}">
  <dimension ref="A1:BQ465"/>
  <sheetViews>
    <sheetView tabSelected="1" zoomScale="200" zoomScaleNormal="200" workbookViewId="0">
      <pane xSplit="2" ySplit="2" topLeftCell="L17" activePane="bottomRight" state="frozen"/>
      <selection pane="topRight" activeCell="C1" sqref="C1"/>
      <selection pane="bottomLeft" activeCell="A3" sqref="A3"/>
      <selection pane="bottomRight" activeCell="P45" sqref="P45"/>
    </sheetView>
  </sheetViews>
  <sheetFormatPr defaultRowHeight="12.75" x14ac:dyDescent="0.2"/>
  <cols>
    <col min="1" max="1" width="5.42578125" style="2" bestFit="1" customWidth="1"/>
    <col min="2" max="2" width="28.140625" style="2" customWidth="1"/>
    <col min="3" max="16384" width="9.140625" style="2"/>
  </cols>
  <sheetData>
    <row r="1" spans="1:69" x14ac:dyDescent="0.2">
      <c r="A1" s="5" t="s">
        <v>13</v>
      </c>
    </row>
    <row r="2" spans="1:69" x14ac:dyDescent="0.2"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10</v>
      </c>
      <c r="J2" s="4" t="s">
        <v>20</v>
      </c>
      <c r="K2" s="4" t="s">
        <v>64</v>
      </c>
      <c r="L2" s="4" t="s">
        <v>65</v>
      </c>
      <c r="M2" s="4" t="s">
        <v>66</v>
      </c>
      <c r="N2" s="4" t="s">
        <v>67</v>
      </c>
      <c r="O2" s="16" t="s">
        <v>70</v>
      </c>
      <c r="P2" s="16" t="s">
        <v>71</v>
      </c>
      <c r="Q2" s="16" t="s">
        <v>72</v>
      </c>
      <c r="R2" s="16" t="s">
        <v>73</v>
      </c>
      <c r="T2" s="4" t="s">
        <v>59</v>
      </c>
      <c r="U2" s="4" t="s">
        <v>60</v>
      </c>
      <c r="V2" s="4" t="s">
        <v>61</v>
      </c>
      <c r="W2" s="4" t="s">
        <v>62</v>
      </c>
      <c r="X2" s="4" t="s">
        <v>63</v>
      </c>
      <c r="Y2" s="14" t="s">
        <v>68</v>
      </c>
    </row>
    <row r="3" spans="1:69" x14ac:dyDescent="0.2">
      <c r="B3" s="2" t="s">
        <v>38</v>
      </c>
      <c r="C3" s="3"/>
      <c r="D3" s="3"/>
      <c r="E3" s="3">
        <v>3209.3</v>
      </c>
      <c r="F3" s="3"/>
      <c r="G3" s="3">
        <v>3284.5</v>
      </c>
      <c r="H3" s="3">
        <v>3867.9</v>
      </c>
      <c r="I3" s="3">
        <v>3458.5</v>
      </c>
      <c r="J3" s="3">
        <v>4674.3999999999996</v>
      </c>
      <c r="K3" s="3">
        <v>3945.7</v>
      </c>
      <c r="L3" s="3">
        <v>4058.1</v>
      </c>
      <c r="M3" s="3">
        <v>4209.6000000000004</v>
      </c>
      <c r="N3" s="3">
        <f>+Y3-SUM(K3:M3)</f>
        <v>5346.8000000000011</v>
      </c>
      <c r="O3" s="3">
        <v>4294.3</v>
      </c>
      <c r="P3" s="3">
        <v>4915</v>
      </c>
      <c r="Q3" s="3"/>
      <c r="R3" s="3"/>
      <c r="S3" s="3"/>
      <c r="T3" s="3">
        <v>10696</v>
      </c>
      <c r="U3" s="3">
        <v>14332.7</v>
      </c>
      <c r="V3" s="3">
        <v>14788.7</v>
      </c>
      <c r="W3" s="3">
        <v>14631</v>
      </c>
      <c r="X3" s="3">
        <v>15296.2</v>
      </c>
      <c r="Y3" s="3">
        <v>17560.2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</row>
    <row r="4" spans="1:69" x14ac:dyDescent="0.2">
      <c r="B4" s="2" t="s">
        <v>39</v>
      </c>
      <c r="C4" s="3"/>
      <c r="D4" s="3"/>
      <c r="E4" s="3">
        <v>50.1</v>
      </c>
      <c r="F4" s="3"/>
      <c r="G4" s="3">
        <v>49.5</v>
      </c>
      <c r="H4" s="3">
        <v>49.8</v>
      </c>
      <c r="I4" s="3">
        <v>50.3</v>
      </c>
      <c r="J4" s="3">
        <v>51.8</v>
      </c>
      <c r="K4" s="3">
        <v>52.4</v>
      </c>
      <c r="L4" s="3">
        <v>52.9</v>
      </c>
      <c r="M4" s="3">
        <v>61.4</v>
      </c>
      <c r="N4" s="3">
        <v>62</v>
      </c>
      <c r="O4" s="3">
        <v>62.3</v>
      </c>
      <c r="P4" s="3">
        <v>62.5</v>
      </c>
      <c r="Q4" s="3"/>
      <c r="R4" s="3"/>
      <c r="S4" s="3"/>
      <c r="T4" s="3">
        <v>38.700000000000003</v>
      </c>
      <c r="U4" s="3">
        <v>48.5</v>
      </c>
      <c r="V4" s="3">
        <v>51.2</v>
      </c>
      <c r="W4" s="3">
        <v>49.6</v>
      </c>
      <c r="X4" s="3">
        <v>51.8</v>
      </c>
      <c r="Y4" s="3">
        <v>62</v>
      </c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</row>
    <row r="5" spans="1:69" x14ac:dyDescent="0.2">
      <c r="B5" s="2" t="s">
        <v>40</v>
      </c>
      <c r="C5" s="3"/>
      <c r="D5" s="3"/>
      <c r="E5" s="3">
        <v>54.5</v>
      </c>
      <c r="F5" s="3"/>
      <c r="G5" s="3">
        <v>55.2</v>
      </c>
      <c r="H5" s="3">
        <v>63.4</v>
      </c>
      <c r="I5" s="3">
        <v>57.9</v>
      </c>
      <c r="J5" s="3">
        <v>74.5</v>
      </c>
      <c r="K5" s="3">
        <v>58.5</v>
      </c>
      <c r="L5" s="3">
        <v>65</v>
      </c>
      <c r="M5" s="3">
        <v>68.5</v>
      </c>
      <c r="N5" s="3">
        <v>278.60000000000002</v>
      </c>
      <c r="O5" s="3">
        <v>69.5</v>
      </c>
      <c r="P5" s="3">
        <v>77.5</v>
      </c>
      <c r="Q5" s="3"/>
      <c r="R5" s="3"/>
      <c r="S5" s="3"/>
      <c r="T5" s="3">
        <v>185.5</v>
      </c>
      <c r="U5" s="3">
        <v>252.2</v>
      </c>
      <c r="V5" s="3">
        <v>261.10000000000002</v>
      </c>
      <c r="W5" s="3">
        <v>244.8</v>
      </c>
      <c r="X5" s="3">
        <v>251</v>
      </c>
      <c r="Y5" s="3">
        <v>278.60000000000002</v>
      </c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</row>
    <row r="6" spans="1:69" x14ac:dyDescent="0.2">
      <c r="B6" s="2" t="s">
        <v>41</v>
      </c>
      <c r="C6" s="3" t="e">
        <f>+C3/C4</f>
        <v>#DIV/0!</v>
      </c>
      <c r="D6" s="3" t="e">
        <f>+D3/D4</f>
        <v>#DIV/0!</v>
      </c>
      <c r="E6" s="3">
        <f>+E3/E4</f>
        <v>64.057884231536931</v>
      </c>
      <c r="F6" s="3" t="e">
        <f>+F3/F4</f>
        <v>#DIV/0!</v>
      </c>
      <c r="G6" s="3">
        <f>+G3/G4</f>
        <v>66.353535353535349</v>
      </c>
      <c r="H6" s="3">
        <f>+H3/H4</f>
        <v>77.668674698795186</v>
      </c>
      <c r="I6" s="3">
        <f>+I3/I4</f>
        <v>68.757455268389663</v>
      </c>
      <c r="J6" s="3">
        <f>+J3/J4</f>
        <v>90.239382239382238</v>
      </c>
      <c r="K6" s="3">
        <f>+K3/K4</f>
        <v>75.299618320610691</v>
      </c>
      <c r="L6" s="3">
        <f t="shared" ref="L6:O6" si="0">+L3/L4</f>
        <v>76.71266540642722</v>
      </c>
      <c r="M6" s="3">
        <f t="shared" si="0"/>
        <v>68.560260586319231</v>
      </c>
      <c r="N6" s="3">
        <f t="shared" si="0"/>
        <v>86.238709677419379</v>
      </c>
      <c r="O6" s="3">
        <f t="shared" si="0"/>
        <v>68.929373996789735</v>
      </c>
      <c r="P6" s="3">
        <f t="shared" ref="P6" si="1">+P3/P4</f>
        <v>78.64</v>
      </c>
      <c r="Q6" s="3"/>
      <c r="R6" s="3"/>
      <c r="S6" s="3"/>
      <c r="T6" s="3">
        <f t="shared" ref="T6:Y6" si="2">+T3/T4</f>
        <v>276.38242894056845</v>
      </c>
      <c r="U6" s="3">
        <f t="shared" si="2"/>
        <v>295.51958762886602</v>
      </c>
      <c r="V6" s="3">
        <f t="shared" si="2"/>
        <v>288.841796875</v>
      </c>
      <c r="W6" s="3">
        <f t="shared" si="2"/>
        <v>294.97983870967744</v>
      </c>
      <c r="X6" s="3">
        <f t="shared" si="2"/>
        <v>295.29343629343634</v>
      </c>
      <c r="Y6" s="3">
        <f t="shared" si="2"/>
        <v>283.22903225806454</v>
      </c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</row>
    <row r="7" spans="1:69" x14ac:dyDescent="0.2">
      <c r="B7" s="2" t="s">
        <v>42</v>
      </c>
      <c r="C7" s="3" t="e">
        <f t="shared" ref="C7:H7" si="3">+C5/C4</f>
        <v>#DIV/0!</v>
      </c>
      <c r="D7" s="3" t="e">
        <f t="shared" si="3"/>
        <v>#DIV/0!</v>
      </c>
      <c r="E7" s="3">
        <f t="shared" si="3"/>
        <v>1.0878243512974051</v>
      </c>
      <c r="F7" s="3" t="e">
        <f t="shared" si="3"/>
        <v>#DIV/0!</v>
      </c>
      <c r="G7" s="3">
        <f t="shared" si="3"/>
        <v>1.1151515151515152</v>
      </c>
      <c r="H7" s="3">
        <f t="shared" si="3"/>
        <v>1.2730923694779117</v>
      </c>
      <c r="I7" s="3">
        <f>+I5/I4</f>
        <v>1.151093439363817</v>
      </c>
      <c r="J7" s="3">
        <f t="shared" ref="J7:Y7" si="4">+J5/J4</f>
        <v>1.4382239382239383</v>
      </c>
      <c r="K7" s="3">
        <f t="shared" si="4"/>
        <v>1.116412213740458</v>
      </c>
      <c r="L7" s="3">
        <f t="shared" ref="L7:O7" si="5">+L5/L4</f>
        <v>1.2287334593572778</v>
      </c>
      <c r="M7" s="3">
        <f t="shared" si="5"/>
        <v>1.1156351791530945</v>
      </c>
      <c r="N7" s="3">
        <f t="shared" si="5"/>
        <v>4.4935483870967747</v>
      </c>
      <c r="O7" s="3">
        <f t="shared" si="5"/>
        <v>1.115569823434992</v>
      </c>
      <c r="P7" s="3">
        <f t="shared" ref="P7" si="6">+P5/P4</f>
        <v>1.24</v>
      </c>
      <c r="Q7" s="3"/>
      <c r="R7" s="3"/>
      <c r="S7" s="3"/>
      <c r="T7" s="3">
        <f t="shared" si="4"/>
        <v>4.79328165374677</v>
      </c>
      <c r="U7" s="3">
        <f t="shared" si="4"/>
        <v>5.2</v>
      </c>
      <c r="V7" s="3">
        <f t="shared" si="4"/>
        <v>5.099609375</v>
      </c>
      <c r="W7" s="3">
        <f t="shared" si="4"/>
        <v>4.935483870967742</v>
      </c>
      <c r="X7" s="3">
        <f t="shared" si="4"/>
        <v>4.8455598455598459</v>
      </c>
      <c r="Y7" s="3">
        <f t="shared" si="4"/>
        <v>4.4935483870967747</v>
      </c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</row>
    <row r="8" spans="1:69" x14ac:dyDescent="0.2">
      <c r="B8" s="2" t="s">
        <v>43</v>
      </c>
      <c r="C8" s="3" t="e">
        <f>+C3/C5</f>
        <v>#DIV/0!</v>
      </c>
      <c r="D8" s="3" t="e">
        <f>+D3/D5</f>
        <v>#DIV/0!</v>
      </c>
      <c r="E8" s="3">
        <f>+E3/E5</f>
        <v>58.886238532110092</v>
      </c>
      <c r="F8" s="3" t="e">
        <f>+F3/F5</f>
        <v>#DIV/0!</v>
      </c>
      <c r="G8" s="3">
        <f>+G3/G5</f>
        <v>59.501811594202898</v>
      </c>
      <c r="H8" s="3">
        <f>+H3/H5</f>
        <v>61.00788643533123</v>
      </c>
      <c r="I8" s="3">
        <f>+I3/I5</f>
        <v>59.732297063903282</v>
      </c>
      <c r="J8" s="3">
        <f t="shared" ref="J8:Y8" si="7">+J3/J5</f>
        <v>62.743624161073818</v>
      </c>
      <c r="K8" s="3">
        <f t="shared" si="7"/>
        <v>67.447863247863239</v>
      </c>
      <c r="L8" s="3">
        <f t="shared" ref="L8:O8" si="8">+L3/L5</f>
        <v>62.432307692307688</v>
      </c>
      <c r="M8" s="3">
        <f t="shared" si="8"/>
        <v>61.454014598540148</v>
      </c>
      <c r="N8" s="3">
        <f t="shared" si="8"/>
        <v>19.191672648959084</v>
      </c>
      <c r="O8" s="3">
        <f t="shared" si="8"/>
        <v>61.788489208633095</v>
      </c>
      <c r="P8" s="3">
        <f t="shared" ref="P8" si="9">+P3/P5</f>
        <v>63.41935483870968</v>
      </c>
      <c r="Q8" s="3"/>
      <c r="R8" s="3"/>
      <c r="S8" s="3"/>
      <c r="T8" s="3">
        <f t="shared" si="7"/>
        <v>57.660377358490564</v>
      </c>
      <c r="U8" s="3">
        <f t="shared" si="7"/>
        <v>56.830689928628075</v>
      </c>
      <c r="V8" s="3">
        <f t="shared" si="7"/>
        <v>56.639984680199156</v>
      </c>
      <c r="W8" s="3">
        <f t="shared" si="7"/>
        <v>59.767156862745097</v>
      </c>
      <c r="X8" s="3">
        <f t="shared" si="7"/>
        <v>60.941035856573706</v>
      </c>
      <c r="Y8" s="3">
        <f t="shared" si="7"/>
        <v>63.030150753768844</v>
      </c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</row>
    <row r="9" spans="1:69" x14ac:dyDescent="0.2">
      <c r="B9" s="2" t="s">
        <v>44</v>
      </c>
      <c r="C9" s="8" t="e">
        <f>+C13/C3</f>
        <v>#DIV/0!</v>
      </c>
      <c r="D9" s="8" t="e">
        <f>+D13/D3</f>
        <v>#DIV/0!</v>
      </c>
      <c r="E9" s="8">
        <f>+E13/E3</f>
        <v>0.70884616583055493</v>
      </c>
      <c r="F9" s="8" t="e">
        <f>+F13/F3</f>
        <v>#DIV/0!</v>
      </c>
      <c r="G9" s="8">
        <f>+G13/G3</f>
        <v>0.68241741513167908</v>
      </c>
      <c r="H9" s="8">
        <f>+H13/H3</f>
        <v>0.68336823599369156</v>
      </c>
      <c r="I9" s="8">
        <f>+I13/I3</f>
        <v>0.69061731964724593</v>
      </c>
      <c r="J9" s="8">
        <f>+J13/J3</f>
        <v>0.70584460037651886</v>
      </c>
      <c r="K9" s="8">
        <f>+K13/K3</f>
        <v>0.61319917885292852</v>
      </c>
      <c r="L9" s="8">
        <f t="shared" ref="L9:O9" si="10">+L13/L3</f>
        <v>0.69862743648505454</v>
      </c>
      <c r="M9" s="8">
        <f t="shared" si="10"/>
        <v>0.71755036107943737</v>
      </c>
      <c r="N9" s="8">
        <f t="shared" si="10"/>
        <v>0.76137128749906469</v>
      </c>
      <c r="O9" s="8">
        <f t="shared" si="10"/>
        <v>0.69769228977947506</v>
      </c>
      <c r="P9" s="8">
        <f t="shared" ref="P9" si="11">+P13/P3</f>
        <v>0.69672431332655138</v>
      </c>
      <c r="Q9" s="8"/>
      <c r="R9" s="8"/>
      <c r="S9" s="3"/>
      <c r="T9" s="8">
        <f>+T13/T3</f>
        <v>0.73784592370979807</v>
      </c>
      <c r="U9" s="8">
        <f>+U13/U3</f>
        <v>0.72240401320058323</v>
      </c>
      <c r="V9" s="8">
        <f>+V13/V3</f>
        <v>0.69950705606307506</v>
      </c>
      <c r="W9" s="8">
        <f>+W13/W3</f>
        <v>0.69326088442348444</v>
      </c>
      <c r="X9" s="8">
        <f>+X13/X3</f>
        <v>0.69118473869327024</v>
      </c>
      <c r="Y9" s="8">
        <f>+Y13/Y3</f>
        <v>0.70307285794011454</v>
      </c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</row>
    <row r="10" spans="1:69" x14ac:dyDescent="0.2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</row>
    <row r="11" spans="1:69" x14ac:dyDescent="0.2">
      <c r="B11" s="2" t="s">
        <v>52</v>
      </c>
      <c r="C11" s="3"/>
      <c r="D11" s="3"/>
      <c r="E11" s="3">
        <v>2063</v>
      </c>
      <c r="F11" s="3"/>
      <c r="G11" s="3"/>
      <c r="H11" s="3"/>
      <c r="I11" s="3">
        <v>2151.5</v>
      </c>
      <c r="J11" s="3"/>
      <c r="K11" s="3">
        <v>2182.5</v>
      </c>
      <c r="L11" s="3">
        <v>2576.1</v>
      </c>
      <c r="M11" s="3">
        <v>2761.7</v>
      </c>
      <c r="N11" s="3">
        <f>+Y11-SUM(K11:M11)</f>
        <v>3758.4000000000005</v>
      </c>
      <c r="O11" s="3">
        <v>2707.2</v>
      </c>
      <c r="P11" s="3">
        <v>3098.7</v>
      </c>
      <c r="Q11" s="3"/>
      <c r="R11" s="3"/>
      <c r="S11" s="3"/>
      <c r="T11" s="3"/>
      <c r="U11" s="3"/>
      <c r="V11" s="3"/>
      <c r="W11" s="3">
        <v>9301.7999999999993</v>
      </c>
      <c r="X11" s="3">
        <v>9657.7000000000007</v>
      </c>
      <c r="Y11" s="15">
        <v>11278.7</v>
      </c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</row>
    <row r="12" spans="1:69" x14ac:dyDescent="0.2">
      <c r="B12" s="2" t="s">
        <v>53</v>
      </c>
      <c r="C12" s="3"/>
      <c r="D12" s="3"/>
      <c r="E12" s="3">
        <v>215.8</v>
      </c>
      <c r="F12" s="3"/>
      <c r="G12" s="3"/>
      <c r="H12" s="3"/>
      <c r="I12" s="3">
        <v>239.7</v>
      </c>
      <c r="J12" s="3"/>
      <c r="K12" s="3">
        <v>240</v>
      </c>
      <c r="L12" s="3">
        <v>262.39999999999998</v>
      </c>
      <c r="M12" s="3">
        <v>277.10000000000002</v>
      </c>
      <c r="N12" s="3">
        <f>+Y12-SUM(K12:M12)</f>
        <v>311.79999999999995</v>
      </c>
      <c r="O12" s="3">
        <v>296.7</v>
      </c>
      <c r="P12" s="3">
        <v>334.7</v>
      </c>
      <c r="Q12" s="3"/>
      <c r="R12" s="3"/>
      <c r="S12" s="3"/>
      <c r="T12" s="3"/>
      <c r="U12" s="3"/>
      <c r="V12" s="3"/>
      <c r="W12" s="3">
        <v>854.4</v>
      </c>
      <c r="X12" s="3">
        <v>952.6</v>
      </c>
      <c r="Y12" s="3">
        <v>1091.3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</row>
    <row r="13" spans="1:69" x14ac:dyDescent="0.2">
      <c r="B13" s="1" t="s">
        <v>21</v>
      </c>
      <c r="C13" s="9"/>
      <c r="D13" s="9"/>
      <c r="E13" s="9">
        <v>2274.9</v>
      </c>
      <c r="F13" s="9"/>
      <c r="G13" s="9">
        <v>2241.4</v>
      </c>
      <c r="H13" s="9">
        <v>2643.2</v>
      </c>
      <c r="I13" s="9">
        <v>2388.5</v>
      </c>
      <c r="J13" s="9">
        <f>+X13-SUM(G13:I13)</f>
        <v>3299.3999999999996</v>
      </c>
      <c r="K13" s="9">
        <v>2419.5</v>
      </c>
      <c r="L13" s="9">
        <v>2835.1</v>
      </c>
      <c r="M13" s="9">
        <v>3020.6</v>
      </c>
      <c r="N13" s="9">
        <f>+Y13-SUM(K13:M13)</f>
        <v>4070.8999999999996</v>
      </c>
      <c r="O13" s="9">
        <v>2996.1</v>
      </c>
      <c r="P13" s="9">
        <v>3424.4</v>
      </c>
      <c r="Q13" s="9"/>
      <c r="R13" s="9"/>
      <c r="S13" s="3"/>
      <c r="T13" s="9">
        <v>7892</v>
      </c>
      <c r="U13" s="9">
        <v>10354</v>
      </c>
      <c r="V13" s="9">
        <v>10344.799999999999</v>
      </c>
      <c r="W13" s="9">
        <v>10143.1</v>
      </c>
      <c r="X13" s="9">
        <v>10572.5</v>
      </c>
      <c r="Y13" s="9">
        <v>12346.1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</row>
    <row r="14" spans="1:69" x14ac:dyDescent="0.2">
      <c r="B14" s="2" t="s">
        <v>22</v>
      </c>
      <c r="C14" s="3"/>
      <c r="D14" s="3"/>
      <c r="E14" s="3">
        <v>1440.2</v>
      </c>
      <c r="F14" s="3"/>
      <c r="G14" s="3">
        <v>1384.6</v>
      </c>
      <c r="H14" s="3">
        <v>1544</v>
      </c>
      <c r="I14" s="3">
        <v>1416.7</v>
      </c>
      <c r="J14" s="15">
        <f>+X14-SUM(G14:I14)</f>
        <v>1925.1999999999998</v>
      </c>
      <c r="K14" s="3">
        <v>1473.3</v>
      </c>
      <c r="L14" s="3">
        <v>1677.6</v>
      </c>
      <c r="M14" s="3">
        <v>1825.4</v>
      </c>
      <c r="N14" s="3">
        <f>+Y14-SUM(K14:M14)</f>
        <v>2446.1000000000004</v>
      </c>
      <c r="O14" s="3">
        <v>1824.5</v>
      </c>
      <c r="P14" s="3">
        <v>2025.6</v>
      </c>
      <c r="Q14" s="3"/>
      <c r="R14" s="3"/>
      <c r="S14" s="3"/>
      <c r="T14" s="3">
        <v>4587.8</v>
      </c>
      <c r="U14" s="3">
        <v>6027.7</v>
      </c>
      <c r="V14" s="3">
        <v>6289.3</v>
      </c>
      <c r="W14" s="3">
        <v>6212.7</v>
      </c>
      <c r="X14" s="3">
        <v>6270.5</v>
      </c>
      <c r="Y14" s="15">
        <v>7422.4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</row>
    <row r="15" spans="1:69" x14ac:dyDescent="0.2">
      <c r="B15" s="2" t="s">
        <v>23</v>
      </c>
      <c r="C15" s="3">
        <f t="shared" ref="C15:H15" si="12">+C13-C14</f>
        <v>0</v>
      </c>
      <c r="D15" s="3">
        <f t="shared" si="12"/>
        <v>0</v>
      </c>
      <c r="E15" s="3">
        <f t="shared" si="12"/>
        <v>834.7</v>
      </c>
      <c r="F15" s="3">
        <f t="shared" si="12"/>
        <v>0</v>
      </c>
      <c r="G15" s="3">
        <f t="shared" si="12"/>
        <v>856.80000000000018</v>
      </c>
      <c r="H15" s="3">
        <f t="shared" si="12"/>
        <v>1099.1999999999998</v>
      </c>
      <c r="I15" s="3">
        <f>+I13-I14</f>
        <v>971.8</v>
      </c>
      <c r="J15" s="3">
        <f t="shared" ref="J15:P15" si="13">+J13-J14</f>
        <v>1374.1999999999998</v>
      </c>
      <c r="K15" s="3">
        <f t="shared" si="13"/>
        <v>946.2</v>
      </c>
      <c r="L15" s="3">
        <f t="shared" si="13"/>
        <v>1157.5</v>
      </c>
      <c r="M15" s="3">
        <f t="shared" si="13"/>
        <v>1195.1999999999998</v>
      </c>
      <c r="N15" s="3">
        <f t="shared" si="13"/>
        <v>1624.7999999999993</v>
      </c>
      <c r="O15" s="3">
        <f t="shared" si="13"/>
        <v>1171.5999999999999</v>
      </c>
      <c r="P15" s="3">
        <f t="shared" si="13"/>
        <v>1398.8000000000002</v>
      </c>
      <c r="Q15" s="3"/>
      <c r="R15" s="3"/>
      <c r="S15" s="3"/>
      <c r="T15" s="3">
        <f>+T13-T14</f>
        <v>3304.2</v>
      </c>
      <c r="U15" s="3">
        <f t="shared" ref="U15:Y15" si="14">+U13-U14</f>
        <v>4326.3</v>
      </c>
      <c r="V15" s="3">
        <f t="shared" si="14"/>
        <v>4055.4999999999991</v>
      </c>
      <c r="W15" s="3">
        <f t="shared" si="14"/>
        <v>3930.4000000000005</v>
      </c>
      <c r="X15" s="3">
        <f t="shared" si="14"/>
        <v>4302</v>
      </c>
      <c r="Y15" s="3">
        <f t="shared" si="14"/>
        <v>4923.7000000000007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</row>
    <row r="16" spans="1:69" x14ac:dyDescent="0.2">
      <c r="B16" s="2" t="s">
        <v>24</v>
      </c>
      <c r="C16" s="3"/>
      <c r="D16" s="3"/>
      <c r="E16" s="3">
        <v>567.1</v>
      </c>
      <c r="F16" s="3"/>
      <c r="G16" s="3">
        <v>550.5</v>
      </c>
      <c r="H16" s="3">
        <v>583.5</v>
      </c>
      <c r="I16" s="3">
        <v>567.4</v>
      </c>
      <c r="J16" s="15">
        <f>+X16-SUM(G16:I16)</f>
        <v>717</v>
      </c>
      <c r="K16" s="3">
        <v>591.5</v>
      </c>
      <c r="L16" s="3">
        <v>627</v>
      </c>
      <c r="M16" s="3">
        <v>734.9</v>
      </c>
      <c r="N16" s="3">
        <f>+Y16-SUM(K16:M16)</f>
        <v>888.90000000000009</v>
      </c>
      <c r="O16" s="3">
        <v>750.8</v>
      </c>
      <c r="P16" s="3">
        <v>792.2</v>
      </c>
      <c r="Q16" s="3"/>
      <c r="R16" s="3"/>
      <c r="S16" s="3"/>
      <c r="T16" s="3"/>
      <c r="U16" s="3"/>
      <c r="V16" s="3"/>
      <c r="W16" s="3">
        <v>2458.3000000000002</v>
      </c>
      <c r="X16" s="3">
        <v>2418.4</v>
      </c>
      <c r="Y16" s="3">
        <v>2842.3</v>
      </c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</row>
    <row r="17" spans="2:69" x14ac:dyDescent="0.2">
      <c r="B17" s="2" t="s">
        <v>25</v>
      </c>
      <c r="C17" s="3"/>
      <c r="D17" s="3"/>
      <c r="E17" s="3">
        <v>159.30000000000001</v>
      </c>
      <c r="F17" s="3"/>
      <c r="G17" s="3">
        <v>183.1</v>
      </c>
      <c r="H17" s="3">
        <v>237.3</v>
      </c>
      <c r="I17" s="3">
        <v>216.7</v>
      </c>
      <c r="J17" s="15">
        <f>+X17-SUM(G17:I17)</f>
        <v>342.10000000000014</v>
      </c>
      <c r="K17" s="3">
        <v>209.9</v>
      </c>
      <c r="L17" s="3">
        <v>247</v>
      </c>
      <c r="M17" s="3">
        <v>280.5</v>
      </c>
      <c r="N17" s="3">
        <f>+Y17-SUM(K17:M17)</f>
        <v>387.80000000000007</v>
      </c>
      <c r="O17" s="3">
        <v>274.2</v>
      </c>
      <c r="P17" s="3">
        <v>328.3</v>
      </c>
      <c r="Q17" s="3"/>
      <c r="R17" s="3"/>
      <c r="S17" s="3"/>
      <c r="T17" s="3"/>
      <c r="U17" s="3"/>
      <c r="V17" s="3"/>
      <c r="W17" s="3">
        <v>752.5</v>
      </c>
      <c r="X17" s="3">
        <v>979.2</v>
      </c>
      <c r="Y17" s="3">
        <v>1125.2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</row>
    <row r="18" spans="2:69" x14ac:dyDescent="0.2">
      <c r="B18" s="2" t="s">
        <v>26</v>
      </c>
      <c r="C18" s="3"/>
      <c r="D18" s="3"/>
      <c r="E18" s="3">
        <v>128.4</v>
      </c>
      <c r="F18" s="3"/>
      <c r="G18" s="3">
        <v>122.8</v>
      </c>
      <c r="H18" s="3">
        <v>126.8</v>
      </c>
      <c r="I18" s="3">
        <v>116</v>
      </c>
      <c r="J18" s="15">
        <f>+X18-SUM(G18:I18)</f>
        <v>147.69999999999993</v>
      </c>
      <c r="K18" s="3">
        <v>125.6</v>
      </c>
      <c r="L18" s="3">
        <v>128.19999999999999</v>
      </c>
      <c r="M18" s="3">
        <v>130.69999999999999</v>
      </c>
      <c r="N18" s="3">
        <f>+Y18-SUM(K18:M18)</f>
        <v>156.5</v>
      </c>
      <c r="O18" s="3">
        <v>134.4</v>
      </c>
      <c r="P18" s="3">
        <v>137.80000000000001</v>
      </c>
      <c r="Q18" s="3"/>
      <c r="R18" s="3"/>
      <c r="S18" s="3"/>
      <c r="T18" s="3"/>
      <c r="U18" s="3"/>
      <c r="V18" s="3"/>
      <c r="W18" s="3">
        <v>490.8</v>
      </c>
      <c r="X18" s="3">
        <v>513.29999999999995</v>
      </c>
      <c r="Y18" s="3">
        <v>541</v>
      </c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</row>
    <row r="19" spans="2:69" x14ac:dyDescent="0.2">
      <c r="B19" s="2" t="s">
        <v>27</v>
      </c>
      <c r="C19" s="3"/>
      <c r="D19" s="3"/>
      <c r="E19" s="3">
        <v>2.4</v>
      </c>
      <c r="F19" s="3"/>
      <c r="G19" s="3">
        <v>5.3</v>
      </c>
      <c r="H19" s="3">
        <v>2.4</v>
      </c>
      <c r="I19" s="3">
        <v>6.1</v>
      </c>
      <c r="J19" s="15">
        <f>+X19-SUM(G19:I19)</f>
        <v>7.1</v>
      </c>
      <c r="K19" s="3">
        <v>3.7</v>
      </c>
      <c r="L19" s="3">
        <v>6.4</v>
      </c>
      <c r="M19" s="3">
        <v>12.9</v>
      </c>
      <c r="N19" s="3">
        <f>+Y19-SUM(K19:M19)</f>
        <v>2.6999999999999993</v>
      </c>
      <c r="O19" s="3">
        <v>7.8</v>
      </c>
      <c r="P19" s="3">
        <v>13.6</v>
      </c>
      <c r="Q19" s="3"/>
      <c r="R19" s="3"/>
      <c r="S19" s="3"/>
      <c r="T19" s="3"/>
      <c r="U19" s="3"/>
      <c r="V19" s="3"/>
      <c r="W19" s="3">
        <v>20.6</v>
      </c>
      <c r="X19" s="3">
        <v>20.9</v>
      </c>
      <c r="Y19" s="3">
        <v>25.7</v>
      </c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</row>
    <row r="20" spans="2:69" x14ac:dyDescent="0.2">
      <c r="B20" s="2" t="s">
        <v>28</v>
      </c>
      <c r="C20" s="3"/>
      <c r="D20" s="3"/>
      <c r="E20" s="3">
        <v>1.1000000000000001</v>
      </c>
      <c r="F20" s="3"/>
      <c r="G20" s="3">
        <v>5.0999999999999996</v>
      </c>
      <c r="H20" s="3">
        <v>-0.8</v>
      </c>
      <c r="I20" s="3">
        <v>8.4</v>
      </c>
      <c r="J20" s="15">
        <f>+X20-SUM(G20:I20)</f>
        <v>7.4000000000000021</v>
      </c>
      <c r="K20" s="3">
        <v>1.4</v>
      </c>
      <c r="L20" s="3">
        <v>16.399999999999999</v>
      </c>
      <c r="M20" s="3">
        <v>12.9</v>
      </c>
      <c r="N20" s="3">
        <f>+Y20-SUM(K20:M20)</f>
        <v>23.000000000000007</v>
      </c>
      <c r="O20" s="3">
        <v>99.7</v>
      </c>
      <c r="P20" s="3">
        <v>43.1</v>
      </c>
      <c r="Q20" s="3"/>
      <c r="R20" s="3"/>
      <c r="S20" s="3"/>
      <c r="T20" s="3"/>
      <c r="U20" s="3"/>
      <c r="V20" s="3"/>
      <c r="W20" s="3">
        <v>58.5</v>
      </c>
      <c r="X20" s="3">
        <v>20.100000000000001</v>
      </c>
      <c r="Y20" s="3">
        <v>53.7</v>
      </c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</row>
    <row r="21" spans="2:69" x14ac:dyDescent="0.2">
      <c r="B21" s="2" t="s">
        <v>29</v>
      </c>
      <c r="C21" s="3">
        <f t="shared" ref="C21:H21" si="15">+C15-SUM(C16:C18)+C19-C20</f>
        <v>0</v>
      </c>
      <c r="D21" s="3">
        <f t="shared" si="15"/>
        <v>0</v>
      </c>
      <c r="E21" s="3">
        <f t="shared" si="15"/>
        <v>-18.800000000000026</v>
      </c>
      <c r="F21" s="3">
        <f t="shared" si="15"/>
        <v>0</v>
      </c>
      <c r="G21" s="3">
        <f t="shared" si="15"/>
        <v>0.60000000000020481</v>
      </c>
      <c r="H21" s="3">
        <f t="shared" si="15"/>
        <v>154.79999999999993</v>
      </c>
      <c r="I21" s="3">
        <f>+I15-SUM(I16:I18)+I19-I20</f>
        <v>69.400000000000034</v>
      </c>
      <c r="J21" s="3">
        <f t="shared" ref="J21:Y21" si="16">+J15-SUM(J16:J18)+J19-J20</f>
        <v>167.09999999999962</v>
      </c>
      <c r="K21" s="3">
        <f t="shared" si="16"/>
        <v>21.500000000000046</v>
      </c>
      <c r="L21" s="3">
        <f t="shared" si="16"/>
        <v>145.29999999999995</v>
      </c>
      <c r="M21" s="3">
        <f t="shared" si="16"/>
        <v>49.099999999999909</v>
      </c>
      <c r="N21" s="3">
        <f t="shared" si="16"/>
        <v>171.29999999999899</v>
      </c>
      <c r="O21" s="3">
        <f t="shared" si="16"/>
        <v>-79.700000000000188</v>
      </c>
      <c r="P21" s="3">
        <f t="shared" si="16"/>
        <v>111.00000000000023</v>
      </c>
      <c r="Q21" s="3"/>
      <c r="R21" s="3"/>
      <c r="S21" s="3"/>
      <c r="T21" s="3">
        <f t="shared" si="16"/>
        <v>3304.2</v>
      </c>
      <c r="U21" s="3">
        <f t="shared" si="16"/>
        <v>4326.3</v>
      </c>
      <c r="V21" s="3">
        <f t="shared" si="16"/>
        <v>4055.4999999999991</v>
      </c>
      <c r="W21" s="3">
        <f t="shared" si="16"/>
        <v>190.90000000000018</v>
      </c>
      <c r="X21" s="3">
        <f t="shared" si="16"/>
        <v>391.89999999999941</v>
      </c>
      <c r="Y21" s="3">
        <f t="shared" si="16"/>
        <v>387.20000000000073</v>
      </c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</row>
    <row r="22" spans="2:69" x14ac:dyDescent="0.2">
      <c r="B22" s="2" t="s">
        <v>30</v>
      </c>
      <c r="C22" s="3"/>
      <c r="D22" s="3"/>
      <c r="E22" s="3">
        <v>12.8</v>
      </c>
      <c r="F22" s="3"/>
      <c r="G22" s="3">
        <v>18</v>
      </c>
      <c r="H22" s="3">
        <v>20.100000000000001</v>
      </c>
      <c r="I22" s="3">
        <v>17.8</v>
      </c>
      <c r="J22" s="15">
        <f>+X22-SUM(G22:I22)</f>
        <v>19.799999999999997</v>
      </c>
      <c r="K22" s="3">
        <v>14.9</v>
      </c>
      <c r="L22" s="3">
        <v>10.8</v>
      </c>
      <c r="M22" s="3">
        <v>5.3</v>
      </c>
      <c r="N22" s="3">
        <f>+Y22-SUM(K22:M22)</f>
        <v>7.7999999999999936</v>
      </c>
      <c r="O22" s="3">
        <v>4.4000000000000004</v>
      </c>
      <c r="P22" s="3">
        <v>3.5</v>
      </c>
      <c r="Q22" s="3"/>
      <c r="R22" s="3"/>
      <c r="S22" s="3"/>
      <c r="T22" s="3"/>
      <c r="U22" s="3"/>
      <c r="V22" s="3"/>
      <c r="W22" s="3">
        <v>46.5</v>
      </c>
      <c r="X22" s="3">
        <v>75.7</v>
      </c>
      <c r="Y22" s="3">
        <v>38.799999999999997</v>
      </c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</row>
    <row r="23" spans="2:69" x14ac:dyDescent="0.2">
      <c r="B23" s="2" t="s">
        <v>31</v>
      </c>
      <c r="C23" s="3"/>
      <c r="D23" s="3"/>
      <c r="E23" s="3">
        <v>17.5</v>
      </c>
      <c r="F23" s="3"/>
      <c r="G23" s="3">
        <v>22</v>
      </c>
      <c r="H23" s="3">
        <v>24.1</v>
      </c>
      <c r="I23" s="3">
        <v>24.2</v>
      </c>
      <c r="J23" s="15">
        <f>+X23-SUM(G23:I23)</f>
        <v>23.100000000000009</v>
      </c>
      <c r="K23" s="3">
        <v>18.2</v>
      </c>
      <c r="L23" s="3">
        <v>18.399999999999999</v>
      </c>
      <c r="M23" s="3">
        <v>18</v>
      </c>
      <c r="N23" s="3">
        <f>+Y23-SUM(K23:M23)</f>
        <v>18.300000000000011</v>
      </c>
      <c r="O23" s="3">
        <v>17.7</v>
      </c>
      <c r="P23" s="3">
        <v>17.899999999999999</v>
      </c>
      <c r="Q23" s="3"/>
      <c r="R23" s="3"/>
      <c r="S23" s="3"/>
      <c r="T23" s="3"/>
      <c r="U23" s="3"/>
      <c r="V23" s="3"/>
      <c r="W23" s="3">
        <v>85.6</v>
      </c>
      <c r="X23" s="3">
        <v>93.4</v>
      </c>
      <c r="Y23" s="3">
        <v>72.900000000000006</v>
      </c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</row>
    <row r="24" spans="2:69" x14ac:dyDescent="0.2">
      <c r="B24" s="2" t="s">
        <v>32</v>
      </c>
      <c r="C24" s="3"/>
      <c r="D24" s="3"/>
      <c r="E24" s="3">
        <v>1.9</v>
      </c>
      <c r="F24" s="3"/>
      <c r="G24" s="3">
        <v>-9.1</v>
      </c>
      <c r="H24" s="3">
        <v>-2.8</v>
      </c>
      <c r="I24" s="3">
        <v>-6.3</v>
      </c>
      <c r="J24" s="15">
        <f>+X24-SUM(G24:I24)</f>
        <v>11.899999999999999</v>
      </c>
      <c r="K24" s="3">
        <v>-0.1</v>
      </c>
      <c r="L24" s="3">
        <v>7.8</v>
      </c>
      <c r="M24" s="3">
        <v>1.1000000000000001</v>
      </c>
      <c r="N24" s="3">
        <f>+Y24-SUM(K24:M24)</f>
        <v>-3.5000000000000009</v>
      </c>
      <c r="O24" s="3">
        <v>-9.1999999999999993</v>
      </c>
      <c r="P24" s="3">
        <v>1.7</v>
      </c>
      <c r="Q24" s="3"/>
      <c r="R24" s="3"/>
      <c r="S24" s="3"/>
      <c r="T24" s="3"/>
      <c r="U24" s="3"/>
      <c r="V24" s="3"/>
      <c r="W24" s="3">
        <v>1.2</v>
      </c>
      <c r="X24" s="3">
        <v>-6.3</v>
      </c>
      <c r="Y24" s="3">
        <v>5.3</v>
      </c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</row>
    <row r="25" spans="2:69" x14ac:dyDescent="0.2">
      <c r="B25" s="2" t="s">
        <v>33</v>
      </c>
      <c r="C25" s="3">
        <f t="shared" ref="C25:H25" si="17">+C21+C22-C23+C24</f>
        <v>0</v>
      </c>
      <c r="D25" s="3">
        <f t="shared" si="17"/>
        <v>0</v>
      </c>
      <c r="E25" s="3">
        <f t="shared" si="17"/>
        <v>-21.600000000000026</v>
      </c>
      <c r="F25" s="3">
        <f t="shared" si="17"/>
        <v>0</v>
      </c>
      <c r="G25" s="3">
        <f t="shared" si="17"/>
        <v>-12.499999999999796</v>
      </c>
      <c r="H25" s="3">
        <f t="shared" si="17"/>
        <v>147.99999999999991</v>
      </c>
      <c r="I25" s="3">
        <f>+I21+I22-I23+I24</f>
        <v>56.700000000000031</v>
      </c>
      <c r="J25" s="3">
        <f t="shared" ref="J25:Y25" si="18">+J21+J22-J23+J24</f>
        <v>175.69999999999962</v>
      </c>
      <c r="K25" s="3">
        <f t="shared" si="18"/>
        <v>18.100000000000048</v>
      </c>
      <c r="L25" s="3">
        <f t="shared" si="18"/>
        <v>145.49999999999997</v>
      </c>
      <c r="M25" s="3">
        <f t="shared" si="18"/>
        <v>37.499999999999908</v>
      </c>
      <c r="N25" s="3">
        <f t="shared" si="18"/>
        <v>157.29999999999896</v>
      </c>
      <c r="O25" s="3">
        <f t="shared" si="18"/>
        <v>-102.20000000000019</v>
      </c>
      <c r="P25" s="3">
        <f t="shared" si="18"/>
        <v>98.300000000000225</v>
      </c>
      <c r="Q25" s="3"/>
      <c r="R25" s="3"/>
      <c r="S25" s="3"/>
      <c r="T25" s="3">
        <f t="shared" si="18"/>
        <v>3304.2</v>
      </c>
      <c r="U25" s="3">
        <f t="shared" si="18"/>
        <v>4326.3</v>
      </c>
      <c r="V25" s="3">
        <f t="shared" si="18"/>
        <v>4055.4999999999991</v>
      </c>
      <c r="W25" s="3">
        <f t="shared" si="18"/>
        <v>153.00000000000017</v>
      </c>
      <c r="X25" s="3">
        <f t="shared" si="18"/>
        <v>367.89999999999935</v>
      </c>
      <c r="Y25" s="3">
        <f t="shared" si="18"/>
        <v>358.40000000000072</v>
      </c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</row>
    <row r="26" spans="2:69" x14ac:dyDescent="0.2">
      <c r="B26" s="2" t="s">
        <v>34</v>
      </c>
      <c r="C26" s="3"/>
      <c r="D26" s="3"/>
      <c r="E26" s="3">
        <v>-13.5</v>
      </c>
      <c r="F26" s="3"/>
      <c r="G26" s="3">
        <v>-3.4</v>
      </c>
      <c r="H26" s="3">
        <v>52.3</v>
      </c>
      <c r="I26" s="3">
        <v>12.5</v>
      </c>
      <c r="J26" s="15">
        <f>+X26-SUM(G26:I26)</f>
        <v>55.500000000000007</v>
      </c>
      <c r="K26" s="3">
        <v>8</v>
      </c>
      <c r="L26" s="3">
        <v>48.9</v>
      </c>
      <c r="M26" s="3">
        <v>25</v>
      </c>
      <c r="N26" s="3">
        <f>+Y26-SUM(K26:M26)</f>
        <v>63.799999999999983</v>
      </c>
      <c r="O26" s="3">
        <v>-14.6</v>
      </c>
      <c r="P26" s="3">
        <v>24.8</v>
      </c>
      <c r="Q26" s="3"/>
      <c r="R26" s="3"/>
      <c r="S26" s="3"/>
      <c r="T26" s="3"/>
      <c r="U26" s="3"/>
      <c r="V26" s="3"/>
      <c r="W26" s="3">
        <v>69.900000000000006</v>
      </c>
      <c r="X26" s="3">
        <v>116.9</v>
      </c>
      <c r="Y26" s="3">
        <v>145.69999999999999</v>
      </c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</row>
    <row r="27" spans="2:69" x14ac:dyDescent="0.2">
      <c r="B27" s="13" t="s">
        <v>69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-2.4</v>
      </c>
      <c r="O27" s="15">
        <v>0</v>
      </c>
      <c r="P27" s="15">
        <v>0</v>
      </c>
      <c r="Q27" s="15"/>
      <c r="R27" s="15"/>
      <c r="S27" s="3"/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-2.4</v>
      </c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</row>
    <row r="28" spans="2:69" x14ac:dyDescent="0.2">
      <c r="B28" s="2" t="s">
        <v>35</v>
      </c>
      <c r="C28" s="3">
        <f t="shared" ref="C28" si="19">C25-C26-C27</f>
        <v>0</v>
      </c>
      <c r="D28" s="3">
        <f t="shared" ref="D28" si="20">D25-D26-D27</f>
        <v>0</v>
      </c>
      <c r="E28" s="3">
        <f t="shared" ref="E28" si="21">E25-E26-E27</f>
        <v>-8.1000000000000263</v>
      </c>
      <c r="F28" s="3">
        <f t="shared" ref="F28" si="22">F25-F26-F27</f>
        <v>0</v>
      </c>
      <c r="G28" s="3">
        <f t="shared" ref="G28" si="23">G25-G26-G27</f>
        <v>-9.0999999999997954</v>
      </c>
      <c r="H28" s="3">
        <f t="shared" ref="H28" si="24">H25-H26-H27</f>
        <v>95.699999999999918</v>
      </c>
      <c r="I28" s="3">
        <f t="shared" ref="I28" si="25">I25-I26-I27</f>
        <v>44.200000000000031</v>
      </c>
      <c r="J28" s="3">
        <f t="shared" ref="J28" si="26">J25-J26-J27</f>
        <v>120.19999999999962</v>
      </c>
      <c r="K28" s="3">
        <f t="shared" ref="K28" si="27">K25-K26-K27</f>
        <v>10.100000000000048</v>
      </c>
      <c r="L28" s="3">
        <f t="shared" ref="L28" si="28">L25-L26-L27</f>
        <v>96.599999999999966</v>
      </c>
      <c r="M28" s="3">
        <f t="shared" ref="M28:P28" si="29">M25-M26-M27</f>
        <v>12.499999999999908</v>
      </c>
      <c r="N28" s="3">
        <f t="shared" si="29"/>
        <v>95.899999999998983</v>
      </c>
      <c r="O28" s="3">
        <f t="shared" si="29"/>
        <v>-87.600000000000193</v>
      </c>
      <c r="P28" s="3">
        <f t="shared" si="29"/>
        <v>73.500000000000227</v>
      </c>
      <c r="Q28" s="3"/>
      <c r="R28" s="3"/>
      <c r="S28" s="3"/>
      <c r="T28" s="3">
        <f t="shared" ref="T28:X28" si="30">T25-T26-T27</f>
        <v>3304.2</v>
      </c>
      <c r="U28" s="3">
        <f t="shared" si="30"/>
        <v>4326.3</v>
      </c>
      <c r="V28" s="3">
        <f t="shared" si="30"/>
        <v>4055.4999999999991</v>
      </c>
      <c r="W28" s="3">
        <f t="shared" si="30"/>
        <v>83.100000000000165</v>
      </c>
      <c r="X28" s="3">
        <f t="shared" si="30"/>
        <v>250.99999999999935</v>
      </c>
      <c r="Y28" s="3">
        <f>Y25-Y26-Y27</f>
        <v>215.10000000000073</v>
      </c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</row>
    <row r="29" spans="2:69" x14ac:dyDescent="0.2"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</row>
    <row r="30" spans="2:69" x14ac:dyDescent="0.2">
      <c r="B30" s="2" t="s">
        <v>36</v>
      </c>
      <c r="C30" s="10" t="e">
        <f t="shared" ref="C30:J30" si="31">+C28/C31</f>
        <v>#DIV/0!</v>
      </c>
      <c r="D30" s="10" t="e">
        <f t="shared" si="31"/>
        <v>#DIV/0!</v>
      </c>
      <c r="E30" s="10" t="e">
        <f t="shared" si="31"/>
        <v>#DIV/0!</v>
      </c>
      <c r="F30" s="10" t="e">
        <f t="shared" si="31"/>
        <v>#DIV/0!</v>
      </c>
      <c r="G30" s="10" t="e">
        <f t="shared" si="31"/>
        <v>#DIV/0!</v>
      </c>
      <c r="H30" s="10">
        <f t="shared" si="31"/>
        <v>0.36935546121188695</v>
      </c>
      <c r="I30" s="10" t="e">
        <f t="shared" si="31"/>
        <v>#DIV/0!</v>
      </c>
      <c r="J30" s="10">
        <f t="shared" si="31"/>
        <v>0.46391354689308995</v>
      </c>
      <c r="K30" s="10">
        <f>+K28/K31</f>
        <v>3.8981088382863939E-2</v>
      </c>
      <c r="L30" s="10">
        <f>+L28/L31</f>
        <v>0.37111025739531295</v>
      </c>
      <c r="M30" s="10">
        <f>+M28/M31</f>
        <v>4.8021513638109518E-2</v>
      </c>
      <c r="N30" s="10">
        <f>+N28/N31</f>
        <v>0.36827956989246924</v>
      </c>
      <c r="O30" s="10">
        <f>+O28/O31</f>
        <v>-0.33640552995391781</v>
      </c>
      <c r="P30" s="10">
        <f>+P28/P31</f>
        <v>0.29518072289156716</v>
      </c>
      <c r="Q30" s="10"/>
      <c r="R30" s="10"/>
      <c r="S30" s="3"/>
      <c r="T30" s="10" t="e">
        <f t="shared" ref="T30:W30" si="32">+T28/T31</f>
        <v>#DIV/0!</v>
      </c>
      <c r="U30" s="10" t="e">
        <f t="shared" si="32"/>
        <v>#DIV/0!</v>
      </c>
      <c r="V30" s="10" t="e">
        <f t="shared" si="32"/>
        <v>#DIV/0!</v>
      </c>
      <c r="W30" s="10">
        <f t="shared" si="32"/>
        <v>0.31998459761263059</v>
      </c>
      <c r="X30" s="10">
        <f>+X28/X31</f>
        <v>0.96873793901968086</v>
      </c>
      <c r="Y30" s="10">
        <f>+Y28/Y31</f>
        <v>0.82603686635944984</v>
      </c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</row>
    <row r="31" spans="2:69" x14ac:dyDescent="0.2">
      <c r="B31" s="2" t="s">
        <v>5</v>
      </c>
      <c r="C31" s="3"/>
      <c r="D31" s="3"/>
      <c r="E31" s="3"/>
      <c r="F31" s="3"/>
      <c r="G31" s="3"/>
      <c r="H31" s="3">
        <v>259.10000000000002</v>
      </c>
      <c r="I31" s="3"/>
      <c r="J31" s="3">
        <f>+X31</f>
        <v>259.10000000000002</v>
      </c>
      <c r="K31" s="3">
        <v>259.10000000000002</v>
      </c>
      <c r="L31" s="3">
        <v>260.3</v>
      </c>
      <c r="M31" s="3">
        <v>260.3</v>
      </c>
      <c r="N31" s="3">
        <v>260.39999999999998</v>
      </c>
      <c r="O31" s="3">
        <v>260.39999999999998</v>
      </c>
      <c r="P31" s="3">
        <v>249</v>
      </c>
      <c r="Q31" s="3"/>
      <c r="R31" s="3"/>
      <c r="S31" s="3"/>
      <c r="T31" s="3"/>
      <c r="U31" s="3"/>
      <c r="V31" s="3"/>
      <c r="W31" s="3">
        <v>259.7</v>
      </c>
      <c r="X31" s="3">
        <v>259.10000000000002</v>
      </c>
      <c r="Y31" s="3">
        <v>260.39999999999998</v>
      </c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</row>
    <row r="32" spans="2:69" x14ac:dyDescent="0.2"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</row>
    <row r="33" spans="2:69" x14ac:dyDescent="0.2">
      <c r="B33" s="2" t="s">
        <v>37</v>
      </c>
      <c r="C33" s="11"/>
      <c r="D33" s="11"/>
      <c r="E33" s="11">
        <v>15793</v>
      </c>
      <c r="F33" s="11"/>
      <c r="G33" s="11">
        <v>15309</v>
      </c>
      <c r="H33" s="11">
        <v>15309</v>
      </c>
      <c r="I33" s="11">
        <v>15206</v>
      </c>
      <c r="J33" s="11"/>
      <c r="K33" s="11">
        <v>15463</v>
      </c>
      <c r="L33" s="11">
        <v>15571</v>
      </c>
      <c r="M33" s="11"/>
      <c r="N33" s="11"/>
      <c r="O33" s="11">
        <v>16998</v>
      </c>
      <c r="P33" s="11">
        <v>17417</v>
      </c>
      <c r="Q33" s="11"/>
      <c r="R33" s="11"/>
      <c r="S33" s="11"/>
      <c r="T33" s="11">
        <v>14194</v>
      </c>
      <c r="U33" s="11">
        <v>17043</v>
      </c>
      <c r="V33" s="11">
        <v>16999</v>
      </c>
      <c r="W33" s="11">
        <v>15793</v>
      </c>
      <c r="X33" s="11">
        <v>15206</v>
      </c>
      <c r="Y33" s="11">
        <v>16582</v>
      </c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</row>
    <row r="34" spans="2:69" x14ac:dyDescent="0.2"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</row>
    <row r="35" spans="2:69" x14ac:dyDescent="0.2">
      <c r="B35" s="2" t="s">
        <v>45</v>
      </c>
      <c r="C35" s="3"/>
      <c r="D35" s="3"/>
      <c r="E35" s="3"/>
      <c r="F35" s="3"/>
      <c r="G35" s="8" t="e">
        <f>+G3/C3-1</f>
        <v>#DIV/0!</v>
      </c>
      <c r="H35" s="8" t="e">
        <f>+H3/D3-1</f>
        <v>#DIV/0!</v>
      </c>
      <c r="I35" s="8">
        <f>+I3/E3-1</f>
        <v>7.7649331629950469E-2</v>
      </c>
      <c r="J35" s="8" t="e">
        <f>+J3/F3-1</f>
        <v>#DIV/0!</v>
      </c>
      <c r="K35" s="8">
        <f>+K3/G3-1</f>
        <v>0.20130917947937266</v>
      </c>
      <c r="L35" s="8">
        <f>+L3/H3-1</f>
        <v>4.9173970371519271E-2</v>
      </c>
      <c r="M35" s="8">
        <f>+M3/I3-1</f>
        <v>0.21717507589995666</v>
      </c>
      <c r="N35" s="8">
        <f t="shared" ref="N35:N37" si="33">+N3/J3-1</f>
        <v>0.14384733869587563</v>
      </c>
      <c r="O35" s="8">
        <f t="shared" ref="O35:O37" si="34">+O3/K3-1</f>
        <v>8.8349342322021629E-2</v>
      </c>
      <c r="P35" s="8">
        <f t="shared" ref="P35:P37" si="35">+P3/L3-1</f>
        <v>0.21115793105147729</v>
      </c>
      <c r="Q35" s="8"/>
      <c r="R35" s="8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</row>
    <row r="36" spans="2:69" x14ac:dyDescent="0.2">
      <c r="B36" s="2" t="s">
        <v>46</v>
      </c>
      <c r="C36" s="3"/>
      <c r="D36" s="3"/>
      <c r="E36" s="3"/>
      <c r="F36" s="3"/>
      <c r="G36" s="8" t="e">
        <f>+G4/C4-1</f>
        <v>#DIV/0!</v>
      </c>
      <c r="H36" s="8" t="e">
        <f>+H4/D4-1</f>
        <v>#DIV/0!</v>
      </c>
      <c r="I36" s="8">
        <f>+I4/E4-1</f>
        <v>3.9920159680637557E-3</v>
      </c>
      <c r="J36" s="8" t="e">
        <f>+J4/F4-1</f>
        <v>#DIV/0!</v>
      </c>
      <c r="K36" s="8">
        <f>+K4/G4-1</f>
        <v>5.8585858585858519E-2</v>
      </c>
      <c r="L36" s="8">
        <f>+L4/H4-1</f>
        <v>6.2248995983935851E-2</v>
      </c>
      <c r="M36" s="8">
        <f>+M4/I4-1</f>
        <v>0.22067594433399607</v>
      </c>
      <c r="N36" s="8">
        <f t="shared" si="33"/>
        <v>0.19691119691119696</v>
      </c>
      <c r="O36" s="8">
        <f t="shared" si="34"/>
        <v>0.18893129770992356</v>
      </c>
      <c r="P36" s="8">
        <f t="shared" si="35"/>
        <v>0.18147448015122869</v>
      </c>
      <c r="Q36" s="8"/>
      <c r="R36" s="8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</row>
    <row r="37" spans="2:69" x14ac:dyDescent="0.2">
      <c r="B37" s="2" t="s">
        <v>47</v>
      </c>
      <c r="C37" s="3"/>
      <c r="D37" s="3"/>
      <c r="E37" s="3"/>
      <c r="F37" s="3"/>
      <c r="G37" s="8" t="e">
        <f>+G5/C5-1</f>
        <v>#DIV/0!</v>
      </c>
      <c r="H37" s="8" t="e">
        <f>+H5/D5-1</f>
        <v>#DIV/0!</v>
      </c>
      <c r="I37" s="8">
        <f>+I5/E5-1</f>
        <v>6.2385321100917324E-2</v>
      </c>
      <c r="J37" s="8" t="e">
        <f>+J5/F5-1</f>
        <v>#DIV/0!</v>
      </c>
      <c r="K37" s="8">
        <f>+K5/G5-1</f>
        <v>5.9782608695652106E-2</v>
      </c>
      <c r="L37" s="8">
        <f>+L5/H5-1</f>
        <v>2.5236593059936974E-2</v>
      </c>
      <c r="M37" s="8">
        <f>+M5/I5-1</f>
        <v>0.18307426597582044</v>
      </c>
      <c r="N37" s="8">
        <f t="shared" si="33"/>
        <v>2.7395973154362419</v>
      </c>
      <c r="O37" s="8">
        <f t="shared" si="34"/>
        <v>0.18803418803418803</v>
      </c>
      <c r="P37" s="8">
        <f t="shared" si="35"/>
        <v>0.19230769230769229</v>
      </c>
      <c r="Q37" s="8"/>
      <c r="R37" s="8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</row>
    <row r="38" spans="2:69" x14ac:dyDescent="0.2">
      <c r="B38" s="2" t="s">
        <v>54</v>
      </c>
      <c r="C38" s="3"/>
      <c r="D38" s="3"/>
      <c r="E38" s="3"/>
      <c r="F38" s="3"/>
      <c r="G38" s="8" t="e">
        <f t="shared" ref="G38:G40" si="36">+G11/C11-1</f>
        <v>#DIV/0!</v>
      </c>
      <c r="H38" s="8" t="e">
        <f t="shared" ref="H38:H40" si="37">+H11/D11-1</f>
        <v>#DIV/0!</v>
      </c>
      <c r="I38" s="8">
        <f t="shared" ref="I38:I40" si="38">+I11/E11-1</f>
        <v>4.2898691226369356E-2</v>
      </c>
      <c r="J38" s="8" t="e">
        <f t="shared" ref="J38:L40" si="39">+J11/F11-1</f>
        <v>#DIV/0!</v>
      </c>
      <c r="K38" s="8" t="e">
        <f t="shared" si="39"/>
        <v>#DIV/0!</v>
      </c>
      <c r="L38" s="8" t="e">
        <f t="shared" si="39"/>
        <v>#DIV/0!</v>
      </c>
      <c r="M38" s="8">
        <f t="shared" ref="M38:M40" si="40">+M11/I11-1</f>
        <v>0.28361608180339282</v>
      </c>
      <c r="N38" s="8" t="e">
        <f t="shared" ref="N38:N40" si="41">+N11/J11-1</f>
        <v>#DIV/0!</v>
      </c>
      <c r="O38" s="8">
        <f t="shared" ref="O38:O40" si="42">+O11/K11-1</f>
        <v>0.24041237113402047</v>
      </c>
      <c r="P38" s="8">
        <f t="shared" ref="P38:P40" si="43">+P11/L11-1</f>
        <v>0.2028647956212879</v>
      </c>
      <c r="Q38" s="8"/>
      <c r="R38" s="8"/>
      <c r="S38" s="3"/>
      <c r="T38" s="3"/>
      <c r="U38" s="8" t="e">
        <f t="shared" ref="U38:X38" si="44">+U11/T11-1</f>
        <v>#DIV/0!</v>
      </c>
      <c r="V38" s="8" t="e">
        <f t="shared" si="44"/>
        <v>#DIV/0!</v>
      </c>
      <c r="W38" s="8" t="e">
        <f t="shared" si="44"/>
        <v>#DIV/0!</v>
      </c>
      <c r="X38" s="8">
        <f t="shared" si="44"/>
        <v>3.8261411769765052E-2</v>
      </c>
      <c r="Y38" s="8">
        <f>+Y11/X11-1</f>
        <v>0.167845346200441</v>
      </c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</row>
    <row r="39" spans="2:69" x14ac:dyDescent="0.2">
      <c r="B39" s="2" t="s">
        <v>55</v>
      </c>
      <c r="C39" s="3"/>
      <c r="D39" s="3"/>
      <c r="E39" s="3"/>
      <c r="F39" s="3"/>
      <c r="G39" s="8" t="e">
        <f t="shared" si="36"/>
        <v>#DIV/0!</v>
      </c>
      <c r="H39" s="8" t="e">
        <f t="shared" si="37"/>
        <v>#DIV/0!</v>
      </c>
      <c r="I39" s="8">
        <f t="shared" si="38"/>
        <v>0.11075069508804436</v>
      </c>
      <c r="J39" s="8" t="e">
        <f t="shared" si="39"/>
        <v>#DIV/0!</v>
      </c>
      <c r="K39" s="8" t="e">
        <f t="shared" si="39"/>
        <v>#DIV/0!</v>
      </c>
      <c r="L39" s="8" t="e">
        <f t="shared" si="39"/>
        <v>#DIV/0!</v>
      </c>
      <c r="M39" s="8">
        <f t="shared" si="40"/>
        <v>0.15602836879432647</v>
      </c>
      <c r="N39" s="8" t="e">
        <f t="shared" si="41"/>
        <v>#DIV/0!</v>
      </c>
      <c r="O39" s="8">
        <f t="shared" si="42"/>
        <v>0.23624999999999985</v>
      </c>
      <c r="P39" s="8">
        <f t="shared" si="43"/>
        <v>0.27553353658536595</v>
      </c>
      <c r="Q39" s="8"/>
      <c r="R39" s="8"/>
      <c r="S39" s="3"/>
      <c r="T39" s="3"/>
      <c r="U39" s="8" t="e">
        <f t="shared" ref="U39:X39" si="45">+U12/T12-1</f>
        <v>#DIV/0!</v>
      </c>
      <c r="V39" s="8" t="e">
        <f t="shared" si="45"/>
        <v>#DIV/0!</v>
      </c>
      <c r="W39" s="8" t="e">
        <f t="shared" si="45"/>
        <v>#DIV/0!</v>
      </c>
      <c r="X39" s="8">
        <f t="shared" si="45"/>
        <v>0.11493445692883908</v>
      </c>
      <c r="Y39" s="8">
        <f>+Y12/X12-1</f>
        <v>0.14560151165231994</v>
      </c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</row>
    <row r="40" spans="2:69" x14ac:dyDescent="0.2">
      <c r="B40" s="1" t="s">
        <v>48</v>
      </c>
      <c r="C40" s="9"/>
      <c r="D40" s="9"/>
      <c r="E40" s="9"/>
      <c r="F40" s="9"/>
      <c r="G40" s="12" t="e">
        <f t="shared" si="36"/>
        <v>#DIV/0!</v>
      </c>
      <c r="H40" s="12" t="e">
        <f t="shared" si="37"/>
        <v>#DIV/0!</v>
      </c>
      <c r="I40" s="12">
        <f t="shared" si="38"/>
        <v>4.9936260934546617E-2</v>
      </c>
      <c r="J40" s="12" t="e">
        <f t="shared" si="39"/>
        <v>#DIV/0!</v>
      </c>
      <c r="K40" s="12">
        <f>+K13/G13-1</f>
        <v>7.9459266529847472E-2</v>
      </c>
      <c r="L40" s="12">
        <f>+L13/H13-1</f>
        <v>7.2601392251816055E-2</v>
      </c>
      <c r="M40" s="12">
        <f t="shared" si="40"/>
        <v>0.26464308143186099</v>
      </c>
      <c r="N40" s="12">
        <f t="shared" si="41"/>
        <v>0.23383039340486156</v>
      </c>
      <c r="O40" s="12">
        <f t="shared" si="42"/>
        <v>0.23831370117792927</v>
      </c>
      <c r="P40" s="12">
        <f t="shared" si="43"/>
        <v>0.20785862932524424</v>
      </c>
      <c r="Q40" s="12"/>
      <c r="R40" s="12"/>
      <c r="S40" s="3"/>
      <c r="T40" s="3"/>
      <c r="U40" s="12">
        <f t="shared" ref="U40:X40" si="46">+U13/T13-1</f>
        <v>0.31196147997972634</v>
      </c>
      <c r="V40" s="12">
        <f t="shared" si="46"/>
        <v>-8.8854548966588176E-4</v>
      </c>
      <c r="W40" s="12">
        <f t="shared" si="46"/>
        <v>-1.949771866058303E-2</v>
      </c>
      <c r="X40" s="12">
        <f t="shared" si="46"/>
        <v>4.2334197631887616E-2</v>
      </c>
      <c r="Y40" s="12">
        <f>+Y13/X13-1</f>
        <v>0.16775597067864756</v>
      </c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</row>
    <row r="41" spans="2:69" x14ac:dyDescent="0.2">
      <c r="B41" s="2" t="s">
        <v>49</v>
      </c>
      <c r="C41" s="8" t="e">
        <f t="shared" ref="C41:H41" si="47">+C15/C13</f>
        <v>#DIV/0!</v>
      </c>
      <c r="D41" s="8" t="e">
        <f t="shared" si="47"/>
        <v>#DIV/0!</v>
      </c>
      <c r="E41" s="8">
        <f t="shared" si="47"/>
        <v>0.36691722713086289</v>
      </c>
      <c r="F41" s="8" t="e">
        <f t="shared" si="47"/>
        <v>#DIV/0!</v>
      </c>
      <c r="G41" s="8">
        <f t="shared" si="47"/>
        <v>0.38226108682073712</v>
      </c>
      <c r="H41" s="8">
        <f t="shared" si="47"/>
        <v>0.41585956416464886</v>
      </c>
      <c r="I41" s="8">
        <f>+I15/I13</f>
        <v>0.40686623403809918</v>
      </c>
      <c r="J41" s="8">
        <f>+J15/J13</f>
        <v>0.41649996969145903</v>
      </c>
      <c r="K41" s="8">
        <f>+K15/K13</f>
        <v>0.39107253564786115</v>
      </c>
      <c r="L41" s="8">
        <f>+L15/L13</f>
        <v>0.40827484039363693</v>
      </c>
      <c r="M41" s="8">
        <f t="shared" ref="M41:N41" si="48">+M15/M13</f>
        <v>0.39568297689200815</v>
      </c>
      <c r="N41" s="8">
        <f t="shared" si="48"/>
        <v>0.39912550050357398</v>
      </c>
      <c r="O41" s="8">
        <f t="shared" ref="O41:P41" si="49">+O15/O13</f>
        <v>0.39104168752711854</v>
      </c>
      <c r="P41" s="8">
        <f t="shared" si="49"/>
        <v>0.40848031771989257</v>
      </c>
      <c r="Q41" s="8"/>
      <c r="R41" s="8"/>
      <c r="S41" s="3"/>
      <c r="T41" s="3"/>
      <c r="U41" s="8">
        <f t="shared" ref="U41:Y41" si="50">+U15/U13</f>
        <v>0.41783851651535642</v>
      </c>
      <c r="V41" s="8">
        <f t="shared" si="50"/>
        <v>0.39203271208723217</v>
      </c>
      <c r="W41" s="8">
        <f t="shared" si="50"/>
        <v>0.38749494730407869</v>
      </c>
      <c r="X41" s="8">
        <f t="shared" si="50"/>
        <v>0.40690470560416175</v>
      </c>
      <c r="Y41" s="8">
        <f t="shared" si="50"/>
        <v>0.39880610071196576</v>
      </c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</row>
    <row r="42" spans="2:69" x14ac:dyDescent="0.2">
      <c r="B42" s="2" t="s">
        <v>50</v>
      </c>
      <c r="C42" s="8" t="e">
        <f t="shared" ref="C42:H42" si="51">+C21/C13</f>
        <v>#DIV/0!</v>
      </c>
      <c r="D42" s="8" t="e">
        <f t="shared" si="51"/>
        <v>#DIV/0!</v>
      </c>
      <c r="E42" s="8">
        <f t="shared" si="51"/>
        <v>-8.2640995208580707E-3</v>
      </c>
      <c r="F42" s="8" t="e">
        <f t="shared" si="51"/>
        <v>#DIV/0!</v>
      </c>
      <c r="G42" s="8">
        <f t="shared" si="51"/>
        <v>2.6768983670929098E-4</v>
      </c>
      <c r="H42" s="8">
        <f t="shared" si="51"/>
        <v>5.8565375302663411E-2</v>
      </c>
      <c r="I42" s="8">
        <f>+I21/I13</f>
        <v>2.905589281976137E-2</v>
      </c>
      <c r="J42" s="8">
        <f>+J21/J13</f>
        <v>5.0645571922167558E-2</v>
      </c>
      <c r="K42" s="8">
        <f>+K21/K13</f>
        <v>8.8861334986567661E-3</v>
      </c>
      <c r="L42" s="8">
        <f>+L21/L13</f>
        <v>5.1250396811399937E-2</v>
      </c>
      <c r="M42" s="8">
        <f t="shared" ref="M42:N42" si="52">+M21/M13</f>
        <v>1.6255048665827953E-2</v>
      </c>
      <c r="N42" s="8">
        <f t="shared" si="52"/>
        <v>4.2079147117344812E-2</v>
      </c>
      <c r="O42" s="8">
        <f t="shared" ref="O42:P42" si="53">+O21/O13</f>
        <v>-2.6601248289443005E-2</v>
      </c>
      <c r="P42" s="8">
        <f t="shared" si="53"/>
        <v>3.2414437565705008E-2</v>
      </c>
      <c r="Q42" s="8"/>
      <c r="R42" s="8"/>
      <c r="S42" s="3"/>
      <c r="T42" s="3"/>
      <c r="U42" s="8">
        <f t="shared" ref="U42:Y42" si="54">+U21/U13</f>
        <v>0.41783851651535642</v>
      </c>
      <c r="V42" s="8">
        <f t="shared" si="54"/>
        <v>0.39203271208723217</v>
      </c>
      <c r="W42" s="8">
        <f t="shared" si="54"/>
        <v>1.8820676124656186E-2</v>
      </c>
      <c r="X42" s="8">
        <f t="shared" si="54"/>
        <v>3.7067864743438109E-2</v>
      </c>
      <c r="Y42" s="8">
        <f t="shared" si="54"/>
        <v>3.1362130551348254E-2</v>
      </c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</row>
    <row r="43" spans="2:69" x14ac:dyDescent="0.2">
      <c r="B43" s="2" t="s">
        <v>51</v>
      </c>
      <c r="C43" s="8" t="e">
        <f t="shared" ref="C43:H43" si="55">+C26/C25</f>
        <v>#DIV/0!</v>
      </c>
      <c r="D43" s="8" t="e">
        <f t="shared" si="55"/>
        <v>#DIV/0!</v>
      </c>
      <c r="E43" s="8">
        <f t="shared" si="55"/>
        <v>0.62499999999999922</v>
      </c>
      <c r="F43" s="8" t="e">
        <f t="shared" si="55"/>
        <v>#DIV/0!</v>
      </c>
      <c r="G43" s="8">
        <f t="shared" si="55"/>
        <v>0.27200000000000446</v>
      </c>
      <c r="H43" s="8">
        <f t="shared" si="55"/>
        <v>0.35337837837837854</v>
      </c>
      <c r="I43" s="8">
        <f>+I26/I25</f>
        <v>0.220458553791887</v>
      </c>
      <c r="J43" s="8">
        <f>+J26/J25</f>
        <v>0.31587933978372296</v>
      </c>
      <c r="K43" s="8">
        <f>+K26/K25</f>
        <v>0.44198895027624191</v>
      </c>
      <c r="L43" s="8">
        <f>+L26/L25</f>
        <v>0.33608247422680421</v>
      </c>
      <c r="M43" s="8">
        <f t="shared" ref="M43:N43" si="56">+M26/M25</f>
        <v>0.66666666666666829</v>
      </c>
      <c r="N43" s="8">
        <f t="shared" si="56"/>
        <v>0.40559440559440818</v>
      </c>
      <c r="O43" s="8">
        <f t="shared" ref="O43:P43" si="57">+O26/O25</f>
        <v>0.1428571428571426</v>
      </c>
      <c r="P43" s="8">
        <f t="shared" si="57"/>
        <v>0.2522889114954216</v>
      </c>
      <c r="Q43" s="8"/>
      <c r="R43" s="8"/>
      <c r="S43" s="3"/>
      <c r="T43" s="3"/>
      <c r="U43" s="8">
        <f t="shared" ref="U43:Y43" si="58">+U26/U25</f>
        <v>0</v>
      </c>
      <c r="V43" s="8">
        <f t="shared" si="58"/>
        <v>0</v>
      </c>
      <c r="W43" s="8">
        <f t="shared" si="58"/>
        <v>0.45686274509803876</v>
      </c>
      <c r="X43" s="8">
        <f t="shared" si="58"/>
        <v>0.31774938842076711</v>
      </c>
      <c r="Y43" s="8">
        <f t="shared" si="58"/>
        <v>0.40652901785714202</v>
      </c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</row>
    <row r="44" spans="2:69" x14ac:dyDescent="0.2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</row>
    <row r="45" spans="2:69" x14ac:dyDescent="0.2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</row>
    <row r="46" spans="2:69" x14ac:dyDescent="0.2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</row>
    <row r="47" spans="2:69" x14ac:dyDescent="0.2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</row>
    <row r="48" spans="2:69" x14ac:dyDescent="0.2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</row>
    <row r="49" spans="3:69" x14ac:dyDescent="0.2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</row>
    <row r="50" spans="3:69" x14ac:dyDescent="0.2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</row>
    <row r="51" spans="3:69" x14ac:dyDescent="0.2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</row>
    <row r="52" spans="3:69" x14ac:dyDescent="0.2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</row>
    <row r="53" spans="3:69" x14ac:dyDescent="0.2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</row>
    <row r="54" spans="3:69" x14ac:dyDescent="0.2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</row>
    <row r="55" spans="3:69" x14ac:dyDescent="0.2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</row>
    <row r="56" spans="3:69" x14ac:dyDescent="0.2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</row>
    <row r="57" spans="3:69" x14ac:dyDescent="0.2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</row>
    <row r="58" spans="3:69" x14ac:dyDescent="0.2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</row>
    <row r="59" spans="3:69" x14ac:dyDescent="0.2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</row>
    <row r="60" spans="3:69" x14ac:dyDescent="0.2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</row>
    <row r="61" spans="3:69" x14ac:dyDescent="0.2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</row>
    <row r="62" spans="3:69" x14ac:dyDescent="0.2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</row>
    <row r="63" spans="3:69" x14ac:dyDescent="0.2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</row>
    <row r="64" spans="3:69" x14ac:dyDescent="0.2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</row>
    <row r="65" spans="3:69" x14ac:dyDescent="0.2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</row>
    <row r="66" spans="3:69" x14ac:dyDescent="0.2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</row>
    <row r="67" spans="3:69" x14ac:dyDescent="0.2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</row>
    <row r="68" spans="3:69" x14ac:dyDescent="0.2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</row>
    <row r="69" spans="3:69" x14ac:dyDescent="0.2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</row>
    <row r="70" spans="3:69" x14ac:dyDescent="0.2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</row>
    <row r="71" spans="3:69" x14ac:dyDescent="0.2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</row>
    <row r="72" spans="3:69" x14ac:dyDescent="0.2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</row>
    <row r="73" spans="3:69" x14ac:dyDescent="0.2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</row>
    <row r="74" spans="3:69" x14ac:dyDescent="0.2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</row>
    <row r="75" spans="3:69" x14ac:dyDescent="0.2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</row>
    <row r="76" spans="3:69" x14ac:dyDescent="0.2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</row>
    <row r="77" spans="3:69" x14ac:dyDescent="0.2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</row>
    <row r="78" spans="3:69" x14ac:dyDescent="0.2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</row>
    <row r="79" spans="3:69" x14ac:dyDescent="0.2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</row>
    <row r="80" spans="3:69" x14ac:dyDescent="0.2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</row>
    <row r="81" spans="3:69" x14ac:dyDescent="0.2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</row>
    <row r="82" spans="3:69" x14ac:dyDescent="0.2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</row>
    <row r="83" spans="3:69" x14ac:dyDescent="0.2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</row>
    <row r="84" spans="3:69" x14ac:dyDescent="0.2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</row>
    <row r="85" spans="3:69" x14ac:dyDescent="0.2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</row>
    <row r="86" spans="3:69" x14ac:dyDescent="0.2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</row>
    <row r="87" spans="3:69" x14ac:dyDescent="0.2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</row>
    <row r="88" spans="3:69" x14ac:dyDescent="0.2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</row>
    <row r="89" spans="3:69" x14ac:dyDescent="0.2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</row>
    <row r="90" spans="3:69" x14ac:dyDescent="0.2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</row>
    <row r="91" spans="3:69" x14ac:dyDescent="0.2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</row>
    <row r="92" spans="3:69" x14ac:dyDescent="0.2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</row>
    <row r="93" spans="3:69" x14ac:dyDescent="0.2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</row>
    <row r="94" spans="3:69" x14ac:dyDescent="0.2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</row>
    <row r="95" spans="3:69" x14ac:dyDescent="0.2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</row>
    <row r="96" spans="3:69" x14ac:dyDescent="0.2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</row>
    <row r="97" spans="3:69" x14ac:dyDescent="0.2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</row>
    <row r="98" spans="3:69" x14ac:dyDescent="0.2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</row>
    <row r="99" spans="3:69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</row>
    <row r="100" spans="3:69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</row>
    <row r="101" spans="3:69" x14ac:dyDescent="0.2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</row>
    <row r="102" spans="3:69" x14ac:dyDescent="0.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</row>
    <row r="103" spans="3:69" x14ac:dyDescent="0.2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</row>
    <row r="104" spans="3:69" x14ac:dyDescent="0.2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</row>
    <row r="105" spans="3:69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</row>
    <row r="106" spans="3:69" x14ac:dyDescent="0.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</row>
    <row r="107" spans="3:69" x14ac:dyDescent="0.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</row>
    <row r="108" spans="3:69" x14ac:dyDescent="0.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</row>
    <row r="109" spans="3:69" x14ac:dyDescent="0.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</row>
    <row r="110" spans="3:69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</row>
    <row r="111" spans="3:69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</row>
    <row r="112" spans="3:69" x14ac:dyDescent="0.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</row>
    <row r="113" spans="3:69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</row>
    <row r="114" spans="3:69" x14ac:dyDescent="0.2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</row>
    <row r="115" spans="3:69" x14ac:dyDescent="0.2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</row>
    <row r="116" spans="3:69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</row>
    <row r="117" spans="3:69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</row>
    <row r="118" spans="3:69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</row>
    <row r="119" spans="3:69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</row>
    <row r="120" spans="3:69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</row>
    <row r="121" spans="3:69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</row>
    <row r="122" spans="3:69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</row>
    <row r="123" spans="3:69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</row>
    <row r="124" spans="3:69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</row>
    <row r="125" spans="3:69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</row>
    <row r="126" spans="3:69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</row>
    <row r="127" spans="3:69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</row>
    <row r="128" spans="3:69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</row>
    <row r="129" spans="3:69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</row>
    <row r="130" spans="3:69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</row>
    <row r="131" spans="3:69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</row>
    <row r="132" spans="3:69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</row>
    <row r="133" spans="3:69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</row>
    <row r="134" spans="3:69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</row>
    <row r="135" spans="3:69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</row>
    <row r="136" spans="3:69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</row>
    <row r="137" spans="3:69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</row>
    <row r="138" spans="3:69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</row>
    <row r="139" spans="3:69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</row>
    <row r="140" spans="3:69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</row>
    <row r="141" spans="3:69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</row>
    <row r="142" spans="3:69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</row>
    <row r="143" spans="3:69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</row>
    <row r="144" spans="3:69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</row>
    <row r="145" spans="3:69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</row>
    <row r="146" spans="3:69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</row>
    <row r="147" spans="3:69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</row>
    <row r="148" spans="3:69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</row>
    <row r="149" spans="3:69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</row>
    <row r="150" spans="3:69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</row>
    <row r="151" spans="3:69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</row>
    <row r="152" spans="3:69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</row>
    <row r="153" spans="3:69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</row>
    <row r="154" spans="3:69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</row>
    <row r="155" spans="3:69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</row>
    <row r="156" spans="3:69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</row>
    <row r="157" spans="3:69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</row>
    <row r="158" spans="3:69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</row>
    <row r="159" spans="3:69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</row>
    <row r="160" spans="3:69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</row>
    <row r="161" spans="3:69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</row>
    <row r="162" spans="3:69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</row>
    <row r="163" spans="3:69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</row>
    <row r="164" spans="3:69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</row>
    <row r="165" spans="3:69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</row>
    <row r="166" spans="3:69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</row>
    <row r="167" spans="3:69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</row>
    <row r="168" spans="3:69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</row>
    <row r="169" spans="3:69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</row>
    <row r="170" spans="3:69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</row>
    <row r="171" spans="3:69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</row>
    <row r="172" spans="3:69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</row>
    <row r="173" spans="3:69" x14ac:dyDescent="0.2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</row>
    <row r="174" spans="3:69" x14ac:dyDescent="0.2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</row>
    <row r="175" spans="3:69" x14ac:dyDescent="0.2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</row>
    <row r="176" spans="3:69" x14ac:dyDescent="0.2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</row>
    <row r="177" spans="3:69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</row>
    <row r="178" spans="3:69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</row>
    <row r="179" spans="3:69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</row>
    <row r="180" spans="3:69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</row>
    <row r="181" spans="3:69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</row>
    <row r="182" spans="3:69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</row>
    <row r="183" spans="3:69" x14ac:dyDescent="0.2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</row>
    <row r="184" spans="3:69" x14ac:dyDescent="0.2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</row>
    <row r="185" spans="3:69" x14ac:dyDescent="0.2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</row>
    <row r="186" spans="3:69" x14ac:dyDescent="0.2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</row>
    <row r="187" spans="3:69" x14ac:dyDescent="0.2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</row>
    <row r="188" spans="3:69" x14ac:dyDescent="0.2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</row>
    <row r="189" spans="3:69" x14ac:dyDescent="0.2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</row>
    <row r="190" spans="3:69" x14ac:dyDescent="0.2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</row>
    <row r="191" spans="3:69" x14ac:dyDescent="0.2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</row>
    <row r="192" spans="3:69" x14ac:dyDescent="0.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</row>
    <row r="193" spans="3:69" x14ac:dyDescent="0.2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</row>
    <row r="194" spans="3:69" x14ac:dyDescent="0.2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</row>
    <row r="195" spans="3:69" x14ac:dyDescent="0.2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</row>
    <row r="196" spans="3:69" x14ac:dyDescent="0.2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</row>
    <row r="197" spans="3:69" x14ac:dyDescent="0.2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</row>
    <row r="198" spans="3:69" x14ac:dyDescent="0.2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</row>
    <row r="199" spans="3:69" x14ac:dyDescent="0.2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</row>
    <row r="200" spans="3:69" x14ac:dyDescent="0.2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</row>
    <row r="201" spans="3:69" x14ac:dyDescent="0.2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</row>
    <row r="202" spans="3:69" x14ac:dyDescent="0.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</row>
    <row r="203" spans="3:69" x14ac:dyDescent="0.2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</row>
    <row r="204" spans="3:69" x14ac:dyDescent="0.2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</row>
    <row r="205" spans="3:69" x14ac:dyDescent="0.2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</row>
    <row r="206" spans="3:69" x14ac:dyDescent="0.2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</row>
    <row r="207" spans="3:69" x14ac:dyDescent="0.2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</row>
    <row r="208" spans="3:69" x14ac:dyDescent="0.2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</row>
    <row r="209" spans="3:69" x14ac:dyDescent="0.2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</row>
    <row r="210" spans="3:69" x14ac:dyDescent="0.2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</row>
    <row r="211" spans="3:69" x14ac:dyDescent="0.2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</row>
    <row r="212" spans="3:69" x14ac:dyDescent="0.2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</row>
    <row r="213" spans="3:69" x14ac:dyDescent="0.2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</row>
    <row r="214" spans="3:69" x14ac:dyDescent="0.2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</row>
    <row r="215" spans="3:69" x14ac:dyDescent="0.2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</row>
    <row r="216" spans="3:69" x14ac:dyDescent="0.2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</row>
    <row r="217" spans="3:69" x14ac:dyDescent="0.2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</row>
    <row r="218" spans="3:69" x14ac:dyDescent="0.2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</row>
    <row r="219" spans="3:69" x14ac:dyDescent="0.2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</row>
    <row r="220" spans="3:69" x14ac:dyDescent="0.2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</row>
    <row r="221" spans="3:69" x14ac:dyDescent="0.2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</row>
    <row r="222" spans="3:69" x14ac:dyDescent="0.2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</row>
    <row r="223" spans="3:69" x14ac:dyDescent="0.2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</row>
    <row r="224" spans="3:69" x14ac:dyDescent="0.2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</row>
    <row r="225" spans="3:69" x14ac:dyDescent="0.2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</row>
    <row r="226" spans="3:69" x14ac:dyDescent="0.2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</row>
    <row r="227" spans="3:69" x14ac:dyDescent="0.2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</row>
    <row r="228" spans="3:69" x14ac:dyDescent="0.2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</row>
    <row r="229" spans="3:69" x14ac:dyDescent="0.2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</row>
    <row r="230" spans="3:69" x14ac:dyDescent="0.2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</row>
    <row r="231" spans="3:69" x14ac:dyDescent="0.2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</row>
    <row r="232" spans="3:69" x14ac:dyDescent="0.2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</row>
    <row r="233" spans="3:69" x14ac:dyDescent="0.2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</row>
    <row r="234" spans="3:69" x14ac:dyDescent="0.2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</row>
    <row r="235" spans="3:69" x14ac:dyDescent="0.2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</row>
    <row r="236" spans="3:69" x14ac:dyDescent="0.2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</row>
    <row r="237" spans="3:69" x14ac:dyDescent="0.2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</row>
    <row r="238" spans="3:69" x14ac:dyDescent="0.2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</row>
    <row r="239" spans="3:69" x14ac:dyDescent="0.2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</row>
    <row r="240" spans="3:69" x14ac:dyDescent="0.2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</row>
    <row r="241" spans="3:69" x14ac:dyDescent="0.2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</row>
    <row r="242" spans="3:69" x14ac:dyDescent="0.2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</row>
    <row r="243" spans="3:69" x14ac:dyDescent="0.2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</row>
    <row r="244" spans="3:69" x14ac:dyDescent="0.2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</row>
    <row r="245" spans="3:69" x14ac:dyDescent="0.2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</row>
    <row r="246" spans="3:69" x14ac:dyDescent="0.2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</row>
    <row r="247" spans="3:69" x14ac:dyDescent="0.2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</row>
    <row r="248" spans="3:69" x14ac:dyDescent="0.2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</row>
    <row r="249" spans="3:69" x14ac:dyDescent="0.2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</row>
    <row r="250" spans="3:69" x14ac:dyDescent="0.2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</row>
    <row r="251" spans="3:69" x14ac:dyDescent="0.2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</row>
    <row r="252" spans="3:69" x14ac:dyDescent="0.2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</row>
    <row r="253" spans="3:69" x14ac:dyDescent="0.2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</row>
    <row r="254" spans="3:69" x14ac:dyDescent="0.2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</row>
    <row r="255" spans="3:69" x14ac:dyDescent="0.2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</row>
    <row r="256" spans="3:69" x14ac:dyDescent="0.2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</row>
    <row r="257" spans="3:69" x14ac:dyDescent="0.2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</row>
    <row r="258" spans="3:69" x14ac:dyDescent="0.2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</row>
    <row r="259" spans="3:69" x14ac:dyDescent="0.2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</row>
    <row r="260" spans="3:69" x14ac:dyDescent="0.2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</row>
    <row r="261" spans="3:69" x14ac:dyDescent="0.2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</row>
    <row r="262" spans="3:69" x14ac:dyDescent="0.2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</row>
    <row r="263" spans="3:69" x14ac:dyDescent="0.2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</row>
    <row r="264" spans="3:69" x14ac:dyDescent="0.2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</row>
    <row r="265" spans="3:69" x14ac:dyDescent="0.2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</row>
    <row r="266" spans="3:69" x14ac:dyDescent="0.2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</row>
    <row r="267" spans="3:69" x14ac:dyDescent="0.2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</row>
    <row r="268" spans="3:69" x14ac:dyDescent="0.2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</row>
    <row r="269" spans="3:69" x14ac:dyDescent="0.2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</row>
    <row r="270" spans="3:69" x14ac:dyDescent="0.2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</row>
    <row r="271" spans="3:69" x14ac:dyDescent="0.2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</row>
    <row r="272" spans="3:69" x14ac:dyDescent="0.2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</row>
    <row r="273" spans="3:69" x14ac:dyDescent="0.2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</row>
    <row r="274" spans="3:69" x14ac:dyDescent="0.2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</row>
    <row r="275" spans="3:69" x14ac:dyDescent="0.2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</row>
    <row r="276" spans="3:69" x14ac:dyDescent="0.2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</row>
    <row r="277" spans="3:69" x14ac:dyDescent="0.2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</row>
    <row r="278" spans="3:69" x14ac:dyDescent="0.2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</row>
    <row r="279" spans="3:69" x14ac:dyDescent="0.2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</row>
    <row r="280" spans="3:69" x14ac:dyDescent="0.2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</row>
    <row r="281" spans="3:69" x14ac:dyDescent="0.2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</row>
    <row r="282" spans="3:69" x14ac:dyDescent="0.2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</row>
    <row r="283" spans="3:69" x14ac:dyDescent="0.2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</row>
    <row r="284" spans="3:69" x14ac:dyDescent="0.2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</row>
    <row r="285" spans="3:69" x14ac:dyDescent="0.2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</row>
    <row r="286" spans="3:69" x14ac:dyDescent="0.2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</row>
    <row r="287" spans="3:69" x14ac:dyDescent="0.2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</row>
    <row r="288" spans="3:69" x14ac:dyDescent="0.2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</row>
    <row r="289" spans="3:69" x14ac:dyDescent="0.2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</row>
    <row r="290" spans="3:69" x14ac:dyDescent="0.2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</row>
    <row r="291" spans="3:69" x14ac:dyDescent="0.2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</row>
    <row r="292" spans="3:69" x14ac:dyDescent="0.2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</row>
    <row r="293" spans="3:69" x14ac:dyDescent="0.2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</row>
    <row r="294" spans="3:69" x14ac:dyDescent="0.2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</row>
    <row r="295" spans="3:69" x14ac:dyDescent="0.2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</row>
    <row r="296" spans="3:69" x14ac:dyDescent="0.2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</row>
    <row r="297" spans="3:69" x14ac:dyDescent="0.2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</row>
    <row r="298" spans="3:69" x14ac:dyDescent="0.2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</row>
    <row r="299" spans="3:69" x14ac:dyDescent="0.2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</row>
    <row r="300" spans="3:69" x14ac:dyDescent="0.2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</row>
    <row r="301" spans="3:69" x14ac:dyDescent="0.2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</row>
    <row r="302" spans="3:69" x14ac:dyDescent="0.2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</row>
    <row r="303" spans="3:69" x14ac:dyDescent="0.2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</row>
    <row r="304" spans="3:69" x14ac:dyDescent="0.2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</row>
    <row r="305" spans="3:69" x14ac:dyDescent="0.2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</row>
    <row r="306" spans="3:69" x14ac:dyDescent="0.2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</row>
    <row r="307" spans="3:69" x14ac:dyDescent="0.2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</row>
    <row r="308" spans="3:69" x14ac:dyDescent="0.2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</row>
    <row r="309" spans="3:69" x14ac:dyDescent="0.2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</row>
    <row r="310" spans="3:69" x14ac:dyDescent="0.2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</row>
    <row r="311" spans="3:69" x14ac:dyDescent="0.2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</row>
    <row r="312" spans="3:69" x14ac:dyDescent="0.2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</row>
    <row r="313" spans="3:69" x14ac:dyDescent="0.2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</row>
    <row r="314" spans="3:69" x14ac:dyDescent="0.2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</row>
    <row r="315" spans="3:69" x14ac:dyDescent="0.2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</row>
    <row r="316" spans="3:69" x14ac:dyDescent="0.2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</row>
    <row r="317" spans="3:69" x14ac:dyDescent="0.2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</row>
    <row r="318" spans="3:69" x14ac:dyDescent="0.2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</row>
    <row r="319" spans="3:69" x14ac:dyDescent="0.2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</row>
    <row r="320" spans="3:69" x14ac:dyDescent="0.2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</row>
    <row r="321" spans="3:69" x14ac:dyDescent="0.2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</row>
    <row r="322" spans="3:69" x14ac:dyDescent="0.2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</row>
    <row r="323" spans="3:69" x14ac:dyDescent="0.2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</row>
    <row r="324" spans="3:69" x14ac:dyDescent="0.2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</row>
    <row r="325" spans="3:69" x14ac:dyDescent="0.2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</row>
    <row r="326" spans="3:69" x14ac:dyDescent="0.2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</row>
    <row r="327" spans="3:69" x14ac:dyDescent="0.2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</row>
    <row r="328" spans="3:69" x14ac:dyDescent="0.2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</row>
    <row r="329" spans="3:69" x14ac:dyDescent="0.2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</row>
    <row r="330" spans="3:69" x14ac:dyDescent="0.2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</row>
    <row r="331" spans="3:69" x14ac:dyDescent="0.2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</row>
    <row r="332" spans="3:69" x14ac:dyDescent="0.2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</row>
    <row r="333" spans="3:69" x14ac:dyDescent="0.2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</row>
    <row r="334" spans="3:69" x14ac:dyDescent="0.2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</row>
    <row r="335" spans="3:69" x14ac:dyDescent="0.2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</row>
    <row r="336" spans="3:69" x14ac:dyDescent="0.2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</row>
    <row r="337" spans="3:69" x14ac:dyDescent="0.2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</row>
    <row r="338" spans="3:69" x14ac:dyDescent="0.2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</row>
    <row r="339" spans="3:69" x14ac:dyDescent="0.2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</row>
    <row r="340" spans="3:69" x14ac:dyDescent="0.2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</row>
    <row r="341" spans="3:69" x14ac:dyDescent="0.2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</row>
    <row r="342" spans="3:69" x14ac:dyDescent="0.2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</row>
    <row r="343" spans="3:69" x14ac:dyDescent="0.2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</row>
    <row r="344" spans="3:69" x14ac:dyDescent="0.2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</row>
    <row r="345" spans="3:69" x14ac:dyDescent="0.2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</row>
    <row r="346" spans="3:69" x14ac:dyDescent="0.2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</row>
    <row r="347" spans="3:69" x14ac:dyDescent="0.2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</row>
    <row r="348" spans="3:69" x14ac:dyDescent="0.2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</row>
    <row r="349" spans="3:69" x14ac:dyDescent="0.2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</row>
    <row r="350" spans="3:69" x14ac:dyDescent="0.2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</row>
    <row r="351" spans="3:69" x14ac:dyDescent="0.2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</row>
    <row r="352" spans="3:69" x14ac:dyDescent="0.2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</row>
    <row r="353" spans="3:69" x14ac:dyDescent="0.2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</row>
    <row r="354" spans="3:69" x14ac:dyDescent="0.2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</row>
    <row r="355" spans="3:69" x14ac:dyDescent="0.2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</row>
    <row r="356" spans="3:69" x14ac:dyDescent="0.2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</row>
    <row r="357" spans="3:69" x14ac:dyDescent="0.2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</row>
    <row r="358" spans="3:69" x14ac:dyDescent="0.2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</row>
    <row r="359" spans="3:69" x14ac:dyDescent="0.2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</row>
    <row r="360" spans="3:69" x14ac:dyDescent="0.2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</row>
    <row r="361" spans="3:69" x14ac:dyDescent="0.2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</row>
    <row r="362" spans="3:69" x14ac:dyDescent="0.2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</row>
    <row r="363" spans="3:69" x14ac:dyDescent="0.2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</row>
    <row r="364" spans="3:69" x14ac:dyDescent="0.2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</row>
    <row r="365" spans="3:69" x14ac:dyDescent="0.2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</row>
    <row r="366" spans="3:69" x14ac:dyDescent="0.2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</row>
    <row r="367" spans="3:69" x14ac:dyDescent="0.2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</row>
    <row r="368" spans="3:69" x14ac:dyDescent="0.2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</row>
    <row r="369" spans="3:69" x14ac:dyDescent="0.2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</row>
    <row r="370" spans="3:69" x14ac:dyDescent="0.2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</row>
    <row r="371" spans="3:69" x14ac:dyDescent="0.2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</row>
    <row r="372" spans="3:69" x14ac:dyDescent="0.2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</row>
    <row r="373" spans="3:69" x14ac:dyDescent="0.2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</row>
    <row r="374" spans="3:69" x14ac:dyDescent="0.2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</row>
    <row r="375" spans="3:69" x14ac:dyDescent="0.2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</row>
    <row r="376" spans="3:69" x14ac:dyDescent="0.2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</row>
    <row r="377" spans="3:69" x14ac:dyDescent="0.2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</row>
    <row r="378" spans="3:69" x14ac:dyDescent="0.2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</row>
    <row r="379" spans="3:69" x14ac:dyDescent="0.2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</row>
    <row r="380" spans="3:69" x14ac:dyDescent="0.2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</row>
    <row r="381" spans="3:69" x14ac:dyDescent="0.2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</row>
    <row r="382" spans="3:69" x14ac:dyDescent="0.2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</row>
    <row r="383" spans="3:69" x14ac:dyDescent="0.2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</row>
    <row r="384" spans="3:69" x14ac:dyDescent="0.2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</row>
    <row r="385" spans="3:69" x14ac:dyDescent="0.2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</row>
    <row r="386" spans="3:69" x14ac:dyDescent="0.2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</row>
    <row r="387" spans="3:69" x14ac:dyDescent="0.2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</row>
    <row r="388" spans="3:69" x14ac:dyDescent="0.2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</row>
    <row r="389" spans="3:69" x14ac:dyDescent="0.2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</row>
    <row r="390" spans="3:69" x14ac:dyDescent="0.2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</row>
    <row r="391" spans="3:69" x14ac:dyDescent="0.2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</row>
    <row r="392" spans="3:69" x14ac:dyDescent="0.2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</row>
    <row r="393" spans="3:69" x14ac:dyDescent="0.2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</row>
    <row r="394" spans="3:69" x14ac:dyDescent="0.2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</row>
    <row r="395" spans="3:69" x14ac:dyDescent="0.2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</row>
    <row r="396" spans="3:69" x14ac:dyDescent="0.2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</row>
    <row r="397" spans="3:69" x14ac:dyDescent="0.2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</row>
    <row r="398" spans="3:69" x14ac:dyDescent="0.2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</row>
    <row r="399" spans="3:69" x14ac:dyDescent="0.2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</row>
    <row r="400" spans="3:69" x14ac:dyDescent="0.2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</row>
    <row r="401" spans="3:69" x14ac:dyDescent="0.2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</row>
    <row r="402" spans="3:69" x14ac:dyDescent="0.2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</row>
    <row r="403" spans="3:69" x14ac:dyDescent="0.2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</row>
    <row r="404" spans="3:69" x14ac:dyDescent="0.2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</row>
    <row r="405" spans="3:69" x14ac:dyDescent="0.2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</row>
    <row r="406" spans="3:69" x14ac:dyDescent="0.2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</row>
    <row r="407" spans="3:69" x14ac:dyDescent="0.2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</row>
    <row r="408" spans="3:69" x14ac:dyDescent="0.2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</row>
    <row r="409" spans="3:69" x14ac:dyDescent="0.2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</row>
    <row r="410" spans="3:69" x14ac:dyDescent="0.2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</row>
    <row r="411" spans="3:69" x14ac:dyDescent="0.2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</row>
    <row r="412" spans="3:69" x14ac:dyDescent="0.2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</row>
    <row r="413" spans="3:69" x14ac:dyDescent="0.2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</row>
    <row r="414" spans="3:69" x14ac:dyDescent="0.2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</row>
    <row r="415" spans="3:69" x14ac:dyDescent="0.2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</row>
    <row r="416" spans="3:69" x14ac:dyDescent="0.2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</row>
    <row r="417" spans="3:69" x14ac:dyDescent="0.2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</row>
    <row r="418" spans="3:69" x14ac:dyDescent="0.2"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</row>
    <row r="419" spans="3:69" x14ac:dyDescent="0.2"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</row>
    <row r="420" spans="3:69" x14ac:dyDescent="0.2"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</row>
    <row r="421" spans="3:69" x14ac:dyDescent="0.2"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</row>
    <row r="422" spans="3:69" x14ac:dyDescent="0.2"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</row>
    <row r="423" spans="3:69" x14ac:dyDescent="0.2"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</row>
    <row r="424" spans="3:69" x14ac:dyDescent="0.2"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</row>
    <row r="425" spans="3:69" x14ac:dyDescent="0.2"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</row>
    <row r="426" spans="3:69" x14ac:dyDescent="0.2"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</row>
    <row r="427" spans="3:69" x14ac:dyDescent="0.2"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</row>
    <row r="428" spans="3:69" x14ac:dyDescent="0.2"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</row>
    <row r="429" spans="3:69" x14ac:dyDescent="0.2"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</row>
    <row r="430" spans="3:69" x14ac:dyDescent="0.2"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</row>
    <row r="431" spans="3:69" x14ac:dyDescent="0.2"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</row>
    <row r="432" spans="3:69" x14ac:dyDescent="0.2"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</row>
    <row r="433" spans="3:69" x14ac:dyDescent="0.2"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</row>
    <row r="434" spans="3:69" x14ac:dyDescent="0.2"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</row>
    <row r="435" spans="3:69" x14ac:dyDescent="0.2"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</row>
    <row r="436" spans="3:69" x14ac:dyDescent="0.2"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</row>
    <row r="437" spans="3:69" x14ac:dyDescent="0.2"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</row>
    <row r="438" spans="3:69" x14ac:dyDescent="0.2"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</row>
    <row r="439" spans="3:69" x14ac:dyDescent="0.2"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</row>
    <row r="440" spans="3:69" x14ac:dyDescent="0.2"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</row>
    <row r="441" spans="3:69" x14ac:dyDescent="0.2"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</row>
    <row r="442" spans="3:69" x14ac:dyDescent="0.2"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</row>
    <row r="443" spans="3:69" x14ac:dyDescent="0.2"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</row>
    <row r="444" spans="3:69" x14ac:dyDescent="0.2"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</row>
    <row r="445" spans="3:69" x14ac:dyDescent="0.2"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</row>
    <row r="446" spans="3:69" x14ac:dyDescent="0.2"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</row>
    <row r="447" spans="3:69" x14ac:dyDescent="0.2"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</row>
    <row r="448" spans="3:69" x14ac:dyDescent="0.2"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</row>
    <row r="449" spans="3:69" x14ac:dyDescent="0.2"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</row>
    <row r="450" spans="3:69" x14ac:dyDescent="0.2"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</row>
    <row r="451" spans="3:69" x14ac:dyDescent="0.2"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</row>
    <row r="452" spans="3:69" x14ac:dyDescent="0.2"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</row>
    <row r="453" spans="3:69" x14ac:dyDescent="0.2"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</row>
    <row r="454" spans="3:69" x14ac:dyDescent="0.2"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</row>
    <row r="455" spans="3:69" x14ac:dyDescent="0.2"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</row>
    <row r="456" spans="3:69" x14ac:dyDescent="0.2"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</row>
    <row r="457" spans="3:69" x14ac:dyDescent="0.2"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</row>
    <row r="458" spans="3:69" x14ac:dyDescent="0.2"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</row>
    <row r="459" spans="3:69" x14ac:dyDescent="0.2"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</row>
    <row r="460" spans="3:69" x14ac:dyDescent="0.2"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</row>
    <row r="461" spans="3:69" x14ac:dyDescent="0.2"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</row>
    <row r="462" spans="3:69" x14ac:dyDescent="0.2"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</row>
    <row r="463" spans="3:69" x14ac:dyDescent="0.2"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</row>
    <row r="464" spans="3:69" x14ac:dyDescent="0.2"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</row>
    <row r="465" spans="3:69" x14ac:dyDescent="0.2"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</row>
  </sheetData>
  <hyperlinks>
    <hyperlink ref="A1" location="Main!A1" display="Main" xr:uid="{9425B058-B76C-415F-AAD0-8E385B493264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2025-02-18T12:59:28Z</dcterms:created>
  <dcterms:modified xsi:type="dcterms:W3CDTF">2026-08-06T08:48:36Z</dcterms:modified>
</cp:coreProperties>
</file>