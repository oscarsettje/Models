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ED9805E-B8A9-4560-AE91-8DFF835E5BC3}" xr6:coauthVersionLast="47" xr6:coauthVersionMax="47" xr10:uidLastSave="{00000000-0000-0000-0000-000000000000}"/>
  <bookViews>
    <workbookView xWindow="19095" yWindow="0" windowWidth="19410" windowHeight="20925" xr2:uid="{0D64E6A1-D38D-40B1-AAD0-509B360D13D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E32" i="2"/>
  <c r="D32" i="2"/>
  <c r="C32" i="2"/>
  <c r="F31" i="2"/>
  <c r="E31" i="2"/>
  <c r="D31" i="2"/>
  <c r="C31" i="2"/>
  <c r="F30" i="2"/>
  <c r="E30" i="2"/>
  <c r="D30" i="2"/>
  <c r="C30" i="2"/>
  <c r="H28" i="2"/>
  <c r="G28" i="2"/>
  <c r="H29" i="2"/>
  <c r="G29" i="2"/>
  <c r="I32" i="2"/>
  <c r="I31" i="2"/>
  <c r="I30" i="2"/>
  <c r="I29" i="2"/>
  <c r="I28" i="2"/>
  <c r="I7" i="1"/>
  <c r="I6" i="1"/>
  <c r="J14" i="2"/>
  <c r="H14" i="2"/>
  <c r="H18" i="2" s="1"/>
  <c r="H20" i="2" s="1"/>
  <c r="H23" i="2" s="1"/>
  <c r="H25" i="2" s="1"/>
  <c r="G14" i="2"/>
  <c r="G18" i="2" s="1"/>
  <c r="G20" i="2" s="1"/>
  <c r="G23" i="2" s="1"/>
  <c r="G25" i="2" s="1"/>
  <c r="F14" i="2"/>
  <c r="F18" i="2" s="1"/>
  <c r="F20" i="2" s="1"/>
  <c r="F23" i="2" s="1"/>
  <c r="F25" i="2" s="1"/>
  <c r="E14" i="2"/>
  <c r="E18" i="2" s="1"/>
  <c r="E20" i="2" s="1"/>
  <c r="E23" i="2" s="1"/>
  <c r="E25" i="2" s="1"/>
  <c r="D14" i="2"/>
  <c r="D18" i="2" s="1"/>
  <c r="D20" i="2" s="1"/>
  <c r="D23" i="2" s="1"/>
  <c r="D25" i="2" s="1"/>
  <c r="C14" i="2"/>
  <c r="C18" i="2" s="1"/>
  <c r="C20" i="2" s="1"/>
  <c r="C23" i="2" s="1"/>
  <c r="C25" i="2" s="1"/>
  <c r="I3" i="1"/>
  <c r="I5" i="1" s="1"/>
  <c r="I8" i="1" s="1"/>
  <c r="I14" i="2"/>
  <c r="I18" i="2" s="1"/>
  <c r="I20" i="2" s="1"/>
  <c r="I23" i="2" s="1"/>
  <c r="I25" i="2" s="1"/>
  <c r="G30" i="2" l="1"/>
  <c r="H30" i="2"/>
  <c r="G31" i="2"/>
  <c r="H31" i="2"/>
  <c r="G32" i="2"/>
  <c r="H32" i="2"/>
</calcChain>
</file>

<file path=xl/sharedStrings.xml><?xml version="1.0" encoding="utf-8"?>
<sst xmlns="http://schemas.openxmlformats.org/spreadsheetml/2006/main" count="57" uniqueCount="49">
  <si>
    <t>in mio RMB</t>
  </si>
  <si>
    <t>Price HKD</t>
  </si>
  <si>
    <t>Price RMB</t>
  </si>
  <si>
    <t>Shares</t>
  </si>
  <si>
    <t>MC</t>
  </si>
  <si>
    <t>Cash</t>
  </si>
  <si>
    <t>Debt</t>
  </si>
  <si>
    <t>EV</t>
  </si>
  <si>
    <t>HKD/RMB</t>
  </si>
  <si>
    <t>IR</t>
  </si>
  <si>
    <t>BiliBili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</si>
  <si>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</si>
  <si>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</si>
  <si>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</si>
  <si>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</si>
  <si>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</si>
  <si>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</si>
  <si>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</si>
  <si>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</si>
  <si>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</si>
  <si>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Value Added Services</t>
  </si>
  <si>
    <t>Mobile Games</t>
  </si>
  <si>
    <t>IP derivatives &amp; other</t>
  </si>
  <si>
    <t>Revenue</t>
  </si>
  <si>
    <t>Advertising</t>
  </si>
  <si>
    <t>COGS</t>
  </si>
  <si>
    <t>Gross Profit</t>
  </si>
  <si>
    <t>S&amp;M</t>
  </si>
  <si>
    <t>G&amp;A</t>
  </si>
  <si>
    <t>R&amp;D</t>
  </si>
  <si>
    <t>Operating Income</t>
  </si>
  <si>
    <t>Financial Income</t>
  </si>
  <si>
    <t>Pretax Income</t>
  </si>
  <si>
    <t>Tax Expense</t>
  </si>
  <si>
    <t>Minority Interest</t>
  </si>
  <si>
    <t>Net Income</t>
  </si>
  <si>
    <t>EPS</t>
  </si>
  <si>
    <t>Segment</t>
  </si>
  <si>
    <t>Notes</t>
  </si>
  <si>
    <t>"YouTube of China"</t>
  </si>
  <si>
    <t>DAU Growth</t>
  </si>
  <si>
    <t>Avg. Time Spent in min</t>
  </si>
  <si>
    <t>DAUs in mio</t>
  </si>
  <si>
    <t>MAUs in mio</t>
  </si>
  <si>
    <t>MPUs in mio</t>
  </si>
  <si>
    <t>Revenue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</si>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</sst>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6" formatCode="#,##0.00;\(#,##0.00\)"/>
    <numFmt numFmtId="167" formatCode="#,##0;\(#,##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0" applyNumberFormat="1"/>
    <xf numFmtId="0" fontId="0" fillId="0" borderId="0" xfId="0" applyAlignment="1">
      <alignment horizontal="right"/>
    </xf>
    <xf numFmtId="164" fontId="2" fillId="0" borderId="0" xfId="0" applyNumberFormat="1" applyFont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7" fontId="0" fillId="0" borderId="0" xfId="0" applyNumberFormat="1"/>
    <xf numFmtId="9" fontId="0" fillId="0" borderId="0" xfId="1" applyFont="1"/>
    <xf numFmtId="9" fontId="2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bilibil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007-2EE4-42A8-B988-0BACEF82D5FA}">
  <dimension ref="A1:J14"/>
  <sheetViews>
    <sheetView tabSelected="1" zoomScale="200" zoomScaleNormal="200" workbookViewId="0">
      <selection activeCell="B15" sqref="B15"/>
    </sheetView>
  </sheetViews>
  <sheetFormatPr defaultRowHeight="12.75" x14ac:dyDescent="0.2"/>
  <cols>
    <col min="1" max="1" width="3.7109375" customWidth="1"/>
    <col min="2" max="2" width="20" bestFit="1" customWidth="1"/>
    <col min="8" max="8" width="10.140625" bestFit="1" customWidth="1"/>
  </cols>
  <sheetData>
    <row r="1" spans="1:10" x14ac:dyDescent="0.2">
      <c r="A1" s="1" t="s">
        <v>10</v>
      </c>
    </row>
    <row r="2" spans="1:10" x14ac:dyDescent="0.2">
      <c r="A2" t="s">
        <v>0</v>
      </c>
      <c r="H2" t="s">
        <v>1</v>
      </c>
      <c r="I2">
        <v>209</v>
      </c>
    </row>
    <row r="3" spans="1:10" x14ac:dyDescent="0.2">
      <c r="H3" t="s">
        <v>2</v>
      </c>
      <c r="I3" s="3">
        <f>+I2*I10</f>
        <v>190.19</v>
      </c>
    </row>
    <row r="4" spans="1:10" x14ac:dyDescent="0.2">
      <c r="B4" s="2" t="s">
        <v>9</v>
      </c>
      <c r="H4" t="s">
        <v>3</v>
      </c>
      <c r="I4" s="3">
        <v>417.46781399999998</v>
      </c>
      <c r="J4" s="4" t="s">
        <v>18</v>
      </c>
    </row>
    <row r="5" spans="1:10" x14ac:dyDescent="0.2">
      <c r="H5" t="s">
        <v>4</v>
      </c>
      <c r="I5" s="3">
        <f>+I3*I4</f>
        <v>79398.203544659991</v>
      </c>
      <c r="J5" s="4"/>
    </row>
    <row r="6" spans="1:10" x14ac:dyDescent="0.2">
      <c r="H6" t="s">
        <v>5</v>
      </c>
      <c r="I6" s="3">
        <f>12101.172+6209.944</f>
        <v>18311.116000000002</v>
      </c>
      <c r="J6" s="4" t="s">
        <v>18</v>
      </c>
    </row>
    <row r="7" spans="1:10" x14ac:dyDescent="0.2">
      <c r="B7" s="9" t="s">
        <v>37</v>
      </c>
      <c r="C7" s="7"/>
      <c r="D7" s="7"/>
      <c r="E7" s="8"/>
      <c r="H7" t="s">
        <v>6</v>
      </c>
      <c r="I7" s="3">
        <f>1636.078+8056.329</f>
        <v>9692.4069999999992</v>
      </c>
      <c r="J7" s="4" t="s">
        <v>18</v>
      </c>
    </row>
    <row r="8" spans="1:10" x14ac:dyDescent="0.2">
      <c r="B8" s="10" t="s">
        <v>20</v>
      </c>
      <c r="C8" s="11"/>
      <c r="D8" s="11"/>
      <c r="E8" s="12"/>
      <c r="H8" t="s">
        <v>7</v>
      </c>
      <c r="I8" s="3">
        <f>+I5-I6+I7</f>
        <v>70779.494544659989</v>
      </c>
    </row>
    <row r="9" spans="1:10" x14ac:dyDescent="0.2">
      <c r="B9" s="13" t="s">
        <v>24</v>
      </c>
      <c r="C9" s="14"/>
      <c r="D9" s="14"/>
      <c r="E9" s="15"/>
    </row>
    <row r="10" spans="1:10" x14ac:dyDescent="0.2">
      <c r="B10" s="13" t="s">
        <v>21</v>
      </c>
      <c r="C10" s="14"/>
      <c r="D10" s="14"/>
      <c r="E10" s="15"/>
      <c r="H10" t="s">
        <v>8</v>
      </c>
      <c r="I10">
        <v>0.91</v>
      </c>
    </row>
    <row r="11" spans="1:10" x14ac:dyDescent="0.2">
      <c r="B11" s="16" t="s">
        <v>22</v>
      </c>
      <c r="C11" s="17"/>
      <c r="D11" s="17"/>
      <c r="E11" s="18"/>
    </row>
    <row r="13" spans="1:10" x14ac:dyDescent="0.2">
      <c r="B13" s="1" t="s">
        <v>38</v>
      </c>
    </row>
    <row r="14" spans="1:10" x14ac:dyDescent="0.2">
      <c r="B14" t="s">
        <v>39</v>
      </c>
    </row>
  </sheetData>
  <hyperlinks>
    <hyperlink ref="B4" r:id="rId1" xr:uid="{0E1A1588-76EE-4E70-B2A0-B040D52323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3005-AC4F-4BB3-B060-880538536F4D}">
  <dimension ref="A1:GC278"/>
  <sheetViews>
    <sheetView zoomScale="200" zoomScaleNormal="200" workbookViewId="0">
      <pane xSplit="2" ySplit="2" topLeftCell="E5" activePane="bottomRight" state="frozen"/>
      <selection pane="topRight" activeCell="C1" sqref="C1"/>
      <selection pane="bottomLeft" activeCell="A3" sqref="A3"/>
      <selection pane="bottomRight" activeCell="B29" sqref="B29:I29"/>
    </sheetView>
  </sheetViews>
  <sheetFormatPr defaultRowHeight="12.75" x14ac:dyDescent="0.2"/>
  <cols>
    <col min="1" max="1" width="5" bestFit="1" customWidth="1"/>
    <col min="2" max="2" width="28" customWidth="1"/>
  </cols>
  <sheetData>
    <row r="1" spans="1:185" x14ac:dyDescent="0.2">
      <c r="A1" s="2" t="s">
        <v>11</v>
      </c>
    </row>
    <row r="2" spans="1:185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85" x14ac:dyDescent="0.2">
      <c r="B3" t="s">
        <v>42</v>
      </c>
      <c r="C3" s="19"/>
      <c r="D3" s="19"/>
      <c r="E3" s="19">
        <v>107</v>
      </c>
      <c r="F3" s="19"/>
      <c r="G3" s="19"/>
      <c r="H3" s="19"/>
      <c r="I3" s="19">
        <v>117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</row>
    <row r="4" spans="1:185" x14ac:dyDescent="0.2">
      <c r="B4" t="s">
        <v>43</v>
      </c>
      <c r="C4" s="19"/>
      <c r="D4" s="19"/>
      <c r="E4" s="19"/>
      <c r="F4" s="19"/>
      <c r="G4" s="19"/>
      <c r="H4" s="19"/>
      <c r="I4" s="19">
        <v>376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</row>
    <row r="5" spans="1:185" x14ac:dyDescent="0.2">
      <c r="B5" t="s">
        <v>44</v>
      </c>
      <c r="C5" s="19"/>
      <c r="D5" s="19"/>
      <c r="E5" s="19"/>
      <c r="F5" s="19"/>
      <c r="G5" s="19"/>
      <c r="H5" s="19"/>
      <c r="I5" s="19">
        <v>35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</row>
    <row r="6" spans="1:185" x14ac:dyDescent="0.2">
      <c r="B6" t="s">
        <v>41</v>
      </c>
      <c r="C6" s="19"/>
      <c r="D6" s="19"/>
      <c r="E6" s="19">
        <v>106</v>
      </c>
      <c r="F6" s="19"/>
      <c r="G6" s="19"/>
      <c r="H6" s="19"/>
      <c r="I6" s="19">
        <v>112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</row>
    <row r="7" spans="1:185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</row>
    <row r="8" spans="1:185" x14ac:dyDescent="0.2">
      <c r="B8" t="s">
        <v>20</v>
      </c>
      <c r="C8" s="3"/>
      <c r="D8" s="3"/>
      <c r="E8" s="3">
        <v>2821.2689999999998</v>
      </c>
      <c r="F8" s="3"/>
      <c r="G8" s="3"/>
      <c r="H8" s="3"/>
      <c r="I8" s="3">
        <v>3022.5259999999998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</row>
    <row r="9" spans="1:185" x14ac:dyDescent="0.2">
      <c r="B9" t="s">
        <v>24</v>
      </c>
      <c r="C9" s="3"/>
      <c r="D9" s="3"/>
      <c r="E9" s="3">
        <v>2094.4270000000001</v>
      </c>
      <c r="F9" s="3"/>
      <c r="G9" s="3"/>
      <c r="H9" s="3"/>
      <c r="I9" s="3">
        <v>2569.9299999999998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</row>
    <row r="10" spans="1:185" x14ac:dyDescent="0.2">
      <c r="B10" t="s">
        <v>21</v>
      </c>
      <c r="C10" s="3"/>
      <c r="D10" s="3"/>
      <c r="E10" s="3">
        <v>1822.6089999999999</v>
      </c>
      <c r="F10" s="3"/>
      <c r="G10" s="3"/>
      <c r="H10" s="3"/>
      <c r="I10" s="3">
        <v>1510.739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</row>
    <row r="11" spans="1:185" x14ac:dyDescent="0.2">
      <c r="B11" t="s">
        <v>22</v>
      </c>
      <c r="C11" s="3"/>
      <c r="D11" s="3"/>
      <c r="E11" s="3">
        <v>567.31500000000005</v>
      </c>
      <c r="F11" s="3"/>
      <c r="G11" s="3"/>
      <c r="H11" s="3"/>
      <c r="I11" s="3">
        <v>582.26599999999996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</row>
    <row r="12" spans="1:185" x14ac:dyDescent="0.2">
      <c r="B12" s="1" t="s">
        <v>23</v>
      </c>
      <c r="C12" s="5"/>
      <c r="D12" s="5"/>
      <c r="E12" s="5">
        <v>7305.62</v>
      </c>
      <c r="F12" s="5"/>
      <c r="G12" s="5"/>
      <c r="H12" s="5"/>
      <c r="I12" s="5">
        <v>7685.4610000000002</v>
      </c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</row>
    <row r="13" spans="1:185" x14ac:dyDescent="0.2">
      <c r="B13" t="s">
        <v>25</v>
      </c>
      <c r="C13" s="3"/>
      <c r="D13" s="3"/>
      <c r="E13" s="3">
        <v>4758.4340000000002</v>
      </c>
      <c r="F13" s="3"/>
      <c r="G13" s="3"/>
      <c r="H13" s="3"/>
      <c r="I13" s="3">
        <v>4867.5330000000004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</row>
    <row r="14" spans="1:185" x14ac:dyDescent="0.2">
      <c r="B14" t="s">
        <v>26</v>
      </c>
      <c r="C14" s="3">
        <f t="shared" ref="C14:H14" si="0">+C12-C13</f>
        <v>0</v>
      </c>
      <c r="D14" s="3">
        <f t="shared" si="0"/>
        <v>0</v>
      </c>
      <c r="E14" s="3">
        <f t="shared" si="0"/>
        <v>2547.1859999999997</v>
      </c>
      <c r="F14" s="3">
        <f t="shared" si="0"/>
        <v>0</v>
      </c>
      <c r="G14" s="3">
        <f t="shared" si="0"/>
        <v>0</v>
      </c>
      <c r="H14" s="3">
        <f t="shared" si="0"/>
        <v>0</v>
      </c>
      <c r="I14" s="3">
        <f>+I12-I13</f>
        <v>2817.9279999999999</v>
      </c>
      <c r="J14" s="3">
        <f>+J12-J13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</row>
    <row r="15" spans="1:185" x14ac:dyDescent="0.2">
      <c r="B15" t="s">
        <v>27</v>
      </c>
      <c r="C15" s="3"/>
      <c r="D15" s="3"/>
      <c r="E15" s="3">
        <v>1202.4069999999999</v>
      </c>
      <c r="F15" s="3"/>
      <c r="G15" s="3"/>
      <c r="H15" s="3"/>
      <c r="I15" s="3">
        <v>1050.7739999999999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</row>
    <row r="16" spans="1:185" x14ac:dyDescent="0.2">
      <c r="B16" t="s">
        <v>28</v>
      </c>
      <c r="C16" s="3"/>
      <c r="D16" s="3"/>
      <c r="E16" s="3">
        <v>505.38600000000002</v>
      </c>
      <c r="F16" s="3"/>
      <c r="G16" s="3"/>
      <c r="H16" s="3"/>
      <c r="I16" s="3">
        <v>508.66899999999998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</row>
    <row r="17" spans="2:185" x14ac:dyDescent="0.2">
      <c r="B17" t="s">
        <v>29</v>
      </c>
      <c r="C17" s="3"/>
      <c r="D17" s="3"/>
      <c r="E17" s="3">
        <v>906.072</v>
      </c>
      <c r="F17" s="3"/>
      <c r="G17" s="3"/>
      <c r="H17" s="3"/>
      <c r="I17" s="3">
        <v>904.53700000000003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</row>
    <row r="18" spans="2:185" x14ac:dyDescent="0.2">
      <c r="B18" t="s">
        <v>30</v>
      </c>
      <c r="C18" s="3">
        <f t="shared" ref="C18:H18" si="1">+C14-SUM(C15:C17)</f>
        <v>0</v>
      </c>
      <c r="D18" s="3">
        <f t="shared" si="1"/>
        <v>0</v>
      </c>
      <c r="E18" s="3">
        <f t="shared" si="1"/>
        <v>-66.679000000000087</v>
      </c>
      <c r="F18" s="3">
        <f t="shared" si="1"/>
        <v>0</v>
      </c>
      <c r="G18" s="3">
        <f t="shared" si="1"/>
        <v>0</v>
      </c>
      <c r="H18" s="3">
        <f t="shared" si="1"/>
        <v>0</v>
      </c>
      <c r="I18" s="3">
        <f>+I14-SUM(I15:I17)</f>
        <v>353.94800000000032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</row>
    <row r="19" spans="2:185" x14ac:dyDescent="0.2">
      <c r="B19" t="s">
        <v>31</v>
      </c>
      <c r="C19" s="3"/>
      <c r="D19" s="3"/>
      <c r="E19" s="3">
        <v>-21.545000000000002</v>
      </c>
      <c r="F19" s="3"/>
      <c r="G19" s="3"/>
      <c r="H19" s="3"/>
      <c r="I19" s="3">
        <v>100.693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</row>
    <row r="20" spans="2:185" x14ac:dyDescent="0.2">
      <c r="B20" t="s">
        <v>32</v>
      </c>
      <c r="C20" s="3">
        <f t="shared" ref="C20:H20" si="2">+C18+C19</f>
        <v>0</v>
      </c>
      <c r="D20" s="3">
        <f t="shared" si="2"/>
        <v>0</v>
      </c>
      <c r="E20" s="3">
        <f t="shared" si="2"/>
        <v>-88.224000000000089</v>
      </c>
      <c r="F20" s="3">
        <f t="shared" si="2"/>
        <v>0</v>
      </c>
      <c r="G20" s="3">
        <f t="shared" si="2"/>
        <v>0</v>
      </c>
      <c r="H20" s="3">
        <f t="shared" si="2"/>
        <v>0</v>
      </c>
      <c r="I20" s="3">
        <f>+I18+I19</f>
        <v>454.6410000000003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</row>
    <row r="21" spans="2:185" x14ac:dyDescent="0.2">
      <c r="B21" t="s">
        <v>33</v>
      </c>
      <c r="C21" s="3"/>
      <c r="D21" s="3"/>
      <c r="E21" s="3">
        <v>-8.4190000000000005</v>
      </c>
      <c r="F21" s="3"/>
      <c r="G21" s="3"/>
      <c r="H21" s="3"/>
      <c r="I21" s="3">
        <v>-14.76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</row>
    <row r="22" spans="2:185" x14ac:dyDescent="0.2">
      <c r="B22" t="s">
        <v>34</v>
      </c>
      <c r="C22" s="3"/>
      <c r="D22" s="3"/>
      <c r="E22" s="3">
        <v>-0.28999999999999998</v>
      </c>
      <c r="F22" s="3"/>
      <c r="G22" s="3"/>
      <c r="H22" s="3"/>
      <c r="I22" s="3">
        <v>-0.82899999999999996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</row>
    <row r="23" spans="2:185" x14ac:dyDescent="0.2">
      <c r="B23" t="s">
        <v>35</v>
      </c>
      <c r="C23" s="3">
        <f t="shared" ref="C23:H23" si="3">+C20-C21-C22</f>
        <v>0</v>
      </c>
      <c r="D23" s="3">
        <f t="shared" si="3"/>
        <v>0</v>
      </c>
      <c r="E23" s="3">
        <f t="shared" si="3"/>
        <v>-79.515000000000086</v>
      </c>
      <c r="F23" s="3">
        <f t="shared" si="3"/>
        <v>0</v>
      </c>
      <c r="G23" s="3">
        <f t="shared" si="3"/>
        <v>0</v>
      </c>
      <c r="H23" s="3">
        <f t="shared" si="3"/>
        <v>0</v>
      </c>
      <c r="I23" s="3">
        <f>+I20-I21-I22</f>
        <v>470.2300000000003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</row>
    <row r="24" spans="2:185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</row>
    <row r="25" spans="2:185" x14ac:dyDescent="0.2">
      <c r="B25" t="s">
        <v>36</v>
      </c>
      <c r="C25" s="6" t="e">
        <f t="shared" ref="C25:H25" si="4">+C23/C26</f>
        <v>#DIV/0!</v>
      </c>
      <c r="D25" s="6" t="e">
        <f t="shared" si="4"/>
        <v>#DIV/0!</v>
      </c>
      <c r="E25" s="6">
        <f t="shared" si="4"/>
        <v>-0.19029581290865247</v>
      </c>
      <c r="F25" s="6" t="e">
        <f t="shared" si="4"/>
        <v>#DIV/0!</v>
      </c>
      <c r="G25" s="6" t="e">
        <f t="shared" si="4"/>
        <v>#DIV/0!</v>
      </c>
      <c r="H25" s="6" t="e">
        <f t="shared" si="4"/>
        <v>#DIV/0!</v>
      </c>
      <c r="I25" s="6">
        <f>+I23/I26</f>
        <v>1.1263862368081874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</row>
    <row r="26" spans="2:185" x14ac:dyDescent="0.2">
      <c r="B26" t="s">
        <v>3</v>
      </c>
      <c r="C26" s="3"/>
      <c r="D26" s="3"/>
      <c r="E26" s="3">
        <v>417.849446</v>
      </c>
      <c r="F26" s="3"/>
      <c r="G26" s="3"/>
      <c r="H26" s="3"/>
      <c r="I26" s="3">
        <v>417.46781399999998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</row>
    <row r="27" spans="2:185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</row>
    <row r="28" spans="2:185" x14ac:dyDescent="0.2">
      <c r="B28" t="s">
        <v>40</v>
      </c>
      <c r="C28" s="3"/>
      <c r="D28" s="3"/>
      <c r="E28" s="3"/>
      <c r="F28" s="3"/>
      <c r="G28" s="20" t="e">
        <f t="shared" ref="G28:H28" si="5">+G3/C3-1</f>
        <v>#DIV/0!</v>
      </c>
      <c r="H28" s="20" t="e">
        <f t="shared" si="5"/>
        <v>#DIV/0!</v>
      </c>
      <c r="I28" s="20">
        <f>+I3/E3-1</f>
        <v>9.3457943925233655E-2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</row>
    <row r="29" spans="2:185" x14ac:dyDescent="0.2">
      <c r="B29" s="1" t="s">
        <v>45</v>
      </c>
      <c r="C29" s="5"/>
      <c r="D29" s="5"/>
      <c r="E29" s="5"/>
      <c r="F29" s="5"/>
      <c r="G29" s="21" t="e">
        <f t="shared" ref="G29:H29" si="6">+G12/C12-1</f>
        <v>#DIV/0!</v>
      </c>
      <c r="H29" s="21" t="e">
        <f t="shared" si="6"/>
        <v>#DIV/0!</v>
      </c>
      <c r="I29" s="21">
        <f>+I12/E12-1</f>
        <v>5.1992986221566451E-2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</row>
    <row r="30" spans="2:185" x14ac:dyDescent="0.2">
      <c r="B30" t="s">
        <v>46</v>
      </c>
      <c r="C30" s="20" t="e">
        <f t="shared" ref="C30:G30" si="7">+C14/C12</f>
        <v>#DIV/0!</v>
      </c>
      <c r="D30" s="20" t="e">
        <f t="shared" si="7"/>
        <v>#DIV/0!</v>
      </c>
      <c r="E30" s="20">
        <f t="shared" si="7"/>
        <v>0.34866116770376776</v>
      </c>
      <c r="F30" s="20" t="e">
        <f t="shared" si="7"/>
        <v>#DIV/0!</v>
      </c>
      <c r="G30" s="20" t="e">
        <f>+G14/G12</f>
        <v>#DIV/0!</v>
      </c>
      <c r="H30" s="20" t="e">
        <f t="shared" ref="G30:I30" si="8">+H14/H12</f>
        <v>#DIV/0!</v>
      </c>
      <c r="I30" s="20">
        <f>+I14/I12</f>
        <v>0.3666569903874341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</row>
    <row r="31" spans="2:185" x14ac:dyDescent="0.2">
      <c r="B31" t="s">
        <v>47</v>
      </c>
      <c r="C31" s="20" t="e">
        <f t="shared" ref="C31:G31" si="9">+C18/C12</f>
        <v>#DIV/0!</v>
      </c>
      <c r="D31" s="20" t="e">
        <f t="shared" si="9"/>
        <v>#DIV/0!</v>
      </c>
      <c r="E31" s="20">
        <f t="shared" si="9"/>
        <v>-9.1270829854276699E-3</v>
      </c>
      <c r="F31" s="20" t="e">
        <f t="shared" si="9"/>
        <v>#DIV/0!</v>
      </c>
      <c r="G31" s="20" t="e">
        <f>+G18/G12</f>
        <v>#DIV/0!</v>
      </c>
      <c r="H31" s="20" t="e">
        <f t="shared" ref="G31:I31" si="10">+H18/H12</f>
        <v>#DIV/0!</v>
      </c>
      <c r="I31" s="20">
        <f>+I18/I12</f>
        <v>4.6054231489822184E-2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</row>
    <row r="32" spans="2:185" x14ac:dyDescent="0.2">
      <c r="B32" t="s">
        <v>48</v>
      </c>
      <c r="C32" s="20" t="e">
        <f t="shared" ref="C32:G32" si="11">+C21/C20</f>
        <v>#DIV/0!</v>
      </c>
      <c r="D32" s="20" t="e">
        <f t="shared" si="11"/>
        <v>#DIV/0!</v>
      </c>
      <c r="E32" s="20">
        <f t="shared" si="11"/>
        <v>9.5427548059484862E-2</v>
      </c>
      <c r="F32" s="20" t="e">
        <f t="shared" si="11"/>
        <v>#DIV/0!</v>
      </c>
      <c r="G32" s="20" t="e">
        <f>+G21/G20</f>
        <v>#DIV/0!</v>
      </c>
      <c r="H32" s="20" t="e">
        <f t="shared" ref="G32:I32" si="12">+H21/H20</f>
        <v>#DIV/0!</v>
      </c>
      <c r="I32" s="20">
        <f>+I21/I20</f>
        <v>-3.2465175820042602E-2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</row>
    <row r="33" spans="3:185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</row>
    <row r="34" spans="3:185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</row>
    <row r="35" spans="3:185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</row>
    <row r="36" spans="3:185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</row>
    <row r="37" spans="3:185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</row>
    <row r="38" spans="3:185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</row>
    <row r="39" spans="3:185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</row>
    <row r="40" spans="3:185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</row>
    <row r="41" spans="3:185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</row>
    <row r="42" spans="3:185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</row>
    <row r="43" spans="3:185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</row>
    <row r="44" spans="3:18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</row>
    <row r="45" spans="3:185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</row>
    <row r="46" spans="3:185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</row>
    <row r="47" spans="3:18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</row>
    <row r="48" spans="3:185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</row>
    <row r="49" spans="3:18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</row>
    <row r="50" spans="3:185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</row>
    <row r="51" spans="3:185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</row>
    <row r="52" spans="3:18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</row>
    <row r="53" spans="3:18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</row>
    <row r="54" spans="3:18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</row>
    <row r="55" spans="3:18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</row>
    <row r="56" spans="3:18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</row>
    <row r="57" spans="3:18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</row>
    <row r="58" spans="3:18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</row>
    <row r="59" spans="3:18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</row>
    <row r="60" spans="3:18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</row>
    <row r="61" spans="3:18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</row>
    <row r="62" spans="3:18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</row>
    <row r="63" spans="3:18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</row>
    <row r="64" spans="3:18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</row>
    <row r="65" spans="3:18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</row>
    <row r="66" spans="3:18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</row>
    <row r="67" spans="3:18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</row>
    <row r="68" spans="3:18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</row>
    <row r="69" spans="3:18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</row>
    <row r="70" spans="3:18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</row>
    <row r="71" spans="3:18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</row>
    <row r="72" spans="3:18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</row>
    <row r="73" spans="3:18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</row>
    <row r="74" spans="3:18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</row>
    <row r="75" spans="3:18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</row>
    <row r="76" spans="3:18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</row>
    <row r="77" spans="3:18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</row>
    <row r="78" spans="3:18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</row>
    <row r="79" spans="3:18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</row>
    <row r="80" spans="3:18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</row>
    <row r="81" spans="3:18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</row>
    <row r="82" spans="3:18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</row>
    <row r="83" spans="3:18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</row>
    <row r="84" spans="3:18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</row>
    <row r="85" spans="3:18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</row>
    <row r="86" spans="3:18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</row>
    <row r="87" spans="3:18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</row>
    <row r="88" spans="3:18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</row>
    <row r="89" spans="3:18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</row>
    <row r="90" spans="3:18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</row>
    <row r="91" spans="3:18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</row>
    <row r="92" spans="3:18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</row>
    <row r="93" spans="3:18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</row>
    <row r="94" spans="3:18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</row>
    <row r="95" spans="3:18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</row>
    <row r="96" spans="3:18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</row>
    <row r="97" spans="3:18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</row>
    <row r="98" spans="3:18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</row>
    <row r="99" spans="3:18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</row>
    <row r="100" spans="3:18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</row>
    <row r="101" spans="3:18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</row>
    <row r="102" spans="3:18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</row>
    <row r="103" spans="3:18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</row>
    <row r="104" spans="3:18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</row>
    <row r="105" spans="3:18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</row>
    <row r="106" spans="3:18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</row>
    <row r="107" spans="3:18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</row>
    <row r="108" spans="3:18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</row>
    <row r="109" spans="3:18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</row>
    <row r="110" spans="3:18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</row>
    <row r="111" spans="3:18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</row>
    <row r="112" spans="3:18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</row>
    <row r="113" spans="3:18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</row>
    <row r="114" spans="3:18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</row>
    <row r="115" spans="3:18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</row>
    <row r="116" spans="3:18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</row>
    <row r="117" spans="3:18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</row>
    <row r="118" spans="3:18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</row>
    <row r="119" spans="3:18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</row>
    <row r="120" spans="3:18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</row>
    <row r="121" spans="3:18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</row>
    <row r="122" spans="3:18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</row>
    <row r="123" spans="3:18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</row>
    <row r="124" spans="3:18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</row>
    <row r="125" spans="3:18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</row>
    <row r="126" spans="3:18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</row>
    <row r="127" spans="3:18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</row>
    <row r="128" spans="3:18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</row>
    <row r="129" spans="3:18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</row>
    <row r="130" spans="3:18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</row>
    <row r="131" spans="3:18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</row>
    <row r="132" spans="3:18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</row>
    <row r="133" spans="3:18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</row>
    <row r="134" spans="3:18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</row>
    <row r="135" spans="3:18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</row>
    <row r="136" spans="3:18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</row>
    <row r="137" spans="3:18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</row>
    <row r="138" spans="3:18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</row>
    <row r="139" spans="3:18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</row>
    <row r="140" spans="3:18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</row>
    <row r="141" spans="3:18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</row>
    <row r="142" spans="3:18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</row>
    <row r="143" spans="3:18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</row>
    <row r="144" spans="3:18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</row>
    <row r="145" spans="3:18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</row>
    <row r="146" spans="3:18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</row>
    <row r="147" spans="3:18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</row>
    <row r="148" spans="3:18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</row>
    <row r="149" spans="3:18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</row>
    <row r="150" spans="3:18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</row>
    <row r="151" spans="3:18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</row>
    <row r="152" spans="3:18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</row>
    <row r="153" spans="3:18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</row>
    <row r="154" spans="3:18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</row>
    <row r="155" spans="3:18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</row>
    <row r="156" spans="3:18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</row>
    <row r="157" spans="3:18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</row>
    <row r="158" spans="3:18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</row>
    <row r="159" spans="3:18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</row>
    <row r="160" spans="3:18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</row>
    <row r="161" spans="3:18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</row>
    <row r="162" spans="3:18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</row>
    <row r="163" spans="3:18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</row>
    <row r="164" spans="3:18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</row>
    <row r="165" spans="3:18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</row>
    <row r="166" spans="3:18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</row>
    <row r="167" spans="3:18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</row>
    <row r="168" spans="3:18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</row>
    <row r="169" spans="3:18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</row>
    <row r="170" spans="3:18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</row>
    <row r="171" spans="3:18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</row>
    <row r="172" spans="3:18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</row>
    <row r="173" spans="3:18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</row>
    <row r="174" spans="3:18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</row>
    <row r="175" spans="3:18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</row>
    <row r="176" spans="3:18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</row>
    <row r="177" spans="3:18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</row>
    <row r="178" spans="3:18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</row>
    <row r="179" spans="3:18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</row>
    <row r="180" spans="3:18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</row>
    <row r="181" spans="3:18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</row>
    <row r="182" spans="3:18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</row>
    <row r="183" spans="3:18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</row>
    <row r="184" spans="3:18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</row>
    <row r="185" spans="3:18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</row>
    <row r="186" spans="3:18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</row>
    <row r="187" spans="3:18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</row>
    <row r="188" spans="3:18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</row>
    <row r="189" spans="3:18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</row>
    <row r="190" spans="3:18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</row>
    <row r="191" spans="3:18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</row>
    <row r="192" spans="3:18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</row>
    <row r="193" spans="3:18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</row>
    <row r="194" spans="3:18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</row>
    <row r="195" spans="3:18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</row>
    <row r="196" spans="3:18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</row>
    <row r="197" spans="3:18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</row>
    <row r="198" spans="3:18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</row>
    <row r="199" spans="3:18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</row>
    <row r="200" spans="3:18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</row>
    <row r="201" spans="3:18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</row>
    <row r="202" spans="3:18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</row>
    <row r="203" spans="3:18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</row>
    <row r="204" spans="3:18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</row>
    <row r="205" spans="3:18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</row>
    <row r="206" spans="3:18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</row>
    <row r="207" spans="3:18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</row>
    <row r="208" spans="3:18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</row>
    <row r="209" spans="3:18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</row>
    <row r="210" spans="3:18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</row>
    <row r="211" spans="3:18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</row>
    <row r="212" spans="3:18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</row>
    <row r="213" spans="3:18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</row>
    <row r="214" spans="3:18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</row>
    <row r="215" spans="3:18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</row>
    <row r="216" spans="3:18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</row>
    <row r="217" spans="3:18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</row>
    <row r="218" spans="3:18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</row>
    <row r="219" spans="3:18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</row>
    <row r="220" spans="3:18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</row>
    <row r="221" spans="3:18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</row>
    <row r="222" spans="3:18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</row>
    <row r="223" spans="3:18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</row>
    <row r="224" spans="3:18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</row>
    <row r="225" spans="3:18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</row>
    <row r="226" spans="3:18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</row>
    <row r="227" spans="3:18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</row>
    <row r="228" spans="3:18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</row>
    <row r="229" spans="3:18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</row>
    <row r="230" spans="3:18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</row>
    <row r="231" spans="3:18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</row>
    <row r="232" spans="3:18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</row>
    <row r="233" spans="3:18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</row>
    <row r="234" spans="3:18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</row>
    <row r="235" spans="3:18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</row>
    <row r="236" spans="3:18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</row>
    <row r="237" spans="3:18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</row>
    <row r="238" spans="3:18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</row>
    <row r="239" spans="3:18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</row>
    <row r="240" spans="3:18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</row>
    <row r="241" spans="3:18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</row>
    <row r="242" spans="3:18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</row>
    <row r="243" spans="3:18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</row>
    <row r="244" spans="3:18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</row>
    <row r="245" spans="3:18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</row>
    <row r="246" spans="3:18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</row>
    <row r="247" spans="3:18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</row>
    <row r="248" spans="3:18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</row>
    <row r="249" spans="3:18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</row>
    <row r="250" spans="3:18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</row>
    <row r="251" spans="3:18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</row>
    <row r="252" spans="3:18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</row>
    <row r="253" spans="3:18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</row>
    <row r="254" spans="3:18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</row>
    <row r="255" spans="3:18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</row>
    <row r="256" spans="3:18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</row>
    <row r="257" spans="3:18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</row>
    <row r="258" spans="3:18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</row>
    <row r="259" spans="3:18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</row>
    <row r="260" spans="3:18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</row>
    <row r="261" spans="3:18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</row>
    <row r="262" spans="3:18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</row>
    <row r="263" spans="3:18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</row>
    <row r="264" spans="3:18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</row>
    <row r="265" spans="3:18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</row>
    <row r="266" spans="3:18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</row>
    <row r="267" spans="3:18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</row>
    <row r="268" spans="3:18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</row>
    <row r="269" spans="3:18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</row>
    <row r="270" spans="3:18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</row>
    <row r="271" spans="3:18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</row>
    <row r="272" spans="3:18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</row>
    <row r="273" spans="3:18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</row>
    <row r="274" spans="3:18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</row>
    <row r="275" spans="3:18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</row>
    <row r="276" spans="3:18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</row>
    <row r="277" spans="3:18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</row>
    <row r="278" spans="3:18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</row>
  </sheetData>
  <hyperlinks>
    <hyperlink ref="A1" location="Main!A1" display="Main" xr:uid="{57B6090C-C136-4975-BF0B-045A047424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2025-11-15T08:39:23Z</dcterms:created>
  <dcterms:modified xsi:type="dcterms:W3CDTF">2025-11-15T09:00:44Z</dcterms:modified>
</cp:coreProperties>
</file>