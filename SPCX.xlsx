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88932DC-3B2A-4653-9CFC-02CC4A2E6351}" xr6:coauthVersionLast="47" xr6:coauthVersionMax="47" xr10:uidLastSave="{00000000-0000-0000-0000-000000000000}"/>
  <bookViews>
    <workbookView xWindow="19095" yWindow="0" windowWidth="19305" windowHeight="20985" activeTab="1" xr2:uid="{F03B917A-17F4-4DB6-93D6-77129ABA2B7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2" l="1"/>
  <c r="C26" i="2"/>
  <c r="C24" i="2"/>
  <c r="C23" i="2"/>
  <c r="C22" i="2"/>
  <c r="C20" i="2"/>
  <c r="C19" i="2"/>
  <c r="C18" i="2"/>
  <c r="C17" i="2"/>
  <c r="C15" i="2"/>
  <c r="G26" i="2"/>
  <c r="G24" i="2"/>
  <c r="G23" i="2"/>
  <c r="G22" i="2"/>
  <c r="G19" i="2"/>
  <c r="G18" i="2"/>
  <c r="G17" i="2"/>
  <c r="G15" i="2"/>
  <c r="F29" i="2"/>
  <c r="E29" i="2"/>
  <c r="D29" i="2"/>
  <c r="H29" i="2"/>
  <c r="J27" i="2"/>
  <c r="I27" i="2"/>
  <c r="H27" i="2"/>
  <c r="F27" i="2"/>
  <c r="E27" i="2"/>
  <c r="J25" i="2"/>
  <c r="I25" i="2"/>
  <c r="H25" i="2"/>
  <c r="H38" i="2" s="1"/>
  <c r="F25" i="2"/>
  <c r="E25" i="2"/>
  <c r="J21" i="2"/>
  <c r="I21" i="2"/>
  <c r="H21" i="2"/>
  <c r="G21" i="2"/>
  <c r="G25" i="2" s="1"/>
  <c r="F21" i="2"/>
  <c r="E21" i="2"/>
  <c r="D21" i="2"/>
  <c r="D25" i="2" s="1"/>
  <c r="H16" i="2"/>
  <c r="G16" i="2"/>
  <c r="F16" i="2"/>
  <c r="E16" i="2"/>
  <c r="D16" i="2"/>
  <c r="C16" i="2"/>
  <c r="K6" i="1"/>
  <c r="K5" i="1"/>
  <c r="K3" i="1"/>
  <c r="K4" i="1"/>
  <c r="K7" i="1" s="1"/>
  <c r="L100" i="2"/>
  <c r="L101" i="2"/>
  <c r="M100" i="2"/>
  <c r="M101" i="2"/>
  <c r="N101" i="2"/>
  <c r="L96" i="2"/>
  <c r="L98" i="2" s="1"/>
  <c r="M98" i="2"/>
  <c r="N98" i="2"/>
  <c r="M96" i="2"/>
  <c r="N90" i="2"/>
  <c r="N91" i="2"/>
  <c r="N96" i="2"/>
  <c r="L85" i="2"/>
  <c r="M85" i="2"/>
  <c r="M88" i="2"/>
  <c r="L88" i="2"/>
  <c r="N87" i="2"/>
  <c r="N88" i="2"/>
  <c r="N85" i="2"/>
  <c r="L72" i="2"/>
  <c r="M72" i="2"/>
  <c r="M81" i="2"/>
  <c r="M82" i="2" s="1"/>
  <c r="L81" i="2"/>
  <c r="L82" i="2" s="1"/>
  <c r="N72" i="2"/>
  <c r="N82" i="2"/>
  <c r="N81" i="2"/>
  <c r="M63" i="2"/>
  <c r="M59" i="2"/>
  <c r="M65" i="2"/>
  <c r="N65" i="2"/>
  <c r="N63" i="2"/>
  <c r="N64" i="2" s="1"/>
  <c r="N66" i="2" s="1"/>
  <c r="N59" i="2"/>
  <c r="M53" i="2"/>
  <c r="M54" i="2" s="1"/>
  <c r="N53" i="2"/>
  <c r="N54" i="2" s="1"/>
  <c r="M45" i="2"/>
  <c r="N45" i="2"/>
  <c r="J38" i="2"/>
  <c r="I38" i="2"/>
  <c r="F38" i="2"/>
  <c r="E38" i="2"/>
  <c r="G34" i="2"/>
  <c r="G33" i="2"/>
  <c r="G32" i="2"/>
  <c r="M34" i="2"/>
  <c r="L34" i="2"/>
  <c r="M33" i="2"/>
  <c r="L33" i="2"/>
  <c r="M32" i="2"/>
  <c r="L32" i="2"/>
  <c r="N34" i="2"/>
  <c r="N33" i="2"/>
  <c r="N32" i="2"/>
  <c r="K29" i="2"/>
  <c r="J14" i="2"/>
  <c r="I14" i="2"/>
  <c r="G14" i="2"/>
  <c r="F14" i="2"/>
  <c r="E14" i="2"/>
  <c r="C14" i="2"/>
  <c r="M14" i="2"/>
  <c r="L14" i="2"/>
  <c r="N14" i="2"/>
  <c r="N6" i="2"/>
  <c r="M6" i="2"/>
  <c r="L6" i="2"/>
  <c r="J6" i="2"/>
  <c r="I6" i="2"/>
  <c r="H6" i="2"/>
  <c r="G6" i="2"/>
  <c r="F6" i="2"/>
  <c r="E6" i="2"/>
  <c r="D6" i="2"/>
  <c r="C6" i="2"/>
  <c r="C21" i="2" l="1"/>
  <c r="C25" i="2" s="1"/>
  <c r="C38" i="2" s="1"/>
  <c r="G38" i="2"/>
  <c r="G27" i="2"/>
  <c r="G29" i="2" s="1"/>
  <c r="D38" i="2"/>
  <c r="D27" i="2"/>
  <c r="J37" i="2"/>
  <c r="J36" i="2"/>
  <c r="I36" i="2"/>
  <c r="I37" i="2"/>
  <c r="H36" i="2"/>
  <c r="H37" i="2"/>
  <c r="G37" i="2"/>
  <c r="G36" i="2"/>
  <c r="G35" i="2"/>
  <c r="F37" i="2"/>
  <c r="F36" i="2"/>
  <c r="E37" i="2"/>
  <c r="E36" i="2"/>
  <c r="D37" i="2"/>
  <c r="D36" i="2"/>
  <c r="C36" i="2"/>
  <c r="M35" i="2"/>
  <c r="M16" i="2"/>
  <c r="L35" i="2"/>
  <c r="L16" i="2"/>
  <c r="N35" i="2"/>
  <c r="N16" i="2"/>
  <c r="M64" i="2"/>
  <c r="M66" i="2"/>
  <c r="C37" i="2" l="1"/>
  <c r="C27" i="2"/>
  <c r="M36" i="2"/>
  <c r="M21" i="2"/>
  <c r="L36" i="2"/>
  <c r="L21" i="2"/>
  <c r="N36" i="2"/>
  <c r="N21" i="2"/>
  <c r="M25" i="2" l="1"/>
  <c r="M37" i="2"/>
  <c r="L37" i="2"/>
  <c r="L25" i="2"/>
  <c r="N37" i="2"/>
  <c r="N25" i="2"/>
  <c r="M38" i="2" l="1"/>
  <c r="M27" i="2"/>
  <c r="L38" i="2"/>
  <c r="L27" i="2"/>
  <c r="N38" i="2"/>
  <c r="N27" i="2"/>
  <c r="M68" i="2" l="1"/>
  <c r="M29" i="2"/>
  <c r="L68" i="2"/>
  <c r="L29" i="2"/>
  <c r="N68" i="2"/>
  <c r="N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tc={6826AE8F-075A-43A6-8C30-4EE985E71319}</author>
  </authors>
  <commentList>
    <comment ref="B3" authorId="0" shapeId="0" xr:uid="{6826AE8F-075A-43A6-8C30-4EE985E71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payload doployed to orbit in given period</t>
      </text>
    </comment>
  </commentList>
</comments>
</file>

<file path=xl/sharedStrings.xml><?xml version="1.0" encoding="utf-8"?>
<sst xmlns="http://schemas.openxmlformats.org/spreadsheetml/2006/main" count="153" uniqueCount="142">
  <si>
    <t>Space Exploration Technologies Crop</t>
  </si>
  <si>
    <t>numbers in mio $</t>
  </si>
  <si>
    <t>Notes</t>
  </si>
  <si>
    <t xml:space="preserve">Cursor Acquistion </t>
  </si>
  <si>
    <t>Total Launches: about 650</t>
  </si>
  <si>
    <t>Crewmembers flown: 78</t>
  </si>
  <si>
    <t>Starlink Boradband &amp; Mobile Statelies: 9.600+</t>
  </si>
  <si>
    <t>Starlink Subscribers</t>
  </si>
  <si>
    <t>Business</t>
  </si>
  <si>
    <t>Space Launch</t>
  </si>
  <si>
    <t>Starlink</t>
  </si>
  <si>
    <t>xAI (including X)</t>
  </si>
  <si>
    <t>Namplate Compute Draw: 1GW+</t>
  </si>
  <si>
    <t>Major Model Versions 4</t>
  </si>
  <si>
    <t>Daily posts on X about 350M, MAU: about 550M</t>
  </si>
  <si>
    <t>Colossus and Colossus II</t>
  </si>
  <si>
    <t>Deal with Anthropic: $1.25 billion per month for compute capacity</t>
  </si>
  <si>
    <t>Currently training Grok 5</t>
  </si>
  <si>
    <t>Price</t>
  </si>
  <si>
    <t>Shares</t>
  </si>
  <si>
    <t>MC</t>
  </si>
  <si>
    <t>Cash</t>
  </si>
  <si>
    <t>Debt</t>
  </si>
  <si>
    <t>EV</t>
  </si>
  <si>
    <t>CEO</t>
  </si>
  <si>
    <t>CTO</t>
  </si>
  <si>
    <t>Founder</t>
  </si>
  <si>
    <t>Elon Musk</t>
  </si>
  <si>
    <t>Main</t>
  </si>
  <si>
    <t>FY23</t>
  </si>
  <si>
    <t>FY24</t>
  </si>
  <si>
    <t>FY25</t>
  </si>
  <si>
    <t>Q125</t>
  </si>
  <si>
    <t>Q225</t>
  </si>
  <si>
    <t>Q325</t>
  </si>
  <si>
    <t>Q425</t>
  </si>
  <si>
    <t>Q126</t>
  </si>
  <si>
    <t>Q226</t>
  </si>
  <si>
    <t>Q326</t>
  </si>
  <si>
    <t>Q426</t>
  </si>
  <si>
    <t>Mass to Orbit (in tonns)</t>
  </si>
  <si>
    <t>Falcon Launches</t>
  </si>
  <si>
    <t>Starship Launches</t>
  </si>
  <si>
    <t>Total Launches</t>
  </si>
  <si>
    <t>Starlink Subscirbers (in mio)</t>
  </si>
  <si>
    <t>ARPU</t>
  </si>
  <si>
    <t>Nameplate Compute Draw (in GW)</t>
  </si>
  <si>
    <t>Space</t>
  </si>
  <si>
    <t>Connectivity</t>
  </si>
  <si>
    <t>Income from Operations</t>
  </si>
  <si>
    <t>AI</t>
  </si>
  <si>
    <t>Space Revenue</t>
  </si>
  <si>
    <t>Connectivity Revenue</t>
  </si>
  <si>
    <t>AI Revenue</t>
  </si>
  <si>
    <t>https://www.sec.gov/Archives/edgar/data/1181412/000162828026036936/spaceexplorationtechnologi.htm</t>
  </si>
  <si>
    <t>CFO</t>
  </si>
  <si>
    <t>COO</t>
  </si>
  <si>
    <t>Bret Johnsen</t>
  </si>
  <si>
    <t>Gwynne Shotwell</t>
  </si>
  <si>
    <t>Revenue</t>
  </si>
  <si>
    <t>COGS</t>
  </si>
  <si>
    <t>Gross Profit</t>
  </si>
  <si>
    <t>R&amp;D</t>
  </si>
  <si>
    <t>SG&amp;A</t>
  </si>
  <si>
    <t>Restructuring</t>
  </si>
  <si>
    <t>Impairments</t>
  </si>
  <si>
    <t>Operating Income</t>
  </si>
  <si>
    <t>Interest Expense</t>
  </si>
  <si>
    <t>Interest Income</t>
  </si>
  <si>
    <t>Other Income</t>
  </si>
  <si>
    <t>Pretax Income</t>
  </si>
  <si>
    <t>Tax Expense</t>
  </si>
  <si>
    <t>Net Income</t>
  </si>
  <si>
    <t>EPS</t>
  </si>
  <si>
    <t>Space Growth</t>
  </si>
  <si>
    <t>Connectivity Growth</t>
  </si>
  <si>
    <t>AI Growth</t>
  </si>
  <si>
    <t>Revenue Growth</t>
  </si>
  <si>
    <t>Gross Margin</t>
  </si>
  <si>
    <t>Operating Margin</t>
  </si>
  <si>
    <t>Tax Rate</t>
  </si>
  <si>
    <t>Cash &amp; Cash Equiv</t>
  </si>
  <si>
    <t>MS</t>
  </si>
  <si>
    <t>Account Receivables</t>
  </si>
  <si>
    <t>Inventory</t>
  </si>
  <si>
    <t>Prepaid Exp &amp; Others</t>
  </si>
  <si>
    <t>Current Assets</t>
  </si>
  <si>
    <t>PP&amp;E</t>
  </si>
  <si>
    <t>Finance Leases</t>
  </si>
  <si>
    <t>Intangibles</t>
  </si>
  <si>
    <t>Digital Assets</t>
  </si>
  <si>
    <t>Goodwill</t>
  </si>
  <si>
    <t>Deferred Taxes</t>
  </si>
  <si>
    <t>Other</t>
  </si>
  <si>
    <t>Non-Current Assets</t>
  </si>
  <si>
    <t>Total Assets</t>
  </si>
  <si>
    <t>Account Payables</t>
  </si>
  <si>
    <t>Deferred Revenue</t>
  </si>
  <si>
    <t>Debt &amp; Finance leases</t>
  </si>
  <si>
    <t>Accrued expenses</t>
  </si>
  <si>
    <t>Current Liabilities</t>
  </si>
  <si>
    <t>Other Liabilties</t>
  </si>
  <si>
    <t>Non-Current Liabilties</t>
  </si>
  <si>
    <t>Total Liabilities &amp; Equity</t>
  </si>
  <si>
    <t>Total Liabilities</t>
  </si>
  <si>
    <t>Equity</t>
  </si>
  <si>
    <t>D&amp;A</t>
  </si>
  <si>
    <t>SBC</t>
  </si>
  <si>
    <t>Asset impairments</t>
  </si>
  <si>
    <t>Deferred Income Taxes</t>
  </si>
  <si>
    <t xml:space="preserve">Other </t>
  </si>
  <si>
    <t>Changes in AR</t>
  </si>
  <si>
    <t>Changes in Inventory</t>
  </si>
  <si>
    <t>Changes in PE</t>
  </si>
  <si>
    <t>Changes in AP</t>
  </si>
  <si>
    <t>Changes in DR</t>
  </si>
  <si>
    <t>Changes in OLL</t>
  </si>
  <si>
    <t>Changes in other liabilites</t>
  </si>
  <si>
    <t>Change in WC</t>
  </si>
  <si>
    <t>CFFO</t>
  </si>
  <si>
    <t>CFFI</t>
  </si>
  <si>
    <t>CapEx</t>
  </si>
  <si>
    <t>Purchase of MS</t>
  </si>
  <si>
    <t>Maturities &amp; Sale of MS</t>
  </si>
  <si>
    <t>Investments in affiliates</t>
  </si>
  <si>
    <t>CFFF</t>
  </si>
  <si>
    <t>Prinicipal Repayments</t>
  </si>
  <si>
    <t>Proceeds from debt</t>
  </si>
  <si>
    <t>Repayment of Debt</t>
  </si>
  <si>
    <t>Issuance of Capital Stock</t>
  </si>
  <si>
    <t>Employee Equity Award Plan</t>
  </si>
  <si>
    <t>Repurchases of Stock</t>
  </si>
  <si>
    <t>Tax Paid related to equity</t>
  </si>
  <si>
    <t>FX Effect</t>
  </si>
  <si>
    <t>Change in Cash</t>
  </si>
  <si>
    <t>Cash BoP</t>
  </si>
  <si>
    <t>Cash EoP</t>
  </si>
  <si>
    <t>S1-Filing</t>
  </si>
  <si>
    <t>IPO on 12.06.2026</t>
  </si>
  <si>
    <t>Raised 75$ b. -&gt; biggest IPO in history</t>
  </si>
  <si>
    <t>Opened at 135$, closed at 166,8$</t>
  </si>
  <si>
    <t>2.3 Trillion market cap after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</si>
</sst>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6" fontId="0" fillId="0" borderId="0" xfId="0" applyNumberFormat="1"/>
    <xf numFmtId="9" fontId="0" fillId="0" borderId="0" xfId="1" applyFont="1"/>
    <xf numFmtId="9" fontId="2" fillId="0" borderId="0" xfId="1" applyFont="1"/>
    <xf numFmtId="9" fontId="1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39</xdr:row>
      <xdr:rowOff>10991</xdr:rowOff>
    </xdr:from>
    <xdr:to>
      <xdr:col>7</xdr:col>
      <xdr:colOff>43962</xdr:colOff>
      <xdr:row>53</xdr:row>
      <xdr:rowOff>105806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D1169-234D-BAEF-EF4A-488F097C6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975106"/>
          <a:ext cx="3853962" cy="2351508"/>
        </a:xfrm>
        <a:prstGeom prst="rect">
          <a:avLst/>
        </a:prstGeom>
      </xdr:spPr>
    </xdr:pic>
    <xdr:clientData/>
  </xdr:twoCellAnchor>
  <xdr:twoCellAnchor editAs="oneCell">
    <xdr:from>
      <xdr:col>7</xdr:col>
      <xdr:colOff>45793</xdr:colOff>
      <xdr:row>40</xdr:row>
      <xdr:rowOff>72902</xdr:rowOff>
    </xdr:from>
    <xdr:to>
      <xdr:col>12</xdr:col>
      <xdr:colOff>463129</xdr:colOff>
      <xdr:row>68</xdr:row>
      <xdr:rowOff>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2D510E-9C2F-E4F5-B8A4-5607F1135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1043" y="6198210"/>
          <a:ext cx="3458009" cy="4440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111002</xdr:rowOff>
    </xdr:from>
    <xdr:to>
      <xdr:col>6</xdr:col>
      <xdr:colOff>540914</xdr:colOff>
      <xdr:row>68</xdr:row>
      <xdr:rowOff>36636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870FA1-B719-F60A-61EC-65AFC6D4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31810"/>
          <a:ext cx="3838029" cy="2343517"/>
        </a:xfrm>
        <a:prstGeom prst="rect">
          <a:avLst/>
        </a:prstGeom>
      </xdr:spPr>
    </xdr:pic>
    <xdr:clientData/>
  </xdr:twoCellAnchor>
  <xdr:twoCellAnchor editAs="oneCell">
    <xdr:from>
      <xdr:col>2</xdr:col>
      <xdr:colOff>290513</xdr:colOff>
      <xdr:row>87</xdr:row>
      <xdr:rowOff>42936</xdr:rowOff>
    </xdr:from>
    <xdr:to>
      <xdr:col>7</xdr:col>
      <xdr:colOff>72472</xdr:colOff>
      <xdr:row>98</xdr:row>
      <xdr:rowOff>76864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8D208C-527D-D3A8-A04F-FABDDD18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7288" y="13806561"/>
          <a:ext cx="2829959" cy="1815102"/>
        </a:xfrm>
        <a:prstGeom prst="rect">
          <a:avLst/>
        </a:prstGeom>
      </xdr:spPr>
    </xdr:pic>
    <xdr:clientData/>
  </xdr:twoCellAnchor>
  <xdr:twoCellAnchor editAs="oneCell">
    <xdr:from>
      <xdr:col>12</xdr:col>
      <xdr:colOff>252412</xdr:colOff>
      <xdr:row>98</xdr:row>
      <xdr:rowOff>127718</xdr:rowOff>
    </xdr:from>
    <xdr:to>
      <xdr:col>20</xdr:col>
      <xdr:colOff>153441</xdr:colOff>
      <xdr:row>117</xdr:row>
      <xdr:rowOff>153075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D62C59-709A-4370-43BC-ECC9F03F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15187" y="15672518"/>
          <a:ext cx="4777829" cy="310193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19</xdr:col>
      <xdr:colOff>210600</xdr:colOff>
      <xdr:row>134</xdr:row>
      <xdr:rowOff>29233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C07D1E-FC26-ED6C-84F8-22091182F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14775" y="16678275"/>
          <a:ext cx="7525800" cy="472505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1B9D9470-4F46-46B1-AD61-C3FD8DBEA1CF}" userId="7ff36870b9739543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5-22T10:11:21.63" personId="{1B9D9470-4F46-46B1-AD61-C3FD8DBEA1CF}" id="{6826AE8F-075A-43A6-8C30-4EE985E71319}">
    <text>Amount of payload doployed to orbit in given period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B4F1-9D8F-4CDB-86E2-C2AE46F8989E}">
  <dimension ref="A1:L39"/>
  <sheetViews>
    <sheetView topLeftCell="C1" zoomScale="178" zoomScaleNormal="178" workbookViewId="0">
      <selection activeCell="K7" sqref="K7"/>
    </sheetView>
  </sheetViews>
  <sheetFormatPr defaultRowHeight="12.75" x14ac:dyDescent="0.2"/>
  <cols>
    <col min="1" max="1" width="3.85546875" customWidth="1"/>
  </cols>
  <sheetData>
    <row r="1" spans="1:12" x14ac:dyDescent="0.2">
      <c r="A1" s="1" t="s">
        <v>0</v>
      </c>
    </row>
    <row r="2" spans="1:12" x14ac:dyDescent="0.2">
      <c r="A2" t="s">
        <v>1</v>
      </c>
      <c r="J2" t="s">
        <v>18</v>
      </c>
      <c r="K2" s="5">
        <v>115.64</v>
      </c>
    </row>
    <row r="3" spans="1:12" x14ac:dyDescent="0.2">
      <c r="J3" t="s">
        <v>19</v>
      </c>
      <c r="K3" s="5">
        <f>7696.293669+5485.486276</f>
        <v>13181.779944999998</v>
      </c>
      <c r="L3" s="4" t="s">
        <v>37</v>
      </c>
    </row>
    <row r="4" spans="1:12" x14ac:dyDescent="0.2">
      <c r="J4" t="s">
        <v>20</v>
      </c>
      <c r="K4" s="5">
        <f>+K2*K3</f>
        <v>1524341.0328397998</v>
      </c>
    </row>
    <row r="5" spans="1:12" x14ac:dyDescent="0.2">
      <c r="B5" s="2" t="s">
        <v>8</v>
      </c>
      <c r="J5" t="s">
        <v>21</v>
      </c>
      <c r="K5" s="5">
        <f>93522+6487</f>
        <v>100009</v>
      </c>
      <c r="L5" s="4" t="s">
        <v>37</v>
      </c>
    </row>
    <row r="6" spans="1:12" x14ac:dyDescent="0.2">
      <c r="B6" t="s">
        <v>9</v>
      </c>
      <c r="J6" t="s">
        <v>22</v>
      </c>
      <c r="K6" s="5">
        <f>36839+2525</f>
        <v>39364</v>
      </c>
      <c r="L6" s="4" t="s">
        <v>37</v>
      </c>
    </row>
    <row r="7" spans="1:12" x14ac:dyDescent="0.2">
      <c r="B7" t="s">
        <v>10</v>
      </c>
      <c r="J7" t="s">
        <v>23</v>
      </c>
      <c r="K7" s="5">
        <f>+K4-K5+K6</f>
        <v>1463696.0328397998</v>
      </c>
    </row>
    <row r="8" spans="1:12" x14ac:dyDescent="0.2">
      <c r="B8" t="s">
        <v>11</v>
      </c>
    </row>
    <row r="9" spans="1:12" x14ac:dyDescent="0.2">
      <c r="J9" t="s">
        <v>26</v>
      </c>
      <c r="K9" t="s">
        <v>27</v>
      </c>
    </row>
    <row r="10" spans="1:12" x14ac:dyDescent="0.2">
      <c r="J10" t="s">
        <v>24</v>
      </c>
      <c r="K10" t="s">
        <v>27</v>
      </c>
    </row>
    <row r="11" spans="1:12" x14ac:dyDescent="0.2">
      <c r="B11" s="2" t="s">
        <v>2</v>
      </c>
      <c r="J11" t="s">
        <v>25</v>
      </c>
      <c r="K11" t="s">
        <v>27</v>
      </c>
    </row>
    <row r="12" spans="1:12" x14ac:dyDescent="0.2">
      <c r="B12" t="s">
        <v>138</v>
      </c>
      <c r="J12" t="s">
        <v>55</v>
      </c>
      <c r="K12" t="s">
        <v>58</v>
      </c>
    </row>
    <row r="13" spans="1:12" x14ac:dyDescent="0.2">
      <c r="B13" t="s">
        <v>139</v>
      </c>
      <c r="J13" t="s">
        <v>56</v>
      </c>
      <c r="K13" t="s">
        <v>57</v>
      </c>
    </row>
    <row r="14" spans="1:12" x14ac:dyDescent="0.2">
      <c r="B14" t="s">
        <v>140</v>
      </c>
    </row>
    <row r="15" spans="1:12" x14ac:dyDescent="0.2">
      <c r="B15" t="s">
        <v>141</v>
      </c>
    </row>
    <row r="18" spans="2:9" x14ac:dyDescent="0.2">
      <c r="B18" s="2" t="s">
        <v>47</v>
      </c>
      <c r="H18" t="s">
        <v>49</v>
      </c>
    </row>
    <row r="19" spans="2:9" x14ac:dyDescent="0.2">
      <c r="B19" t="s">
        <v>4</v>
      </c>
      <c r="H19" s="5">
        <v>-675</v>
      </c>
      <c r="I19">
        <v>2025</v>
      </c>
    </row>
    <row r="20" spans="2:9" x14ac:dyDescent="0.2">
      <c r="B20" t="s">
        <v>5</v>
      </c>
      <c r="H20" s="5">
        <v>-21</v>
      </c>
      <c r="I20">
        <v>2024</v>
      </c>
    </row>
    <row r="21" spans="2:9" x14ac:dyDescent="0.2">
      <c r="H21" s="5">
        <v>1</v>
      </c>
      <c r="I21">
        <v>2023</v>
      </c>
    </row>
    <row r="23" spans="2:9" x14ac:dyDescent="0.2">
      <c r="B23" s="2" t="s">
        <v>48</v>
      </c>
    </row>
    <row r="24" spans="2:9" x14ac:dyDescent="0.2">
      <c r="B24" t="s">
        <v>6</v>
      </c>
      <c r="H24" s="5">
        <v>4423</v>
      </c>
      <c r="I24">
        <v>2025</v>
      </c>
    </row>
    <row r="25" spans="2:9" x14ac:dyDescent="0.2">
      <c r="B25" t="s">
        <v>7</v>
      </c>
      <c r="H25" s="5">
        <v>2006</v>
      </c>
      <c r="I25">
        <v>2024</v>
      </c>
    </row>
    <row r="26" spans="2:9" x14ac:dyDescent="0.2">
      <c r="H26" s="5">
        <v>469</v>
      </c>
      <c r="I26">
        <v>2023</v>
      </c>
    </row>
    <row r="29" spans="2:9" x14ac:dyDescent="0.2">
      <c r="B29" s="2" t="s">
        <v>50</v>
      </c>
    </row>
    <row r="30" spans="2:9" x14ac:dyDescent="0.2">
      <c r="B30" t="s">
        <v>12</v>
      </c>
      <c r="H30" t="s">
        <v>49</v>
      </c>
    </row>
    <row r="31" spans="2:9" x14ac:dyDescent="0.2">
      <c r="B31" t="s">
        <v>15</v>
      </c>
      <c r="H31" s="5">
        <v>-6355</v>
      </c>
      <c r="I31">
        <v>2025</v>
      </c>
    </row>
    <row r="32" spans="2:9" x14ac:dyDescent="0.2">
      <c r="B32" t="s">
        <v>13</v>
      </c>
      <c r="H32" s="5">
        <v>-1561</v>
      </c>
      <c r="I32">
        <v>2024</v>
      </c>
    </row>
    <row r="33" spans="2:9" x14ac:dyDescent="0.2">
      <c r="B33" t="s">
        <v>14</v>
      </c>
      <c r="H33" s="5">
        <v>-3973</v>
      </c>
      <c r="I33">
        <v>2023</v>
      </c>
    </row>
    <row r="34" spans="2:9" x14ac:dyDescent="0.2">
      <c r="B34" t="s">
        <v>16</v>
      </c>
      <c r="H34" s="5"/>
    </row>
    <row r="35" spans="2:9" x14ac:dyDescent="0.2">
      <c r="B35" t="s">
        <v>17</v>
      </c>
    </row>
    <row r="36" spans="2:9" x14ac:dyDescent="0.2">
      <c r="B36" t="s">
        <v>3</v>
      </c>
    </row>
    <row r="38" spans="2:9" x14ac:dyDescent="0.2">
      <c r="B38" t="s">
        <v>137</v>
      </c>
    </row>
    <row r="39" spans="2:9" x14ac:dyDescent="0.2">
      <c r="B39" t="s">
        <v>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6428-DDEF-4F63-BABB-BFE2E258FB39}">
  <dimension ref="A1:N101"/>
  <sheetViews>
    <sheetView tabSelected="1" zoomScale="200" zoomScaleNormal="20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5" sqref="H5"/>
    </sheetView>
  </sheetViews>
  <sheetFormatPr defaultRowHeight="12.75" x14ac:dyDescent="0.2"/>
  <cols>
    <col min="1" max="1" width="5" bestFit="1" customWidth="1"/>
    <col min="2" max="2" width="25.85546875" customWidth="1"/>
    <col min="3" max="16384" width="9.140625" style="5"/>
  </cols>
  <sheetData>
    <row r="1" spans="1:14" customFormat="1" x14ac:dyDescent="0.2">
      <c r="A1" s="3" t="s">
        <v>28</v>
      </c>
    </row>
    <row r="2" spans="1:14" customFormat="1" x14ac:dyDescent="0.2"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L2" s="4" t="s">
        <v>29</v>
      </c>
      <c r="M2" s="4" t="s">
        <v>30</v>
      </c>
      <c r="N2" s="4" t="s">
        <v>31</v>
      </c>
    </row>
    <row r="3" spans="1:14" x14ac:dyDescent="0.2">
      <c r="B3" t="s">
        <v>40</v>
      </c>
      <c r="C3" s="5">
        <v>450</v>
      </c>
      <c r="G3" s="5">
        <v>556</v>
      </c>
      <c r="L3" s="5">
        <v>1210</v>
      </c>
      <c r="M3" s="5">
        <v>1699</v>
      </c>
      <c r="N3" s="5">
        <v>2213</v>
      </c>
    </row>
    <row r="4" spans="1:14" x14ac:dyDescent="0.2">
      <c r="B4" t="s">
        <v>41</v>
      </c>
      <c r="C4" s="5">
        <v>36</v>
      </c>
      <c r="G4" s="5">
        <v>40</v>
      </c>
      <c r="L4" s="5">
        <v>96</v>
      </c>
      <c r="M4" s="5">
        <v>134</v>
      </c>
      <c r="N4" s="5">
        <v>165</v>
      </c>
    </row>
    <row r="5" spans="1:14" x14ac:dyDescent="0.2">
      <c r="B5" t="s">
        <v>42</v>
      </c>
      <c r="C5" s="5">
        <v>2</v>
      </c>
      <c r="G5" s="5">
        <v>0</v>
      </c>
      <c r="L5" s="5">
        <v>2</v>
      </c>
      <c r="M5" s="5">
        <v>4</v>
      </c>
      <c r="N5" s="5">
        <v>5</v>
      </c>
    </row>
    <row r="6" spans="1:14" x14ac:dyDescent="0.2">
      <c r="B6" t="s">
        <v>43</v>
      </c>
      <c r="C6" s="5">
        <f>+C4+C5</f>
        <v>38</v>
      </c>
      <c r="D6" s="5">
        <f t="shared" ref="D6:J6" si="0">+D4+D5</f>
        <v>0</v>
      </c>
      <c r="E6" s="5">
        <f t="shared" si="0"/>
        <v>0</v>
      </c>
      <c r="F6" s="5">
        <f t="shared" si="0"/>
        <v>0</v>
      </c>
      <c r="G6" s="5">
        <f t="shared" si="0"/>
        <v>40</v>
      </c>
      <c r="H6" s="5">
        <f t="shared" si="0"/>
        <v>0</v>
      </c>
      <c r="I6" s="5">
        <f t="shared" si="0"/>
        <v>0</v>
      </c>
      <c r="J6" s="5">
        <f t="shared" si="0"/>
        <v>0</v>
      </c>
      <c r="L6" s="5">
        <f>+L4+L5</f>
        <v>98</v>
      </c>
      <c r="M6" s="5">
        <f t="shared" ref="M6:N6" si="1">+M4+M5</f>
        <v>138</v>
      </c>
      <c r="N6" s="5">
        <f t="shared" si="1"/>
        <v>170</v>
      </c>
    </row>
    <row r="7" spans="1:14" x14ac:dyDescent="0.2">
      <c r="B7" t="s">
        <v>44</v>
      </c>
      <c r="C7" s="6">
        <v>5</v>
      </c>
      <c r="D7" s="6"/>
      <c r="E7" s="6"/>
      <c r="F7" s="6"/>
      <c r="G7" s="6">
        <v>10.3</v>
      </c>
      <c r="H7" s="6"/>
      <c r="I7" s="6"/>
      <c r="J7" s="6"/>
      <c r="K7" s="6"/>
      <c r="L7" s="6">
        <v>2.2999999999999998</v>
      </c>
      <c r="M7" s="6">
        <v>4.4000000000000004</v>
      </c>
      <c r="N7" s="6">
        <v>8.9</v>
      </c>
    </row>
    <row r="8" spans="1:14" x14ac:dyDescent="0.2">
      <c r="B8" t="s">
        <v>45</v>
      </c>
      <c r="C8" s="5">
        <v>86</v>
      </c>
      <c r="G8" s="5">
        <v>66</v>
      </c>
      <c r="L8" s="5">
        <v>99</v>
      </c>
      <c r="M8" s="5">
        <v>91</v>
      </c>
      <c r="N8" s="5">
        <v>81</v>
      </c>
    </row>
    <row r="9" spans="1:14" x14ac:dyDescent="0.2">
      <c r="B9" t="s">
        <v>46</v>
      </c>
      <c r="C9" s="6">
        <v>0.3</v>
      </c>
      <c r="D9" s="6"/>
      <c r="E9" s="6"/>
      <c r="F9" s="6"/>
      <c r="G9" s="6">
        <v>1</v>
      </c>
      <c r="H9" s="6"/>
      <c r="I9" s="6"/>
      <c r="J9" s="6"/>
      <c r="K9" s="6"/>
      <c r="L9" s="6">
        <v>0</v>
      </c>
      <c r="M9" s="6">
        <v>0.3</v>
      </c>
      <c r="N9" s="6">
        <v>0.8</v>
      </c>
    </row>
    <row r="11" spans="1:14" x14ac:dyDescent="0.2">
      <c r="B11" t="s">
        <v>51</v>
      </c>
      <c r="C11" s="5">
        <v>865</v>
      </c>
      <c r="D11" s="5">
        <v>746</v>
      </c>
      <c r="G11" s="5">
        <v>619</v>
      </c>
      <c r="H11" s="5">
        <v>962</v>
      </c>
      <c r="L11" s="5">
        <v>3557</v>
      </c>
      <c r="M11" s="5">
        <v>3796</v>
      </c>
      <c r="N11" s="5">
        <v>4086</v>
      </c>
    </row>
    <row r="12" spans="1:14" x14ac:dyDescent="0.2">
      <c r="B12" t="s">
        <v>52</v>
      </c>
      <c r="C12" s="5">
        <v>2475</v>
      </c>
      <c r="D12" s="5">
        <v>2588</v>
      </c>
      <c r="G12" s="5">
        <v>3257</v>
      </c>
      <c r="H12" s="5">
        <v>4291</v>
      </c>
      <c r="L12" s="5">
        <v>3869</v>
      </c>
      <c r="M12" s="5">
        <v>7599</v>
      </c>
      <c r="N12" s="5">
        <v>11387</v>
      </c>
    </row>
    <row r="13" spans="1:14" x14ac:dyDescent="0.2">
      <c r="B13" t="s">
        <v>53</v>
      </c>
      <c r="C13" s="5">
        <v>727</v>
      </c>
      <c r="D13" s="5">
        <v>737</v>
      </c>
      <c r="G13" s="5">
        <v>818</v>
      </c>
      <c r="H13" s="5">
        <v>2561</v>
      </c>
      <c r="L13" s="5">
        <v>2961</v>
      </c>
      <c r="M13" s="5">
        <v>2620</v>
      </c>
      <c r="N13" s="5">
        <v>3201</v>
      </c>
    </row>
    <row r="14" spans="1:14" x14ac:dyDescent="0.2">
      <c r="B14" s="1" t="s">
        <v>59</v>
      </c>
      <c r="C14" s="7">
        <f t="shared" ref="C14" si="2">+SUM(C11:C13)</f>
        <v>4067</v>
      </c>
      <c r="D14" s="7">
        <v>4071</v>
      </c>
      <c r="E14" s="7">
        <f t="shared" ref="E14" si="3">+SUM(E11:E13)</f>
        <v>0</v>
      </c>
      <c r="F14" s="7">
        <f t="shared" ref="F14" si="4">+SUM(F11:F13)</f>
        <v>0</v>
      </c>
      <c r="G14" s="7">
        <f t="shared" ref="G14" si="5">+SUM(G11:G13)</f>
        <v>4694</v>
      </c>
      <c r="H14" s="7">
        <v>7814</v>
      </c>
      <c r="I14" s="7">
        <f t="shared" ref="I14" si="6">+SUM(I11:I13)</f>
        <v>0</v>
      </c>
      <c r="J14" s="7">
        <f t="shared" ref="J14" si="7">+SUM(J11:J13)</f>
        <v>0</v>
      </c>
      <c r="L14" s="7">
        <f t="shared" ref="L14:M14" si="8">+SUM(L11:L13)</f>
        <v>10387</v>
      </c>
      <c r="M14" s="7">
        <f t="shared" si="8"/>
        <v>14015</v>
      </c>
      <c r="N14" s="7">
        <f>+SUM(N11:N13)</f>
        <v>18674</v>
      </c>
    </row>
    <row r="15" spans="1:14" x14ac:dyDescent="0.2">
      <c r="B15" t="s">
        <v>60</v>
      </c>
      <c r="C15" s="5">
        <f>4244-D15</f>
        <v>1962</v>
      </c>
      <c r="D15" s="5">
        <v>2282</v>
      </c>
      <c r="G15" s="5">
        <f>5883-H15</f>
        <v>2388</v>
      </c>
      <c r="H15" s="5">
        <v>3495</v>
      </c>
      <c r="L15" s="5">
        <v>6110</v>
      </c>
      <c r="M15" s="5">
        <v>7996</v>
      </c>
      <c r="N15" s="5">
        <v>9451</v>
      </c>
    </row>
    <row r="16" spans="1:14" x14ac:dyDescent="0.2">
      <c r="B16" t="s">
        <v>61</v>
      </c>
      <c r="C16" s="5">
        <f>+C14-C15</f>
        <v>2105</v>
      </c>
      <c r="D16" s="5">
        <f t="shared" ref="D16:H16" si="9">+D14-D15</f>
        <v>1789</v>
      </c>
      <c r="E16" s="5">
        <f t="shared" si="9"/>
        <v>0</v>
      </c>
      <c r="F16" s="5">
        <f t="shared" si="9"/>
        <v>0</v>
      </c>
      <c r="G16" s="5">
        <f t="shared" si="9"/>
        <v>2306</v>
      </c>
      <c r="H16" s="5">
        <f t="shared" si="9"/>
        <v>4319</v>
      </c>
      <c r="L16" s="5">
        <f t="shared" ref="L16:M16" si="10">+L14-L15</f>
        <v>4277</v>
      </c>
      <c r="M16" s="5">
        <f t="shared" si="10"/>
        <v>6019</v>
      </c>
      <c r="N16" s="5">
        <f>+N14-N15</f>
        <v>9223</v>
      </c>
    </row>
    <row r="17" spans="2:14" x14ac:dyDescent="0.2">
      <c r="B17" t="s">
        <v>62</v>
      </c>
      <c r="C17" s="5">
        <f>3515-D17</f>
        <v>1557</v>
      </c>
      <c r="D17" s="5">
        <v>1958</v>
      </c>
      <c r="G17" s="5">
        <f>7062-H17</f>
        <v>3514</v>
      </c>
      <c r="H17" s="5">
        <v>3548</v>
      </c>
      <c r="L17" s="5">
        <v>2105</v>
      </c>
      <c r="M17" s="5">
        <v>3464</v>
      </c>
      <c r="N17" s="5">
        <v>8643</v>
      </c>
    </row>
    <row r="18" spans="2:14" x14ac:dyDescent="0.2">
      <c r="B18" t="s">
        <v>63</v>
      </c>
      <c r="C18" s="5">
        <f>1099-D18</f>
        <v>493</v>
      </c>
      <c r="D18" s="5">
        <v>606</v>
      </c>
      <c r="G18" s="5">
        <f>1658-H18</f>
        <v>746</v>
      </c>
      <c r="H18" s="5">
        <v>912</v>
      </c>
      <c r="L18" s="5">
        <v>1665</v>
      </c>
      <c r="M18" s="5">
        <v>1813</v>
      </c>
      <c r="N18" s="5">
        <v>2644</v>
      </c>
    </row>
    <row r="19" spans="2:14" x14ac:dyDescent="0.2">
      <c r="B19" t="s">
        <v>64</v>
      </c>
      <c r="C19" s="5">
        <f>194-D19</f>
        <v>4</v>
      </c>
      <c r="D19" s="5">
        <v>190</v>
      </c>
      <c r="G19" s="5">
        <f>-9-H19</f>
        <v>-11</v>
      </c>
      <c r="H19" s="5">
        <v>2</v>
      </c>
      <c r="L19" s="5">
        <v>237</v>
      </c>
      <c r="M19" s="5">
        <v>213</v>
      </c>
      <c r="N19" s="5">
        <v>487</v>
      </c>
    </row>
    <row r="20" spans="2:14" x14ac:dyDescent="0.2">
      <c r="B20" t="s">
        <v>65</v>
      </c>
      <c r="C20" s="5">
        <f>29-D20</f>
        <v>24</v>
      </c>
      <c r="D20" s="5">
        <v>5</v>
      </c>
      <c r="G20" s="5">
        <v>0</v>
      </c>
      <c r="H20" s="5">
        <v>0</v>
      </c>
      <c r="L20" s="5">
        <v>3775</v>
      </c>
      <c r="M20" s="5">
        <v>63</v>
      </c>
      <c r="N20" s="5">
        <v>38</v>
      </c>
    </row>
    <row r="21" spans="2:14" x14ac:dyDescent="0.2">
      <c r="B21" t="s">
        <v>66</v>
      </c>
      <c r="C21" s="5">
        <f t="shared" ref="C21:J21" si="11">+C16-SUM(C17:C20)</f>
        <v>27</v>
      </c>
      <c r="D21" s="5">
        <f t="shared" si="11"/>
        <v>-970</v>
      </c>
      <c r="E21" s="5">
        <f t="shared" si="11"/>
        <v>0</v>
      </c>
      <c r="F21" s="5">
        <f t="shared" si="11"/>
        <v>0</v>
      </c>
      <c r="G21" s="5">
        <f t="shared" si="11"/>
        <v>-1943</v>
      </c>
      <c r="H21" s="5">
        <f t="shared" si="11"/>
        <v>-143</v>
      </c>
      <c r="I21" s="5">
        <f t="shared" si="11"/>
        <v>0</v>
      </c>
      <c r="J21" s="5">
        <f t="shared" si="11"/>
        <v>0</v>
      </c>
      <c r="L21" s="5">
        <f t="shared" ref="L21:M21" si="12">+L16-SUM(L17:L20)</f>
        <v>-3505</v>
      </c>
      <c r="M21" s="5">
        <f t="shared" si="12"/>
        <v>466</v>
      </c>
      <c r="N21" s="5">
        <f>+N16-SUM(N17:N20)</f>
        <v>-2589</v>
      </c>
    </row>
    <row r="22" spans="2:14" x14ac:dyDescent="0.2">
      <c r="B22" t="s">
        <v>67</v>
      </c>
      <c r="C22" s="5">
        <f>858-D22</f>
        <v>447</v>
      </c>
      <c r="D22" s="5">
        <v>411</v>
      </c>
      <c r="G22" s="5">
        <f>1293-H22</f>
        <v>664</v>
      </c>
      <c r="H22" s="5">
        <v>629</v>
      </c>
      <c r="L22" s="5">
        <v>1693</v>
      </c>
      <c r="M22" s="5">
        <v>1580</v>
      </c>
      <c r="N22" s="5">
        <v>1945</v>
      </c>
    </row>
    <row r="23" spans="2:14" x14ac:dyDescent="0.2">
      <c r="B23" t="s">
        <v>68</v>
      </c>
      <c r="C23" s="5">
        <f>215-D23</f>
        <v>117</v>
      </c>
      <c r="D23" s="5">
        <v>98</v>
      </c>
      <c r="G23" s="5">
        <f>553-H23</f>
        <v>213</v>
      </c>
      <c r="H23" s="5">
        <v>340</v>
      </c>
      <c r="L23" s="5">
        <v>249</v>
      </c>
      <c r="M23" s="5">
        <v>371</v>
      </c>
      <c r="N23" s="5">
        <v>492</v>
      </c>
    </row>
    <row r="24" spans="2:14" x14ac:dyDescent="0.2">
      <c r="B24" t="s">
        <v>69</v>
      </c>
      <c r="C24" s="5">
        <f>202-D24</f>
        <v>-211</v>
      </c>
      <c r="D24" s="5">
        <v>413</v>
      </c>
      <c r="G24" s="5">
        <f>-1962-H24</f>
        <v>-1876</v>
      </c>
      <c r="H24" s="5">
        <v>-86</v>
      </c>
      <c r="L24" s="5">
        <v>-42</v>
      </c>
      <c r="M24" s="5">
        <v>985</v>
      </c>
      <c r="N24" s="5">
        <v>-177</v>
      </c>
    </row>
    <row r="25" spans="2:14" x14ac:dyDescent="0.2">
      <c r="B25" t="s">
        <v>70</v>
      </c>
      <c r="C25" s="5">
        <f t="shared" ref="C25:J25" si="13">+C21-C22+C23+C24</f>
        <v>-514</v>
      </c>
      <c r="D25" s="5">
        <f t="shared" si="13"/>
        <v>-870</v>
      </c>
      <c r="E25" s="5">
        <f t="shared" si="13"/>
        <v>0</v>
      </c>
      <c r="F25" s="5">
        <f t="shared" si="13"/>
        <v>0</v>
      </c>
      <c r="G25" s="5">
        <f t="shared" si="13"/>
        <v>-4270</v>
      </c>
      <c r="H25" s="5">
        <f t="shared" si="13"/>
        <v>-518</v>
      </c>
      <c r="I25" s="5">
        <f t="shared" si="13"/>
        <v>0</v>
      </c>
      <c r="J25" s="5">
        <f t="shared" si="13"/>
        <v>0</v>
      </c>
      <c r="L25" s="5">
        <f t="shared" ref="L25:M25" si="14">+L21-L22+L23+L24</f>
        <v>-4991</v>
      </c>
      <c r="M25" s="5">
        <f t="shared" si="14"/>
        <v>242</v>
      </c>
      <c r="N25" s="5">
        <f>+N21-N22+N23+N24</f>
        <v>-4219</v>
      </c>
    </row>
    <row r="26" spans="2:14" x14ac:dyDescent="0.2">
      <c r="B26" t="s">
        <v>71</v>
      </c>
      <c r="C26" s="5">
        <f>152-D26</f>
        <v>14</v>
      </c>
      <c r="D26" s="5">
        <v>138</v>
      </c>
      <c r="G26" s="5">
        <f>29-H26</f>
        <v>6</v>
      </c>
      <c r="H26" s="5">
        <v>23</v>
      </c>
      <c r="L26" s="5">
        <v>-363</v>
      </c>
      <c r="M26" s="5">
        <v>-549</v>
      </c>
      <c r="N26" s="5">
        <v>718</v>
      </c>
    </row>
    <row r="27" spans="2:14" x14ac:dyDescent="0.2">
      <c r="B27" t="s">
        <v>72</v>
      </c>
      <c r="C27" s="5">
        <f t="shared" ref="C27:J27" si="15">+C25-C26</f>
        <v>-528</v>
      </c>
      <c r="D27" s="5">
        <f t="shared" si="15"/>
        <v>-1008</v>
      </c>
      <c r="E27" s="5">
        <f t="shared" si="15"/>
        <v>0</v>
      </c>
      <c r="F27" s="5">
        <f t="shared" si="15"/>
        <v>0</v>
      </c>
      <c r="G27" s="5">
        <f t="shared" si="15"/>
        <v>-4276</v>
      </c>
      <c r="H27" s="5">
        <f t="shared" si="15"/>
        <v>-541</v>
      </c>
      <c r="I27" s="5">
        <f t="shared" si="15"/>
        <v>0</v>
      </c>
      <c r="J27" s="5">
        <f t="shared" si="15"/>
        <v>0</v>
      </c>
      <c r="L27" s="5">
        <f t="shared" ref="L27:M27" si="16">+L25-L26</f>
        <v>-4628</v>
      </c>
      <c r="M27" s="5">
        <f t="shared" si="16"/>
        <v>791</v>
      </c>
      <c r="N27" s="5">
        <f>+N25-N26</f>
        <v>-4937</v>
      </c>
    </row>
    <row r="29" spans="2:14" x14ac:dyDescent="0.2">
      <c r="B29" t="s">
        <v>73</v>
      </c>
      <c r="C29" s="8">
        <f t="shared" ref="C29:G29" si="17">+C27/C30</f>
        <v>-0.18194348725017229</v>
      </c>
      <c r="D29" s="8">
        <f t="shared" si="17"/>
        <v>-0.34414475930351657</v>
      </c>
      <c r="E29" s="8" t="e">
        <f t="shared" si="17"/>
        <v>#DIV/0!</v>
      </c>
      <c r="F29" s="8" t="e">
        <f t="shared" si="17"/>
        <v>#DIV/0!</v>
      </c>
      <c r="G29" s="8">
        <f t="shared" si="17"/>
        <v>-0.87640910022545604</v>
      </c>
      <c r="H29" s="8">
        <f>+H27/H30</f>
        <v>-9.225784447476125E-2</v>
      </c>
      <c r="K29" s="8" t="e">
        <f t="shared" ref="K29:M29" si="18">+K27/K30</f>
        <v>#DIV/0!</v>
      </c>
      <c r="L29" s="8">
        <f t="shared" si="18"/>
        <v>-1.6774193548387097</v>
      </c>
      <c r="M29" s="8">
        <f t="shared" si="18"/>
        <v>0.2777387640449438</v>
      </c>
      <c r="N29" s="8">
        <f>+N27/N30</f>
        <v>-1.6872863978127135</v>
      </c>
    </row>
    <row r="30" spans="2:14" x14ac:dyDescent="0.2">
      <c r="B30" t="s">
        <v>19</v>
      </c>
      <c r="C30" s="5">
        <v>2902</v>
      </c>
      <c r="D30" s="5">
        <v>2929</v>
      </c>
      <c r="G30" s="5">
        <v>4879</v>
      </c>
      <c r="H30" s="5">
        <v>5864</v>
      </c>
      <c r="L30" s="5">
        <v>2759</v>
      </c>
      <c r="M30" s="5">
        <v>2848</v>
      </c>
      <c r="N30" s="5">
        <v>2926</v>
      </c>
    </row>
    <row r="32" spans="2:14" x14ac:dyDescent="0.2">
      <c r="B32" t="s">
        <v>74</v>
      </c>
      <c r="G32" s="11">
        <f t="shared" ref="G32:G34" si="19">+G11/C11-1</f>
        <v>-0.284393063583815</v>
      </c>
      <c r="L32" s="9" t="e">
        <f t="shared" ref="L32:M32" si="20">+L11/K11-1</f>
        <v>#DIV/0!</v>
      </c>
      <c r="M32" s="9">
        <f t="shared" si="20"/>
        <v>6.7191453472027041E-2</v>
      </c>
      <c r="N32" s="9">
        <f>+N11/M11-1</f>
        <v>7.6396206533192901E-2</v>
      </c>
    </row>
    <row r="33" spans="2:14" x14ac:dyDescent="0.2">
      <c r="B33" t="s">
        <v>75</v>
      </c>
      <c r="G33" s="11">
        <f t="shared" si="19"/>
        <v>0.315959595959596</v>
      </c>
      <c r="L33" s="9" t="e">
        <f t="shared" ref="L33:N35" si="21">+L12/K12-1</f>
        <v>#DIV/0!</v>
      </c>
      <c r="M33" s="9">
        <f t="shared" si="21"/>
        <v>0.96407340398035668</v>
      </c>
      <c r="N33" s="9">
        <f t="shared" si="21"/>
        <v>0.49848664297933931</v>
      </c>
    </row>
    <row r="34" spans="2:14" x14ac:dyDescent="0.2">
      <c r="B34" t="s">
        <v>76</v>
      </c>
      <c r="G34" s="11">
        <f t="shared" si="19"/>
        <v>0.12517193947730409</v>
      </c>
      <c r="L34" s="9" t="e">
        <f t="shared" si="21"/>
        <v>#DIV/0!</v>
      </c>
      <c r="M34" s="9">
        <f t="shared" si="21"/>
        <v>-0.11516379601485982</v>
      </c>
      <c r="N34" s="9">
        <f t="shared" si="21"/>
        <v>0.22175572519083975</v>
      </c>
    </row>
    <row r="35" spans="2:14" x14ac:dyDescent="0.2">
      <c r="B35" s="1" t="s">
        <v>77</v>
      </c>
      <c r="C35" s="7"/>
      <c r="D35" s="7"/>
      <c r="E35" s="7"/>
      <c r="F35" s="7"/>
      <c r="G35" s="10">
        <f>+G14/C14-1</f>
        <v>0.15416769117285467</v>
      </c>
      <c r="H35" s="7"/>
      <c r="I35" s="7"/>
      <c r="J35" s="7"/>
      <c r="K35" s="7"/>
      <c r="L35" s="10" t="e">
        <f t="shared" si="21"/>
        <v>#DIV/0!</v>
      </c>
      <c r="M35" s="10">
        <f t="shared" si="21"/>
        <v>0.34928275729276992</v>
      </c>
      <c r="N35" s="10">
        <f t="shared" si="21"/>
        <v>0.3324295397788084</v>
      </c>
    </row>
    <row r="36" spans="2:14" x14ac:dyDescent="0.2">
      <c r="B36" t="s">
        <v>78</v>
      </c>
      <c r="C36" s="9">
        <f t="shared" ref="C36:J36" si="22">+C16/C14</f>
        <v>0.51758052618637818</v>
      </c>
      <c r="D36" s="9">
        <f t="shared" si="22"/>
        <v>0.43944976664210267</v>
      </c>
      <c r="E36" s="9" t="e">
        <f t="shared" si="22"/>
        <v>#DIV/0!</v>
      </c>
      <c r="F36" s="9" t="e">
        <f t="shared" si="22"/>
        <v>#DIV/0!</v>
      </c>
      <c r="G36" s="9">
        <f t="shared" si="22"/>
        <v>0.49126544524925436</v>
      </c>
      <c r="H36" s="9">
        <f t="shared" si="22"/>
        <v>0.55272587663168671</v>
      </c>
      <c r="I36" s="9" t="e">
        <f t="shared" si="22"/>
        <v>#DIV/0!</v>
      </c>
      <c r="J36" s="9" t="e">
        <f t="shared" si="22"/>
        <v>#DIV/0!</v>
      </c>
      <c r="L36" s="9">
        <f t="shared" ref="L36:M36" si="23">+L16/L14</f>
        <v>0.41176470588235292</v>
      </c>
      <c r="M36" s="9">
        <f t="shared" si="23"/>
        <v>0.4294684266856939</v>
      </c>
      <c r="N36" s="9">
        <f>+N16/N14</f>
        <v>0.49389525543536467</v>
      </c>
    </row>
    <row r="37" spans="2:14" x14ac:dyDescent="0.2">
      <c r="B37" t="s">
        <v>79</v>
      </c>
      <c r="C37" s="9">
        <f t="shared" ref="C37:J37" si="24">+C21/C14</f>
        <v>6.6388000983525937E-3</v>
      </c>
      <c r="D37" s="9">
        <f t="shared" si="24"/>
        <v>-0.23827069516089414</v>
      </c>
      <c r="E37" s="9" t="e">
        <f t="shared" si="24"/>
        <v>#DIV/0!</v>
      </c>
      <c r="F37" s="9" t="e">
        <f t="shared" si="24"/>
        <v>#DIV/0!</v>
      </c>
      <c r="G37" s="9">
        <f t="shared" si="24"/>
        <v>-0.41393268001704303</v>
      </c>
      <c r="H37" s="9">
        <f t="shared" si="24"/>
        <v>-1.8300486306629126E-2</v>
      </c>
      <c r="I37" s="9" t="e">
        <f t="shared" si="24"/>
        <v>#DIV/0!</v>
      </c>
      <c r="J37" s="9" t="e">
        <f t="shared" si="24"/>
        <v>#DIV/0!</v>
      </c>
      <c r="L37" s="9">
        <f t="shared" ref="L37:M37" si="25">+L21/L14</f>
        <v>-0.33744103205930492</v>
      </c>
      <c r="M37" s="9">
        <f t="shared" si="25"/>
        <v>3.325008919015341E-2</v>
      </c>
      <c r="N37" s="9">
        <f>+N21/N14</f>
        <v>-0.13864196208632323</v>
      </c>
    </row>
    <row r="38" spans="2:14" x14ac:dyDescent="0.2">
      <c r="B38" t="s">
        <v>80</v>
      </c>
      <c r="C38" s="9">
        <f t="shared" ref="C38:J38" si="26">+C26/C25</f>
        <v>-2.7237354085603113E-2</v>
      </c>
      <c r="D38" s="9">
        <f t="shared" si="26"/>
        <v>-0.15862068965517243</v>
      </c>
      <c r="E38" s="9" t="e">
        <f t="shared" si="26"/>
        <v>#DIV/0!</v>
      </c>
      <c r="F38" s="9" t="e">
        <f t="shared" si="26"/>
        <v>#DIV/0!</v>
      </c>
      <c r="G38" s="9">
        <f t="shared" si="26"/>
        <v>-1.405152224824356E-3</v>
      </c>
      <c r="H38" s="9">
        <f t="shared" si="26"/>
        <v>-4.4401544401544403E-2</v>
      </c>
      <c r="I38" s="9" t="e">
        <f t="shared" si="26"/>
        <v>#DIV/0!</v>
      </c>
      <c r="J38" s="9" t="e">
        <f t="shared" si="26"/>
        <v>#DIV/0!</v>
      </c>
      <c r="L38" s="9">
        <f t="shared" ref="L38:M38" si="27">+L26/L25</f>
        <v>7.2730915648166694E-2</v>
      </c>
      <c r="M38" s="9">
        <f t="shared" si="27"/>
        <v>-2.2685950413223139</v>
      </c>
      <c r="N38" s="9">
        <f>+N26/N25</f>
        <v>-0.17018250770324722</v>
      </c>
    </row>
    <row r="40" spans="2:14" x14ac:dyDescent="0.2">
      <c r="B40" t="s">
        <v>81</v>
      </c>
      <c r="M40" s="5">
        <v>11385</v>
      </c>
      <c r="N40" s="5">
        <v>24747</v>
      </c>
    </row>
    <row r="41" spans="2:14" x14ac:dyDescent="0.2">
      <c r="B41" t="s">
        <v>82</v>
      </c>
      <c r="M41" s="5">
        <v>800</v>
      </c>
      <c r="N41" s="5">
        <v>0</v>
      </c>
    </row>
    <row r="42" spans="2:14" x14ac:dyDescent="0.2">
      <c r="B42" t="s">
        <v>83</v>
      </c>
      <c r="M42" s="5">
        <v>1052</v>
      </c>
      <c r="N42" s="5">
        <v>1579</v>
      </c>
    </row>
    <row r="43" spans="2:14" x14ac:dyDescent="0.2">
      <c r="B43" t="s">
        <v>84</v>
      </c>
      <c r="M43" s="5">
        <v>2003</v>
      </c>
      <c r="N43" s="5">
        <v>2416</v>
      </c>
    </row>
    <row r="44" spans="2:14" x14ac:dyDescent="0.2">
      <c r="B44" t="s">
        <v>85</v>
      </c>
      <c r="M44" s="5">
        <v>868</v>
      </c>
      <c r="N44" s="5">
        <v>2210</v>
      </c>
    </row>
    <row r="45" spans="2:14" x14ac:dyDescent="0.2">
      <c r="B45" t="s">
        <v>86</v>
      </c>
      <c r="M45" s="5">
        <f t="shared" ref="M45" si="28">+SUM(M40:M44)</f>
        <v>16108</v>
      </c>
      <c r="N45" s="5">
        <f>+SUM(N40:N44)</f>
        <v>30952</v>
      </c>
    </row>
    <row r="46" spans="2:14" x14ac:dyDescent="0.2">
      <c r="B46" t="s">
        <v>87</v>
      </c>
      <c r="M46" s="5">
        <v>21147</v>
      </c>
      <c r="N46" s="5">
        <v>42602</v>
      </c>
    </row>
    <row r="47" spans="2:14" x14ac:dyDescent="0.2">
      <c r="B47" t="s">
        <v>88</v>
      </c>
      <c r="M47" s="5">
        <v>1686</v>
      </c>
      <c r="N47" s="5">
        <v>1260</v>
      </c>
    </row>
    <row r="48" spans="2:14" x14ac:dyDescent="0.2">
      <c r="B48" t="s">
        <v>89</v>
      </c>
      <c r="M48" s="5">
        <v>2211</v>
      </c>
      <c r="N48" s="5">
        <v>1548</v>
      </c>
    </row>
    <row r="49" spans="2:14" x14ac:dyDescent="0.2">
      <c r="B49" t="s">
        <v>90</v>
      </c>
      <c r="M49" s="5">
        <v>1749</v>
      </c>
      <c r="N49" s="5">
        <v>1637</v>
      </c>
    </row>
    <row r="50" spans="2:14" x14ac:dyDescent="0.2">
      <c r="B50" t="s">
        <v>91</v>
      </c>
      <c r="M50" s="5">
        <v>11129</v>
      </c>
      <c r="N50" s="5">
        <v>11809</v>
      </c>
    </row>
    <row r="51" spans="2:14" x14ac:dyDescent="0.2">
      <c r="B51" t="s">
        <v>92</v>
      </c>
      <c r="M51" s="5">
        <v>696</v>
      </c>
      <c r="N51" s="5">
        <v>141</v>
      </c>
    </row>
    <row r="52" spans="2:14" x14ac:dyDescent="0.2">
      <c r="B52" t="s">
        <v>93</v>
      </c>
      <c r="M52" s="5">
        <v>2336</v>
      </c>
      <c r="N52" s="5">
        <v>2130</v>
      </c>
    </row>
    <row r="53" spans="2:14" x14ac:dyDescent="0.2">
      <c r="B53" t="s">
        <v>94</v>
      </c>
      <c r="M53" s="5">
        <f t="shared" ref="M53" si="29">+SUM(M46:M52)</f>
        <v>40954</v>
      </c>
      <c r="N53" s="5">
        <f>+SUM(N46:N52)</f>
        <v>61127</v>
      </c>
    </row>
    <row r="54" spans="2:14" x14ac:dyDescent="0.2">
      <c r="B54" s="1" t="s">
        <v>95</v>
      </c>
      <c r="M54" s="7">
        <f t="shared" ref="M54" si="30">+M53+M45</f>
        <v>57062</v>
      </c>
      <c r="N54" s="7">
        <f>+N53+N45</f>
        <v>92079</v>
      </c>
    </row>
    <row r="55" spans="2:14" x14ac:dyDescent="0.2">
      <c r="B55" t="s">
        <v>96</v>
      </c>
      <c r="M55" s="5">
        <v>4413</v>
      </c>
      <c r="N55" s="5">
        <v>11792</v>
      </c>
    </row>
    <row r="56" spans="2:14" x14ac:dyDescent="0.2">
      <c r="B56" t="s">
        <v>97</v>
      </c>
      <c r="M56" s="5">
        <v>5498</v>
      </c>
      <c r="N56" s="5">
        <v>6111</v>
      </c>
    </row>
    <row r="57" spans="2:14" x14ac:dyDescent="0.2">
      <c r="B57" t="s">
        <v>98</v>
      </c>
      <c r="M57" s="5">
        <v>372</v>
      </c>
      <c r="N57" s="5">
        <v>928</v>
      </c>
    </row>
    <row r="58" spans="2:14" x14ac:dyDescent="0.2">
      <c r="B58" t="s">
        <v>99</v>
      </c>
      <c r="M58" s="5">
        <v>1508</v>
      </c>
      <c r="N58" s="5">
        <v>2569</v>
      </c>
    </row>
    <row r="59" spans="2:14" x14ac:dyDescent="0.2">
      <c r="B59" t="s">
        <v>100</v>
      </c>
      <c r="M59" s="5">
        <f>+SUM(M55:M58)</f>
        <v>11791</v>
      </c>
      <c r="N59" s="5">
        <f>+SUM(N55:N58)</f>
        <v>21400</v>
      </c>
    </row>
    <row r="60" spans="2:14" x14ac:dyDescent="0.2">
      <c r="B60" t="s">
        <v>97</v>
      </c>
      <c r="M60" s="5">
        <v>4681</v>
      </c>
      <c r="N60" s="5">
        <v>6005</v>
      </c>
    </row>
    <row r="61" spans="2:14" x14ac:dyDescent="0.2">
      <c r="B61" t="s">
        <v>98</v>
      </c>
      <c r="M61" s="5">
        <v>13421</v>
      </c>
      <c r="N61" s="5">
        <v>21968</v>
      </c>
    </row>
    <row r="62" spans="2:14" x14ac:dyDescent="0.2">
      <c r="B62" t="s">
        <v>101</v>
      </c>
      <c r="M62" s="5">
        <v>1365</v>
      </c>
      <c r="N62" s="5">
        <v>1381</v>
      </c>
    </row>
    <row r="63" spans="2:14" x14ac:dyDescent="0.2">
      <c r="B63" t="s">
        <v>102</v>
      </c>
      <c r="M63" s="5">
        <f>+SUM(M60:M62)</f>
        <v>19467</v>
      </c>
      <c r="N63" s="5">
        <f>+SUM(N60:N62)</f>
        <v>29354</v>
      </c>
    </row>
    <row r="64" spans="2:14" x14ac:dyDescent="0.2">
      <c r="B64" s="1" t="s">
        <v>104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>
        <f>+M63+M59</f>
        <v>31258</v>
      </c>
      <c r="N64" s="7">
        <f>+N63+N59</f>
        <v>50754</v>
      </c>
    </row>
    <row r="65" spans="2:14" x14ac:dyDescent="0.2">
      <c r="B65" t="s">
        <v>105</v>
      </c>
      <c r="M65" s="5">
        <f>20941+4863</f>
        <v>25804</v>
      </c>
      <c r="N65" s="5">
        <f>38752+2573</f>
        <v>41325</v>
      </c>
    </row>
    <row r="66" spans="2:14" x14ac:dyDescent="0.2">
      <c r="B66" t="s">
        <v>103</v>
      </c>
      <c r="M66" s="7">
        <f>+M64+M65</f>
        <v>57062</v>
      </c>
      <c r="N66" s="7">
        <f>+N64+N65</f>
        <v>92079</v>
      </c>
    </row>
    <row r="68" spans="2:14" x14ac:dyDescent="0.2">
      <c r="B68" t="s">
        <v>72</v>
      </c>
      <c r="L68" s="5">
        <f t="shared" ref="L68:M68" si="31">+L27</f>
        <v>-4628</v>
      </c>
      <c r="M68" s="5">
        <f t="shared" si="31"/>
        <v>791</v>
      </c>
      <c r="N68" s="5">
        <f>+N27</f>
        <v>-4937</v>
      </c>
    </row>
    <row r="69" spans="2:14" x14ac:dyDescent="0.2">
      <c r="B69" t="s">
        <v>106</v>
      </c>
      <c r="L69" s="5">
        <v>2635</v>
      </c>
      <c r="M69" s="5">
        <v>3824</v>
      </c>
      <c r="N69" s="5">
        <v>6701</v>
      </c>
    </row>
    <row r="70" spans="2:14" x14ac:dyDescent="0.2">
      <c r="B70" t="s">
        <v>107</v>
      </c>
      <c r="L70" s="5">
        <v>679</v>
      </c>
      <c r="M70" s="5">
        <v>784</v>
      </c>
      <c r="N70" s="5">
        <v>1947</v>
      </c>
    </row>
    <row r="71" spans="2:14" x14ac:dyDescent="0.2">
      <c r="B71" t="s">
        <v>109</v>
      </c>
      <c r="L71" s="5">
        <v>-409</v>
      </c>
      <c r="M71" s="5">
        <v>-675</v>
      </c>
      <c r="N71" s="5">
        <v>626</v>
      </c>
    </row>
    <row r="72" spans="2:14" x14ac:dyDescent="0.2">
      <c r="B72" t="s">
        <v>108</v>
      </c>
      <c r="L72" s="5">
        <f>3775+36+212</f>
        <v>4023</v>
      </c>
      <c r="M72" s="5">
        <f>-955+135+84</f>
        <v>-736</v>
      </c>
      <c r="N72" s="5">
        <f>112+88+93</f>
        <v>293</v>
      </c>
    </row>
    <row r="73" spans="2:14" x14ac:dyDescent="0.2">
      <c r="B73" t="s">
        <v>110</v>
      </c>
      <c r="L73" s="5">
        <v>214</v>
      </c>
      <c r="M73" s="5">
        <v>115</v>
      </c>
      <c r="N73" s="5">
        <v>66</v>
      </c>
    </row>
    <row r="74" spans="2:14" x14ac:dyDescent="0.2">
      <c r="B74" t="s">
        <v>111</v>
      </c>
      <c r="L74" s="5">
        <v>345</v>
      </c>
      <c r="M74" s="5">
        <v>-347</v>
      </c>
      <c r="N74" s="5">
        <v>-543</v>
      </c>
    </row>
    <row r="75" spans="2:14" x14ac:dyDescent="0.2">
      <c r="B75" t="s">
        <v>112</v>
      </c>
      <c r="L75" s="5">
        <v>-72</v>
      </c>
      <c r="M75" s="5">
        <v>-309</v>
      </c>
      <c r="N75" s="5">
        <v>-413</v>
      </c>
    </row>
    <row r="76" spans="2:14" x14ac:dyDescent="0.2">
      <c r="B76" t="s">
        <v>113</v>
      </c>
      <c r="L76" s="5">
        <v>41</v>
      </c>
      <c r="M76" s="5">
        <v>-328</v>
      </c>
      <c r="N76" s="5">
        <v>-673</v>
      </c>
    </row>
    <row r="77" spans="2:14" x14ac:dyDescent="0.2">
      <c r="B77" t="s">
        <v>114</v>
      </c>
      <c r="L77" s="5">
        <v>220</v>
      </c>
      <c r="M77" s="5">
        <v>472</v>
      </c>
      <c r="N77" s="5">
        <v>709</v>
      </c>
    </row>
    <row r="78" spans="2:14" x14ac:dyDescent="0.2">
      <c r="B78" t="s">
        <v>115</v>
      </c>
      <c r="L78" s="5">
        <v>1695</v>
      </c>
      <c r="M78" s="5">
        <v>1876</v>
      </c>
      <c r="N78" s="5">
        <v>1929</v>
      </c>
    </row>
    <row r="79" spans="2:14" x14ac:dyDescent="0.2">
      <c r="B79" t="s">
        <v>116</v>
      </c>
      <c r="L79" s="5">
        <v>-15</v>
      </c>
      <c r="M79" s="5">
        <v>-37</v>
      </c>
      <c r="N79" s="5">
        <v>-56</v>
      </c>
    </row>
    <row r="80" spans="2:14" x14ac:dyDescent="0.2">
      <c r="B80" t="s">
        <v>117</v>
      </c>
      <c r="L80" s="5">
        <v>-208</v>
      </c>
      <c r="M80" s="5">
        <v>346</v>
      </c>
      <c r="N80" s="5">
        <v>1136</v>
      </c>
    </row>
    <row r="81" spans="2:14" x14ac:dyDescent="0.2">
      <c r="B81" t="s">
        <v>118</v>
      </c>
      <c r="L81" s="5">
        <f t="shared" ref="L81:M81" si="32">+SUM(L74:L80)</f>
        <v>2006</v>
      </c>
      <c r="M81" s="5">
        <f t="shared" si="32"/>
        <v>1673</v>
      </c>
      <c r="N81" s="5">
        <f>+SUM(N74:N80)</f>
        <v>2089</v>
      </c>
    </row>
    <row r="82" spans="2:14" x14ac:dyDescent="0.2">
      <c r="B82" s="1" t="s">
        <v>119</v>
      </c>
      <c r="C82" s="7"/>
      <c r="D82" s="7"/>
      <c r="E82" s="7"/>
      <c r="F82" s="7"/>
      <c r="G82" s="7"/>
      <c r="H82" s="7"/>
      <c r="I82" s="7"/>
      <c r="J82" s="7"/>
      <c r="K82" s="7"/>
      <c r="L82" s="7">
        <f t="shared" ref="L82:M82" si="33">+L81+SUM(L68:L73)</f>
        <v>4520</v>
      </c>
      <c r="M82" s="7">
        <f t="shared" si="33"/>
        <v>5776</v>
      </c>
      <c r="N82" s="7">
        <f>+N81+SUM(N68:N73)</f>
        <v>6785</v>
      </c>
    </row>
    <row r="83" spans="2:14" x14ac:dyDescent="0.2">
      <c r="B83" t="s">
        <v>121</v>
      </c>
      <c r="L83" s="5">
        <v>-4415</v>
      </c>
      <c r="M83" s="5">
        <v>-11163</v>
      </c>
      <c r="N83" s="5">
        <v>-20737</v>
      </c>
    </row>
    <row r="84" spans="2:14" x14ac:dyDescent="0.2">
      <c r="B84" t="s">
        <v>122</v>
      </c>
      <c r="L84" s="5">
        <v>-3535</v>
      </c>
      <c r="M84" s="5">
        <v>-3542</v>
      </c>
      <c r="N84" s="5">
        <v>-611</v>
      </c>
    </row>
    <row r="85" spans="2:14" x14ac:dyDescent="0.2">
      <c r="B85" t="s">
        <v>123</v>
      </c>
      <c r="L85" s="5">
        <f>2731+333</f>
        <v>3064</v>
      </c>
      <c r="M85" s="5">
        <f>3712+193</f>
        <v>3905</v>
      </c>
      <c r="N85" s="5">
        <f>548+1457</f>
        <v>2005</v>
      </c>
    </row>
    <row r="86" spans="2:14" x14ac:dyDescent="0.2">
      <c r="B86" t="s">
        <v>124</v>
      </c>
      <c r="L86" s="5">
        <v>0</v>
      </c>
      <c r="M86" s="5">
        <v>0</v>
      </c>
      <c r="N86" s="5">
        <v>-86</v>
      </c>
    </row>
    <row r="87" spans="2:14" x14ac:dyDescent="0.2">
      <c r="B87" t="s">
        <v>110</v>
      </c>
      <c r="L87" s="5">
        <v>19</v>
      </c>
      <c r="M87" s="5">
        <v>4</v>
      </c>
      <c r="N87" s="5">
        <f>-95+118-169</f>
        <v>-146</v>
      </c>
    </row>
    <row r="88" spans="2:14" x14ac:dyDescent="0.2">
      <c r="B88" s="1" t="s">
        <v>120</v>
      </c>
      <c r="L88" s="7">
        <f t="shared" ref="L88:M88" si="34">+SUM(L83:L87)</f>
        <v>-4867</v>
      </c>
      <c r="M88" s="7">
        <f t="shared" si="34"/>
        <v>-10796</v>
      </c>
      <c r="N88" s="7">
        <f>+SUM(N83:N87)</f>
        <v>-19575</v>
      </c>
    </row>
    <row r="89" spans="2:14" x14ac:dyDescent="0.2">
      <c r="B89" t="s">
        <v>126</v>
      </c>
      <c r="L89" s="5">
        <v>0</v>
      </c>
      <c r="M89" s="5">
        <v>-154</v>
      </c>
      <c r="N89" s="5">
        <v>-295</v>
      </c>
    </row>
    <row r="90" spans="2:14" x14ac:dyDescent="0.2">
      <c r="B90" t="s">
        <v>127</v>
      </c>
      <c r="L90" s="5">
        <v>0</v>
      </c>
      <c r="M90" s="5">
        <v>0</v>
      </c>
      <c r="N90" s="5">
        <f>16055-66</f>
        <v>15989</v>
      </c>
    </row>
    <row r="91" spans="2:14" x14ac:dyDescent="0.2">
      <c r="B91" t="s">
        <v>128</v>
      </c>
      <c r="L91" s="5">
        <v>-112</v>
      </c>
      <c r="M91" s="5">
        <v>-77</v>
      </c>
      <c r="N91" s="5">
        <f>-6858</f>
        <v>-6858</v>
      </c>
    </row>
    <row r="92" spans="2:14" x14ac:dyDescent="0.2">
      <c r="B92" t="s">
        <v>129</v>
      </c>
      <c r="L92" s="5">
        <v>774</v>
      </c>
      <c r="M92" s="5">
        <v>13101</v>
      </c>
      <c r="N92" s="5">
        <v>18807</v>
      </c>
    </row>
    <row r="93" spans="2:14" x14ac:dyDescent="0.2">
      <c r="B93" t="s">
        <v>130</v>
      </c>
      <c r="L93" s="5">
        <v>141</v>
      </c>
      <c r="M93" s="5">
        <v>224</v>
      </c>
      <c r="N93" s="5">
        <v>328</v>
      </c>
    </row>
    <row r="94" spans="2:14" x14ac:dyDescent="0.2">
      <c r="B94" t="s">
        <v>131</v>
      </c>
      <c r="L94" s="5">
        <v>-170</v>
      </c>
      <c r="M94" s="5">
        <v>-1021</v>
      </c>
      <c r="N94" s="5">
        <v>-1125</v>
      </c>
    </row>
    <row r="95" spans="2:14" x14ac:dyDescent="0.2">
      <c r="B95" t="s">
        <v>132</v>
      </c>
      <c r="L95" s="5">
        <v>-211</v>
      </c>
      <c r="M95" s="5">
        <v>-243</v>
      </c>
      <c r="N95" s="5">
        <v>-496</v>
      </c>
    </row>
    <row r="96" spans="2:14" x14ac:dyDescent="0.2">
      <c r="B96" s="1" t="s">
        <v>125</v>
      </c>
      <c r="C96" s="7"/>
      <c r="D96" s="7"/>
      <c r="E96" s="7"/>
      <c r="F96" s="7"/>
      <c r="G96" s="7"/>
      <c r="H96" s="7"/>
      <c r="I96" s="7"/>
      <c r="J96" s="7"/>
      <c r="K96" s="7"/>
      <c r="L96" s="7">
        <f>+SUM(L89:L95)</f>
        <v>422</v>
      </c>
      <c r="M96" s="7">
        <f>+SUM(M89:M95)</f>
        <v>11830</v>
      </c>
      <c r="N96" s="7">
        <f>+SUM(N89:N95)</f>
        <v>26350</v>
      </c>
    </row>
    <row r="97" spans="2:14" x14ac:dyDescent="0.2">
      <c r="B97" t="s">
        <v>133</v>
      </c>
      <c r="L97" s="5">
        <v>-2</v>
      </c>
      <c r="M97" s="5">
        <v>1</v>
      </c>
      <c r="N97" s="5">
        <v>63</v>
      </c>
    </row>
    <row r="98" spans="2:14" x14ac:dyDescent="0.2">
      <c r="B98" t="s">
        <v>134</v>
      </c>
      <c r="L98" s="5">
        <f t="shared" ref="L98:M98" si="35">+L96+L88+L82+L97</f>
        <v>73</v>
      </c>
      <c r="M98" s="5">
        <f t="shared" si="35"/>
        <v>6811</v>
      </c>
      <c r="N98" s="5">
        <f>+N96+N88+N82+N97</f>
        <v>13623</v>
      </c>
    </row>
    <row r="100" spans="2:14" x14ac:dyDescent="0.2">
      <c r="B100" t="s">
        <v>135</v>
      </c>
      <c r="L100" s="5">
        <f>+L101-L98</f>
        <v>4617</v>
      </c>
      <c r="M100" s="5">
        <f>+M101-M98</f>
        <v>4690</v>
      </c>
      <c r="N100" s="5">
        <v>11501</v>
      </c>
    </row>
    <row r="101" spans="2:14" x14ac:dyDescent="0.2">
      <c r="B101" t="s">
        <v>136</v>
      </c>
      <c r="L101" s="5">
        <f>+M100</f>
        <v>4690</v>
      </c>
      <c r="M101" s="5">
        <f>+N100</f>
        <v>11501</v>
      </c>
      <c r="N101" s="5">
        <f>+N98+N100</f>
        <v>25124</v>
      </c>
    </row>
  </sheetData>
  <hyperlinks>
    <hyperlink ref="A1" location="Main!A1" display="Main" xr:uid="{FB9FA996-52C3-4521-8181-CF1449D3BC8D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2026-05-22T09:47:43Z</dcterms:created>
  <dcterms:modified xsi:type="dcterms:W3CDTF">2026-08-05T16:38:27Z</dcterms:modified>
</cp:coreProperties>
</file>