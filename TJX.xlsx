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3DF42663-B5EF-47E2-AEFA-F3AC54279E03}" xr6:coauthVersionLast="47" xr6:coauthVersionMax="47" xr10:uidLastSave="{00000000-0000-0000-0000-000000000000}"/>
  <bookViews>
    <workbookView xWindow="19095" yWindow="0" windowWidth="19410" windowHeight="20985" activeTab="1" xr2:uid="{03FABE92-8095-40C1-84A9-F723AD2E6BD9}"/>
  </bookViews>
  <sheets>
    <sheet name="Main" sheetId="1" r:id="rId1"/>
    <sheet name="Model" sheetId="2" r:id="rId2"/>
    <sheet name="Ratios" sheetId="3" r:id="rId3"/>
    <sheet name="DC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V64" i="4" s="1"/>
  <c r="P42" i="2"/>
  <c r="O42" i="2"/>
  <c r="P41" i="2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34" i="2"/>
  <c r="O34" i="2"/>
  <c r="P30" i="2"/>
  <c r="P28" i="2"/>
  <c r="P26" i="2"/>
  <c r="P23" i="2"/>
  <c r="P21" i="2"/>
  <c r="P12" i="2"/>
  <c r="P11" i="2"/>
  <c r="P10" i="2"/>
  <c r="P9" i="2"/>
  <c r="P5" i="2"/>
  <c r="P8" i="2"/>
  <c r="P7" i="2"/>
  <c r="P6" i="2"/>
  <c r="P4" i="2"/>
  <c r="N27" i="2"/>
  <c r="N25" i="2"/>
  <c r="N24" i="2"/>
  <c r="N22" i="2"/>
  <c r="N20" i="2"/>
  <c r="N19" i="2"/>
  <c r="N18" i="2"/>
  <c r="N17" i="2"/>
  <c r="N16" i="2"/>
  <c r="N15" i="2"/>
  <c r="AA123" i="2"/>
  <c r="Z123" i="2"/>
  <c r="Y123" i="2"/>
  <c r="X123" i="2"/>
  <c r="W123" i="2"/>
  <c r="V123" i="2"/>
  <c r="U123" i="2"/>
  <c r="T123" i="2"/>
  <c r="AA121" i="2"/>
  <c r="AA120" i="2"/>
  <c r="Z121" i="2"/>
  <c r="Z120" i="2"/>
  <c r="AA116" i="2"/>
  <c r="Z116" i="2"/>
  <c r="Z105" i="2"/>
  <c r="Z107" i="2"/>
  <c r="AA105" i="2"/>
  <c r="AA107" i="2" s="1"/>
  <c r="AA102" i="2"/>
  <c r="Z102" i="2"/>
  <c r="AA78" i="2"/>
  <c r="Z78" i="2"/>
  <c r="AA70" i="2"/>
  <c r="Z70" i="2"/>
  <c r="AA65" i="2"/>
  <c r="AA71" i="2" s="1"/>
  <c r="Z65" i="2"/>
  <c r="Z71" i="2" s="1"/>
  <c r="AA57" i="2"/>
  <c r="Z57" i="2"/>
  <c r="AA51" i="2"/>
  <c r="AA58" i="2" s="1"/>
  <c r="Z51" i="2"/>
  <c r="AA21" i="2"/>
  <c r="AA39" i="2" s="1"/>
  <c r="O21" i="2"/>
  <c r="O23" i="2" s="1"/>
  <c r="O26" i="2" s="1"/>
  <c r="O28" i="2" s="1"/>
  <c r="O30" i="2" s="1"/>
  <c r="N21" i="2"/>
  <c r="N39" i="2" s="1"/>
  <c r="N7" i="2"/>
  <c r="N12" i="2" s="1"/>
  <c r="N6" i="2"/>
  <c r="N11" i="2" s="1"/>
  <c r="N5" i="2"/>
  <c r="N10" i="2" s="1"/>
  <c r="N4" i="2"/>
  <c r="O7" i="2"/>
  <c r="O12" i="2" s="1"/>
  <c r="O6" i="2"/>
  <c r="O11" i="2" s="1"/>
  <c r="O5" i="2"/>
  <c r="O10" i="2" s="1"/>
  <c r="N8" i="2"/>
  <c r="O4" i="2"/>
  <c r="O9" i="2" s="1"/>
  <c r="AA7" i="2"/>
  <c r="AB7" i="2" s="1"/>
  <c r="AC7" i="2" s="1"/>
  <c r="AD7" i="2" s="1"/>
  <c r="AE7" i="2" s="1"/>
  <c r="AF7" i="2" s="1"/>
  <c r="AG7" i="2" s="1"/>
  <c r="AH7" i="2" s="1"/>
  <c r="AI7" i="2" s="1"/>
  <c r="AI37" i="2" s="1"/>
  <c r="AA6" i="2"/>
  <c r="AB6" i="2" s="1"/>
  <c r="AC6" i="2" s="1"/>
  <c r="AD6" i="2" s="1"/>
  <c r="AE6" i="2" s="1"/>
  <c r="AF6" i="2" s="1"/>
  <c r="AG6" i="2" s="1"/>
  <c r="AH6" i="2" s="1"/>
  <c r="AI6" i="2" s="1"/>
  <c r="AI36" i="2" s="1"/>
  <c r="AA4" i="2"/>
  <c r="AA5" i="2"/>
  <c r="AB5" i="2" s="1"/>
  <c r="AC5" i="2" s="1"/>
  <c r="AD5" i="2" s="1"/>
  <c r="AE5" i="2" s="1"/>
  <c r="AF5" i="2" s="1"/>
  <c r="AG5" i="2" s="1"/>
  <c r="AH5" i="2" s="1"/>
  <c r="AI5" i="2" s="1"/>
  <c r="AI35" i="2" s="1"/>
  <c r="N38" i="2"/>
  <c r="K38" i="2"/>
  <c r="M21" i="2"/>
  <c r="M23" i="2" s="1"/>
  <c r="M7" i="2"/>
  <c r="M6" i="2"/>
  <c r="M5" i="2"/>
  <c r="M10" i="2" s="1"/>
  <c r="M4" i="2"/>
  <c r="M9" i="2" s="1"/>
  <c r="L21" i="2"/>
  <c r="L23" i="2" s="1"/>
  <c r="AJ8" i="2"/>
  <c r="Y8" i="2"/>
  <c r="X8" i="2"/>
  <c r="W8" i="2"/>
  <c r="V8" i="2"/>
  <c r="U8" i="2"/>
  <c r="T8" i="2"/>
  <c r="G8" i="2"/>
  <c r="F8" i="2"/>
  <c r="E8" i="2"/>
  <c r="D8" i="2"/>
  <c r="C8" i="2"/>
  <c r="L7" i="2"/>
  <c r="L12" i="2" s="1"/>
  <c r="L6" i="2"/>
  <c r="L5" i="2"/>
  <c r="L4" i="2"/>
  <c r="K21" i="2"/>
  <c r="K23" i="2" s="1"/>
  <c r="K26" i="2" s="1"/>
  <c r="K28" i="2" s="1"/>
  <c r="K30" i="2" s="1"/>
  <c r="K7" i="2"/>
  <c r="K12" i="2" s="1"/>
  <c r="K6" i="2"/>
  <c r="K11" i="2" s="1"/>
  <c r="K5" i="2"/>
  <c r="K10" i="2" s="1"/>
  <c r="K4" i="2"/>
  <c r="K9" i="2" s="1"/>
  <c r="Z7" i="2"/>
  <c r="Z6" i="2"/>
  <c r="Z5" i="2"/>
  <c r="Z4" i="2"/>
  <c r="J4" i="2"/>
  <c r="J9" i="2" s="1"/>
  <c r="J7" i="2"/>
  <c r="J12" i="2" s="1"/>
  <c r="J6" i="2"/>
  <c r="J11" i="2" s="1"/>
  <c r="J5" i="2"/>
  <c r="J10" i="2" s="1"/>
  <c r="I7" i="2"/>
  <c r="I37" i="2" s="1"/>
  <c r="I6" i="2"/>
  <c r="I11" i="2" s="1"/>
  <c r="I5" i="2"/>
  <c r="I10" i="2" s="1"/>
  <c r="I4" i="2"/>
  <c r="I9" i="2" s="1"/>
  <c r="I19" i="2"/>
  <c r="M38" i="2" s="1"/>
  <c r="H7" i="2"/>
  <c r="H37" i="2" s="1"/>
  <c r="H6" i="2"/>
  <c r="H11" i="2" s="1"/>
  <c r="H4" i="2"/>
  <c r="H9" i="2" s="1"/>
  <c r="H5" i="2"/>
  <c r="H10" i="2" s="1"/>
  <c r="H19" i="2"/>
  <c r="L38" i="2" s="1"/>
  <c r="M48" i="4"/>
  <c r="M46" i="4"/>
  <c r="M45" i="4" s="1" a="1"/>
  <c r="M45" i="4" s="1"/>
  <c r="V66" i="4"/>
  <c r="V63" i="4"/>
  <c r="D10" i="4"/>
  <c r="U6" i="4"/>
  <c r="M6" i="4"/>
  <c r="V57" i="4"/>
  <c r="V54" i="4"/>
  <c r="V51" i="4" a="1"/>
  <c r="V51" i="4" s="1"/>
  <c r="V41" i="4"/>
  <c r="V42" i="4" s="1"/>
  <c r="V40" i="4"/>
  <c r="V39" i="4" a="1"/>
  <c r="V39" i="4" s="1"/>
  <c r="V31" i="4" a="1"/>
  <c r="V31" i="4" s="1"/>
  <c r="V28" i="4"/>
  <c r="V26" i="4"/>
  <c r="V25" i="4" a="1"/>
  <c r="V25" i="4" s="1"/>
  <c r="H74" i="4"/>
  <c r="I74" i="4" s="1"/>
  <c r="J74" i="4" s="1"/>
  <c r="F74" i="4"/>
  <c r="E74" i="4" s="1"/>
  <c r="D74" i="4" s="1"/>
  <c r="C79" i="4"/>
  <c r="C80" i="4" s="1"/>
  <c r="C81" i="4" s="1"/>
  <c r="C77" i="4"/>
  <c r="C76" i="4" s="1"/>
  <c r="C75" i="4" s="1"/>
  <c r="H9" i="4"/>
  <c r="Q11" i="4" s="1"/>
  <c r="U54" i="4"/>
  <c r="T54" i="4"/>
  <c r="S54" i="4"/>
  <c r="R54" i="4"/>
  <c r="Q54" i="4"/>
  <c r="P54" i="4"/>
  <c r="O54" i="4"/>
  <c r="N54" i="4"/>
  <c r="N47" i="4"/>
  <c r="O47" i="4" s="1"/>
  <c r="P47" i="4" s="1"/>
  <c r="Q47" i="4" s="1"/>
  <c r="R47" i="4" s="1"/>
  <c r="S47" i="4" s="1"/>
  <c r="T47" i="4" s="1"/>
  <c r="U47" i="4" s="1"/>
  <c r="U46" i="4" s="1"/>
  <c r="L44" i="4"/>
  <c r="K44" i="4"/>
  <c r="J44" i="4"/>
  <c r="I44" i="4"/>
  <c r="H44" i="4"/>
  <c r="G44" i="4"/>
  <c r="L38" i="4"/>
  <c r="K38" i="4"/>
  <c r="J38" i="4"/>
  <c r="I38" i="4"/>
  <c r="H38" i="4"/>
  <c r="G38" i="4"/>
  <c r="U51" i="4" a="1"/>
  <c r="U51" i="4" s="1"/>
  <c r="T51" i="4" a="1"/>
  <c r="T51" i="4" s="1"/>
  <c r="S51" i="4" a="1"/>
  <c r="S51" i="4" s="1"/>
  <c r="M42" i="4"/>
  <c r="M40" i="4"/>
  <c r="N41" i="4"/>
  <c r="N42" i="4" s="1"/>
  <c r="T34" i="4"/>
  <c r="S34" i="4"/>
  <c r="R34" i="4"/>
  <c r="Q34" i="4"/>
  <c r="P34" i="4"/>
  <c r="O34" i="4"/>
  <c r="N34" i="4"/>
  <c r="M34" i="4"/>
  <c r="M32" i="4"/>
  <c r="L30" i="4"/>
  <c r="K30" i="4"/>
  <c r="J30" i="4"/>
  <c r="I30" i="4"/>
  <c r="H30" i="4"/>
  <c r="G30" i="4"/>
  <c r="U31" i="4" a="1"/>
  <c r="U31" i="4" s="1"/>
  <c r="T31" i="4" a="1"/>
  <c r="T31" i="4" s="1"/>
  <c r="S31" i="4" a="1"/>
  <c r="S31" i="4" s="1"/>
  <c r="U28" i="4"/>
  <c r="T28" i="4"/>
  <c r="S28" i="4"/>
  <c r="R28" i="4"/>
  <c r="Q28" i="4"/>
  <c r="P28" i="4"/>
  <c r="O28" i="4"/>
  <c r="N28" i="4"/>
  <c r="M28" i="4"/>
  <c r="U26" i="4"/>
  <c r="T26" i="4"/>
  <c r="S26" i="4"/>
  <c r="R26" i="4"/>
  <c r="Q26" i="4"/>
  <c r="P26" i="4"/>
  <c r="O26" i="4"/>
  <c r="N26" i="4"/>
  <c r="M26" i="4"/>
  <c r="U25" i="4" a="1"/>
  <c r="U25" i="4" s="1"/>
  <c r="T25" i="4" a="1"/>
  <c r="T25" i="4" s="1"/>
  <c r="S25" i="4" a="1"/>
  <c r="S25" i="4" s="1"/>
  <c r="G37" i="2"/>
  <c r="G36" i="2"/>
  <c r="G35" i="2"/>
  <c r="G34" i="2"/>
  <c r="F27" i="2"/>
  <c r="F25" i="2"/>
  <c r="F22" i="2"/>
  <c r="F20" i="2"/>
  <c r="F18" i="2"/>
  <c r="F12" i="2" s="1"/>
  <c r="F17" i="2"/>
  <c r="F11" i="2" s="1"/>
  <c r="F16" i="2"/>
  <c r="F10" i="2" s="1"/>
  <c r="F15" i="2"/>
  <c r="F9" i="2" s="1"/>
  <c r="G12" i="2"/>
  <c r="E12" i="2"/>
  <c r="D12" i="2"/>
  <c r="C12" i="2"/>
  <c r="G11" i="2"/>
  <c r="E11" i="2"/>
  <c r="D11" i="2"/>
  <c r="C11" i="2"/>
  <c r="G10" i="2"/>
  <c r="E10" i="2"/>
  <c r="D10" i="2"/>
  <c r="C10" i="2"/>
  <c r="E9" i="2"/>
  <c r="D9" i="2"/>
  <c r="C9" i="2"/>
  <c r="G9" i="2"/>
  <c r="N57" i="4"/>
  <c r="O57" i="4" s="1"/>
  <c r="P57" i="4" s="1"/>
  <c r="Q57" i="4" s="1"/>
  <c r="R57" i="4" s="1"/>
  <c r="S57" i="4" s="1"/>
  <c r="T57" i="4" s="1"/>
  <c r="U57" i="4" s="1"/>
  <c r="M39" i="4" a="1"/>
  <c r="M39" i="4" s="1"/>
  <c r="M25" i="4" a="1"/>
  <c r="M25" i="4" s="1"/>
  <c r="M31" i="4" a="1"/>
  <c r="M31" i="4" s="1"/>
  <c r="G18" i="4"/>
  <c r="R51" i="4" a="1"/>
  <c r="R51" i="4" s="1"/>
  <c r="Q51" i="4" a="1"/>
  <c r="Q51" i="4" s="1"/>
  <c r="P51" i="4" a="1"/>
  <c r="P51" i="4" s="1"/>
  <c r="O51" i="4" a="1"/>
  <c r="O51" i="4" s="1"/>
  <c r="N51" i="4" a="1"/>
  <c r="N51" i="4" s="1"/>
  <c r="N32" i="4"/>
  <c r="R31" i="4" a="1"/>
  <c r="R31" i="4" s="1"/>
  <c r="Q31" i="4" a="1"/>
  <c r="Q31" i="4" s="1"/>
  <c r="P31" i="4" a="1"/>
  <c r="P31" i="4" s="1"/>
  <c r="O31" i="4" a="1"/>
  <c r="O31" i="4" s="1"/>
  <c r="N31" i="4" a="1"/>
  <c r="N31" i="4" s="1"/>
  <c r="R25" i="4" a="1"/>
  <c r="R25" i="4" s="1"/>
  <c r="Q25" i="4" a="1"/>
  <c r="Q25" i="4" s="1"/>
  <c r="P25" i="4" a="1"/>
  <c r="P25" i="4" s="1"/>
  <c r="O25" i="4" a="1"/>
  <c r="O25" i="4" s="1"/>
  <c r="N25" i="4" a="1"/>
  <c r="N25" i="4" s="1"/>
  <c r="N9" i="2" l="1"/>
  <c r="AA80" i="2"/>
  <c r="Z80" i="2"/>
  <c r="N23" i="2"/>
  <c r="N40" i="2" s="1"/>
  <c r="Z58" i="2"/>
  <c r="AA23" i="2"/>
  <c r="O8" i="2"/>
  <c r="M36" i="2"/>
  <c r="M37" i="2"/>
  <c r="N34" i="2"/>
  <c r="K34" i="2"/>
  <c r="K35" i="2"/>
  <c r="L35" i="2"/>
  <c r="K36" i="2"/>
  <c r="L36" i="2"/>
  <c r="K37" i="2"/>
  <c r="L39" i="2"/>
  <c r="AB4" i="2"/>
  <c r="AC4" i="2" s="1"/>
  <c r="AD4" i="2" s="1"/>
  <c r="AE4" i="2" s="1"/>
  <c r="AF4" i="2" s="1"/>
  <c r="AG4" i="2" s="1"/>
  <c r="AH4" i="2" s="1"/>
  <c r="AI4" i="2" s="1"/>
  <c r="AI34" i="2" s="1"/>
  <c r="H8" i="2"/>
  <c r="M11" i="2"/>
  <c r="M12" i="2"/>
  <c r="L37" i="2"/>
  <c r="N37" i="2"/>
  <c r="L8" i="2"/>
  <c r="M26" i="2"/>
  <c r="M40" i="2"/>
  <c r="L40" i="2"/>
  <c r="L26" i="2"/>
  <c r="K39" i="2"/>
  <c r="L10" i="2"/>
  <c r="L11" i="2"/>
  <c r="K41" i="2"/>
  <c r="M34" i="2"/>
  <c r="N35" i="2"/>
  <c r="M39" i="2"/>
  <c r="M35" i="2"/>
  <c r="K8" i="2"/>
  <c r="K42" i="2"/>
  <c r="Z8" i="2"/>
  <c r="M8" i="2"/>
  <c r="L9" i="2"/>
  <c r="I8" i="2"/>
  <c r="K40" i="2"/>
  <c r="J8" i="2"/>
  <c r="L34" i="2"/>
  <c r="AA8" i="2"/>
  <c r="N36" i="2"/>
  <c r="J34" i="2"/>
  <c r="J35" i="2"/>
  <c r="J36" i="2"/>
  <c r="J37" i="2"/>
  <c r="I34" i="2"/>
  <c r="I35" i="2"/>
  <c r="I36" i="2"/>
  <c r="I12" i="2"/>
  <c r="H12" i="2"/>
  <c r="H36" i="2"/>
  <c r="H35" i="2"/>
  <c r="H34" i="2"/>
  <c r="M11" i="4"/>
  <c r="Q46" i="4"/>
  <c r="R46" i="4"/>
  <c r="O48" i="4"/>
  <c r="P48" i="4"/>
  <c r="S46" i="4"/>
  <c r="V47" i="4"/>
  <c r="T46" i="4"/>
  <c r="R48" i="4"/>
  <c r="U48" i="4"/>
  <c r="Q48" i="4"/>
  <c r="S48" i="4"/>
  <c r="N46" i="4"/>
  <c r="T48" i="4"/>
  <c r="O46" i="4"/>
  <c r="P46" i="4"/>
  <c r="N48" i="4"/>
  <c r="G45" i="4"/>
  <c r="U11" i="4"/>
  <c r="G39" i="4"/>
  <c r="N45" i="4" a="1"/>
  <c r="N45" i="4" s="1"/>
  <c r="N40" i="4"/>
  <c r="O41" i="4"/>
  <c r="N39" i="4" a="1"/>
  <c r="N39" i="4" s="1"/>
  <c r="P41" i="4"/>
  <c r="N26" i="2" l="1"/>
  <c r="N28" i="2"/>
  <c r="N42" i="2"/>
  <c r="AA26" i="2"/>
  <c r="AA40" i="2"/>
  <c r="AC8" i="2"/>
  <c r="AH8" i="2"/>
  <c r="AG8" i="2"/>
  <c r="AF8" i="2"/>
  <c r="AE8" i="2"/>
  <c r="AD8" i="2"/>
  <c r="AI8" i="2"/>
  <c r="AB8" i="2"/>
  <c r="L42" i="2"/>
  <c r="L28" i="2"/>
  <c r="M28" i="2"/>
  <c r="M42" i="2"/>
  <c r="V48" i="4"/>
  <c r="V46" i="4"/>
  <c r="V45" i="4" s="1" a="1"/>
  <c r="V45" i="4" s="1"/>
  <c r="O45" i="4" a="1"/>
  <c r="O45" i="4" s="1"/>
  <c r="O39" i="4" a="1"/>
  <c r="O39" i="4" s="1"/>
  <c r="O42" i="4"/>
  <c r="O40" i="4"/>
  <c r="Q41" i="4"/>
  <c r="P40" i="4"/>
  <c r="P42" i="4"/>
  <c r="P45" i="4" a="1"/>
  <c r="P45" i="4" s="1"/>
  <c r="P39" i="4" a="1"/>
  <c r="P39" i="4" s="1"/>
  <c r="N41" i="2" l="1"/>
  <c r="N30" i="2"/>
  <c r="AA42" i="2"/>
  <c r="AA28" i="2"/>
  <c r="AA84" i="2" s="1"/>
  <c r="AA103" i="2" s="1"/>
  <c r="AA119" i="2" s="1"/>
  <c r="M41" i="2"/>
  <c r="M30" i="2"/>
  <c r="L41" i="2"/>
  <c r="L30" i="2"/>
  <c r="R41" i="4"/>
  <c r="Q42" i="4"/>
  <c r="Q40" i="4"/>
  <c r="Q45" i="4" a="1"/>
  <c r="Q45" i="4" s="1"/>
  <c r="Q39" i="4" a="1"/>
  <c r="Q39" i="4" s="1"/>
  <c r="AA41" i="2" l="1"/>
  <c r="AA30" i="2"/>
  <c r="S41" i="4"/>
  <c r="R42" i="4"/>
  <c r="R40" i="4"/>
  <c r="R45" i="4" a="1"/>
  <c r="R45" i="4" s="1"/>
  <c r="R39" i="4" a="1"/>
  <c r="R39" i="4" s="1"/>
  <c r="T41" i="4" l="1"/>
  <c r="S42" i="4"/>
  <c r="S40" i="4"/>
  <c r="S45" i="4" a="1"/>
  <c r="S45" i="4" s="1"/>
  <c r="S39" i="4" a="1"/>
  <c r="S39" i="4" s="1"/>
  <c r="U41" i="4" l="1"/>
  <c r="T40" i="4"/>
  <c r="T42" i="4"/>
  <c r="U45" i="4" a="1"/>
  <c r="U45" i="4" s="1"/>
  <c r="T45" i="4" a="1"/>
  <c r="T45" i="4" s="1"/>
  <c r="U39" i="4" a="1"/>
  <c r="U39" i="4" s="1"/>
  <c r="T39" i="4" a="1"/>
  <c r="T39" i="4" s="1"/>
  <c r="U42" i="4" l="1"/>
  <c r="U40" i="4"/>
  <c r="J50" i="3" l="1"/>
  <c r="J46" i="3"/>
  <c r="AE37" i="2"/>
  <c r="AD37" i="2"/>
  <c r="AE36" i="2"/>
  <c r="AD36" i="2"/>
  <c r="AH35" i="2"/>
  <c r="AG35" i="2"/>
  <c r="AF35" i="2"/>
  <c r="AE35" i="2"/>
  <c r="Z35" i="2"/>
  <c r="AH36" i="2"/>
  <c r="AH37" i="2"/>
  <c r="Z34" i="2"/>
  <c r="G23" i="3"/>
  <c r="G24" i="3" s="1"/>
  <c r="G29" i="3"/>
  <c r="G30" i="3" s="1"/>
  <c r="G31" i="3"/>
  <c r="F23" i="3"/>
  <c r="F24" i="3" s="1"/>
  <c r="E23" i="3"/>
  <c r="E24" i="3" s="1"/>
  <c r="D23" i="3"/>
  <c r="D24" i="3" s="1"/>
  <c r="C23" i="3"/>
  <c r="C24" i="3" s="1"/>
  <c r="H23" i="3"/>
  <c r="H24" i="3" s="1"/>
  <c r="AC37" i="2" l="1"/>
  <c r="AF36" i="2"/>
  <c r="AG36" i="2"/>
  <c r="AA35" i="2"/>
  <c r="AF37" i="2"/>
  <c r="Z36" i="2"/>
  <c r="AG37" i="2"/>
  <c r="AB35" i="2"/>
  <c r="AA36" i="2"/>
  <c r="Z37" i="2"/>
  <c r="AC35" i="2"/>
  <c r="AB36" i="2"/>
  <c r="AA37" i="2"/>
  <c r="AD35" i="2"/>
  <c r="AC36" i="2"/>
  <c r="AB37" i="2"/>
  <c r="G32" i="3"/>
  <c r="K24" i="3"/>
  <c r="K23" i="3"/>
  <c r="C21" i="3"/>
  <c r="C20" i="3"/>
  <c r="F31" i="3"/>
  <c r="E31" i="3"/>
  <c r="D31" i="3"/>
  <c r="C31" i="3"/>
  <c r="H31" i="3"/>
  <c r="C29" i="3"/>
  <c r="C30" i="3" s="1"/>
  <c r="H29" i="3"/>
  <c r="H30" i="3" s="1"/>
  <c r="F29" i="3"/>
  <c r="F30" i="3" s="1"/>
  <c r="E29" i="3"/>
  <c r="E30" i="3" s="1"/>
  <c r="D29" i="3"/>
  <c r="D30" i="3" s="1"/>
  <c r="AA34" i="2" l="1"/>
  <c r="C25" i="3"/>
  <c r="D32" i="3"/>
  <c r="E32" i="3"/>
  <c r="F32" i="3"/>
  <c r="H32" i="3"/>
  <c r="C32" i="3"/>
  <c r="AB34" i="2" l="1"/>
  <c r="C38" i="3"/>
  <c r="AC34" i="2" l="1"/>
  <c r="AD34" i="2" l="1"/>
  <c r="AE34" i="2" l="1"/>
  <c r="AF34" i="2" l="1"/>
  <c r="AG34" i="2" l="1"/>
  <c r="AH34" i="2" l="1"/>
  <c r="X37" i="2" l="1"/>
  <c r="W37" i="2"/>
  <c r="V37" i="2"/>
  <c r="U37" i="2"/>
  <c r="X36" i="2"/>
  <c r="W36" i="2"/>
  <c r="V36" i="2"/>
  <c r="U36" i="2"/>
  <c r="X35" i="2"/>
  <c r="W35" i="2"/>
  <c r="V35" i="2"/>
  <c r="U35" i="2"/>
  <c r="Y37" i="2"/>
  <c r="Y36" i="2"/>
  <c r="Y35" i="2"/>
  <c r="X34" i="2"/>
  <c r="W34" i="2"/>
  <c r="V34" i="2"/>
  <c r="U34" i="2"/>
  <c r="Y34" i="2"/>
  <c r="U19" i="2"/>
  <c r="H18" i="4" s="1"/>
  <c r="V19" i="2"/>
  <c r="I18" i="4" s="1"/>
  <c r="W19" i="2"/>
  <c r="J18" i="4" s="1"/>
  <c r="X12" i="2"/>
  <c r="W12" i="2"/>
  <c r="V12" i="2"/>
  <c r="U12" i="2"/>
  <c r="T12" i="2"/>
  <c r="X11" i="2"/>
  <c r="W11" i="2"/>
  <c r="V11" i="2"/>
  <c r="U11" i="2"/>
  <c r="T11" i="2"/>
  <c r="X10" i="2"/>
  <c r="W10" i="2"/>
  <c r="V10" i="2"/>
  <c r="U10" i="2"/>
  <c r="T10" i="2"/>
  <c r="X9" i="2"/>
  <c r="W9" i="2"/>
  <c r="V9" i="2"/>
  <c r="U9" i="2"/>
  <c r="T9" i="2"/>
  <c r="Y12" i="2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Y11" i="2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Y10" i="2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Y9" i="2"/>
  <c r="Z9" i="2" s="1"/>
  <c r="AA9" i="2" s="1"/>
  <c r="AB9" i="2" s="1"/>
  <c r="AC9" i="2" s="1"/>
  <c r="AD9" i="2" s="1"/>
  <c r="AE9" i="2" s="1"/>
  <c r="AF9" i="2" s="1"/>
  <c r="AG9" i="2" s="1"/>
  <c r="AH9" i="2" s="1"/>
  <c r="X19" i="2"/>
  <c r="K18" i="4" s="1"/>
  <c r="Y19" i="2"/>
  <c r="T115" i="2"/>
  <c r="T116" i="2" s="1"/>
  <c r="V116" i="2"/>
  <c r="X116" i="2"/>
  <c r="W116" i="2"/>
  <c r="U116" i="2"/>
  <c r="Y116" i="2"/>
  <c r="T106" i="2"/>
  <c r="T107" i="2" s="1"/>
  <c r="U106" i="2"/>
  <c r="U105" i="2"/>
  <c r="V102" i="2"/>
  <c r="I50" i="4" s="1"/>
  <c r="U102" i="2"/>
  <c r="H50" i="4" s="1"/>
  <c r="T102" i="2"/>
  <c r="G50" i="4" s="1"/>
  <c r="G51" i="4" s="1"/>
  <c r="X121" i="2"/>
  <c r="X107" i="2"/>
  <c r="W107" i="2"/>
  <c r="V107" i="2"/>
  <c r="Y107" i="2"/>
  <c r="Y102" i="2"/>
  <c r="L50" i="4" s="1"/>
  <c r="X102" i="2"/>
  <c r="K50" i="4" s="1"/>
  <c r="W102" i="2"/>
  <c r="J50" i="4" s="1"/>
  <c r="X78" i="2"/>
  <c r="W78" i="2"/>
  <c r="V78" i="2"/>
  <c r="U78" i="2"/>
  <c r="T78" i="2"/>
  <c r="Y78" i="2"/>
  <c r="X70" i="2"/>
  <c r="W70" i="2"/>
  <c r="V70" i="2"/>
  <c r="U70" i="2"/>
  <c r="T70" i="2"/>
  <c r="Y70" i="2"/>
  <c r="X65" i="2"/>
  <c r="W65" i="2"/>
  <c r="V65" i="2"/>
  <c r="U65" i="2"/>
  <c r="T65" i="2"/>
  <c r="Y65" i="2"/>
  <c r="X57" i="2"/>
  <c r="W57" i="2"/>
  <c r="V57" i="2"/>
  <c r="U57" i="2"/>
  <c r="T57" i="2"/>
  <c r="Y57" i="2"/>
  <c r="X51" i="2"/>
  <c r="W51" i="2"/>
  <c r="V51" i="2"/>
  <c r="U51" i="2"/>
  <c r="T51" i="2"/>
  <c r="Y51" i="2"/>
  <c r="T21" i="2"/>
  <c r="T39" i="2" s="1"/>
  <c r="I38" i="2"/>
  <c r="H38" i="2"/>
  <c r="G38" i="2"/>
  <c r="J21" i="2"/>
  <c r="J39" i="2" s="1"/>
  <c r="I21" i="2"/>
  <c r="I39" i="2" s="1"/>
  <c r="H21" i="2"/>
  <c r="H23" i="2" s="1"/>
  <c r="E21" i="2"/>
  <c r="E23" i="2" s="1"/>
  <c r="E26" i="2" s="1"/>
  <c r="E28" i="2" s="1"/>
  <c r="E30" i="2" s="1"/>
  <c r="D21" i="2"/>
  <c r="D23" i="2" s="1"/>
  <c r="D26" i="2" s="1"/>
  <c r="D28" i="2" s="1"/>
  <c r="D30" i="2" s="1"/>
  <c r="C21" i="2"/>
  <c r="C23" i="2" s="1"/>
  <c r="C26" i="2" s="1"/>
  <c r="C28" i="2" s="1"/>
  <c r="C30" i="2" s="1"/>
  <c r="G21" i="2"/>
  <c r="G23" i="2" s="1"/>
  <c r="G26" i="2" s="1"/>
  <c r="G28" i="2" s="1"/>
  <c r="G30" i="2" s="1"/>
  <c r="I5" i="1"/>
  <c r="J51" i="3" s="1"/>
  <c r="AH15" i="2" l="1"/>
  <c r="AI9" i="2"/>
  <c r="AI18" i="2"/>
  <c r="AJ12" i="2"/>
  <c r="D41" i="2"/>
  <c r="AI16" i="2"/>
  <c r="AJ10" i="2"/>
  <c r="AJ11" i="2"/>
  <c r="AI17" i="2"/>
  <c r="I8" i="1"/>
  <c r="J52" i="3"/>
  <c r="J53" i="3" s="1"/>
  <c r="Q5" i="4" s="1"/>
  <c r="K51" i="4"/>
  <c r="K45" i="4"/>
  <c r="K39" i="4"/>
  <c r="H51" i="4"/>
  <c r="H39" i="4"/>
  <c r="H45" i="4"/>
  <c r="H19" i="4"/>
  <c r="K19" i="4"/>
  <c r="J39" i="4"/>
  <c r="J51" i="4"/>
  <c r="J45" i="4"/>
  <c r="J19" i="4"/>
  <c r="I39" i="4"/>
  <c r="I51" i="4"/>
  <c r="I45" i="4"/>
  <c r="I19" i="4"/>
  <c r="V21" i="2"/>
  <c r="V39" i="2" s="1"/>
  <c r="E41" i="2"/>
  <c r="F19" i="2"/>
  <c r="L18" i="4"/>
  <c r="X38" i="2"/>
  <c r="H15" i="3"/>
  <c r="H36" i="3"/>
  <c r="D21" i="3"/>
  <c r="D20" i="3"/>
  <c r="D38" i="3"/>
  <c r="C36" i="3"/>
  <c r="C15" i="3"/>
  <c r="D15" i="3"/>
  <c r="D36" i="3"/>
  <c r="E15" i="3"/>
  <c r="E36" i="3"/>
  <c r="Y21" i="2"/>
  <c r="Y23" i="2" s="1"/>
  <c r="L24" i="4" s="1"/>
  <c r="H20" i="3"/>
  <c r="H21" i="3"/>
  <c r="H38" i="3"/>
  <c r="F36" i="3"/>
  <c r="F15" i="3"/>
  <c r="G15" i="3"/>
  <c r="G36" i="3"/>
  <c r="X21" i="2"/>
  <c r="X39" i="2" s="1"/>
  <c r="G20" i="3"/>
  <c r="G21" i="3"/>
  <c r="G38" i="3"/>
  <c r="W38" i="2"/>
  <c r="F21" i="3"/>
  <c r="F20" i="3"/>
  <c r="F38" i="3"/>
  <c r="E21" i="3"/>
  <c r="E20" i="3"/>
  <c r="E38" i="3"/>
  <c r="W21" i="2"/>
  <c r="W23" i="2" s="1"/>
  <c r="J24" i="4" s="1"/>
  <c r="V38" i="2"/>
  <c r="U21" i="2"/>
  <c r="U23" i="2" s="1"/>
  <c r="H24" i="4" s="1"/>
  <c r="H25" i="4" s="1"/>
  <c r="U38" i="2"/>
  <c r="Y38" i="2"/>
  <c r="U107" i="2"/>
  <c r="T71" i="2"/>
  <c r="T80" i="2" s="1"/>
  <c r="U71" i="2"/>
  <c r="U80" i="2" s="1"/>
  <c r="Y58" i="2"/>
  <c r="H22" i="3" s="1"/>
  <c r="T58" i="2"/>
  <c r="C22" i="3" s="1"/>
  <c r="X58" i="2"/>
  <c r="G22" i="3" s="1"/>
  <c r="Y71" i="2"/>
  <c r="Y80" i="2" s="1"/>
  <c r="I23" i="2"/>
  <c r="I26" i="2" s="1"/>
  <c r="I28" i="2" s="1"/>
  <c r="I30" i="2" s="1"/>
  <c r="J23" i="2"/>
  <c r="J26" i="2" s="1"/>
  <c r="J28" i="2" s="1"/>
  <c r="J30" i="2" s="1"/>
  <c r="X71" i="2"/>
  <c r="X80" i="2" s="1"/>
  <c r="U58" i="2"/>
  <c r="D22" i="3" s="1"/>
  <c r="G40" i="2"/>
  <c r="G41" i="2"/>
  <c r="T23" i="2"/>
  <c r="G24" i="4" s="1"/>
  <c r="G39" i="2"/>
  <c r="V71" i="2"/>
  <c r="V80" i="2" s="1"/>
  <c r="W71" i="2"/>
  <c r="W80" i="2" s="1"/>
  <c r="V58" i="2"/>
  <c r="E22" i="3" s="1"/>
  <c r="W58" i="2"/>
  <c r="F22" i="3" s="1"/>
  <c r="H26" i="2"/>
  <c r="H40" i="2"/>
  <c r="C39" i="2"/>
  <c r="D39" i="2"/>
  <c r="C41" i="2"/>
  <c r="E39" i="2"/>
  <c r="C42" i="2"/>
  <c r="H39" i="2"/>
  <c r="D42" i="2"/>
  <c r="C40" i="2"/>
  <c r="E42" i="2"/>
  <c r="D40" i="2"/>
  <c r="G42" i="2"/>
  <c r="E40" i="2"/>
  <c r="E25" i="3" l="1"/>
  <c r="U26" i="2"/>
  <c r="U40" i="2"/>
  <c r="U39" i="2"/>
  <c r="V23" i="2"/>
  <c r="I24" i="4" s="1"/>
  <c r="I31" i="4" s="1"/>
  <c r="L36" i="4"/>
  <c r="L56" i="4" s="1"/>
  <c r="L31" i="4"/>
  <c r="J41" i="2"/>
  <c r="J36" i="4"/>
  <c r="J56" i="4" s="1"/>
  <c r="J31" i="4"/>
  <c r="I41" i="2"/>
  <c r="H36" i="4"/>
  <c r="H56" i="4" s="1"/>
  <c r="H31" i="4"/>
  <c r="G36" i="4"/>
  <c r="G56" i="4" s="1"/>
  <c r="G31" i="4"/>
  <c r="G25" i="4"/>
  <c r="I25" i="4"/>
  <c r="J25" i="4"/>
  <c r="AI15" i="2"/>
  <c r="AJ9" i="2"/>
  <c r="U5" i="4"/>
  <c r="M5" i="4"/>
  <c r="D9" i="4"/>
  <c r="Z19" i="2"/>
  <c r="L19" i="4"/>
  <c r="L25" i="4"/>
  <c r="L45" i="4"/>
  <c r="L51" i="4"/>
  <c r="M53" i="4" s="1"/>
  <c r="L39" i="4"/>
  <c r="F21" i="2"/>
  <c r="J38" i="2"/>
  <c r="X23" i="2"/>
  <c r="G39" i="3" s="1"/>
  <c r="F25" i="3"/>
  <c r="K36" i="3"/>
  <c r="K21" i="3"/>
  <c r="W26" i="2"/>
  <c r="F6" i="3"/>
  <c r="F16" i="3"/>
  <c r="F40" i="3"/>
  <c r="F39" i="3"/>
  <c r="F5" i="3"/>
  <c r="Y40" i="2"/>
  <c r="H6" i="3"/>
  <c r="H16" i="3"/>
  <c r="H39" i="3"/>
  <c r="H40" i="3"/>
  <c r="H5" i="3"/>
  <c r="K22" i="3"/>
  <c r="Y26" i="2"/>
  <c r="Y28" i="2" s="1"/>
  <c r="Y41" i="2" s="1"/>
  <c r="K20" i="3"/>
  <c r="D25" i="3"/>
  <c r="W40" i="2"/>
  <c r="E6" i="3"/>
  <c r="E16" i="3"/>
  <c r="E39" i="3"/>
  <c r="E40" i="3"/>
  <c r="W39" i="2"/>
  <c r="K38" i="3"/>
  <c r="Y39" i="2"/>
  <c r="G25" i="3"/>
  <c r="T26" i="2"/>
  <c r="T42" i="2" s="1"/>
  <c r="C11" i="3" s="1"/>
  <c r="C6" i="3"/>
  <c r="C16" i="3"/>
  <c r="C39" i="3"/>
  <c r="C40" i="3"/>
  <c r="C5" i="3"/>
  <c r="D6" i="3"/>
  <c r="D16" i="3"/>
  <c r="D40" i="3"/>
  <c r="D39" i="3"/>
  <c r="D5" i="3"/>
  <c r="H25" i="3"/>
  <c r="I40" i="2"/>
  <c r="J40" i="2"/>
  <c r="J42" i="2"/>
  <c r="I42" i="2"/>
  <c r="V40" i="2"/>
  <c r="T40" i="2"/>
  <c r="U28" i="2"/>
  <c r="U42" i="2"/>
  <c r="D11" i="3" s="1"/>
  <c r="H42" i="2"/>
  <c r="H28" i="2"/>
  <c r="H30" i="2" s="1"/>
  <c r="E5" i="3" l="1"/>
  <c r="Y84" i="2"/>
  <c r="Y103" i="2" s="1"/>
  <c r="Y119" i="2" s="1"/>
  <c r="Y121" i="2" s="1"/>
  <c r="V26" i="2"/>
  <c r="V28" i="2" s="1"/>
  <c r="V41" i="2" s="1"/>
  <c r="I36" i="4"/>
  <c r="I56" i="4" s="1"/>
  <c r="T28" i="2"/>
  <c r="C9" i="3" s="1"/>
  <c r="C10" i="3" s="1"/>
  <c r="Z38" i="2"/>
  <c r="M21" i="4" s="1"/>
  <c r="Z21" i="2"/>
  <c r="AI19" i="2"/>
  <c r="G16" i="3"/>
  <c r="G40" i="3"/>
  <c r="X40" i="2"/>
  <c r="K24" i="4"/>
  <c r="H41" i="2"/>
  <c r="M22" i="4"/>
  <c r="M20" i="4"/>
  <c r="M19" i="4" a="1"/>
  <c r="M19" i="4" s="1"/>
  <c r="M18" i="4" s="1"/>
  <c r="M51" i="4" a="1"/>
  <c r="M51" i="4" s="1"/>
  <c r="M54" i="4"/>
  <c r="M52" i="4"/>
  <c r="G6" i="3"/>
  <c r="K6" i="3" s="1"/>
  <c r="F23" i="2"/>
  <c r="F39" i="2"/>
  <c r="AB16" i="2"/>
  <c r="AB18" i="2"/>
  <c r="X26" i="2"/>
  <c r="AA38" i="2"/>
  <c r="N21" i="4" s="1"/>
  <c r="G5" i="3"/>
  <c r="K5" i="3" s="1"/>
  <c r="Y42" i="2"/>
  <c r="H11" i="3" s="1"/>
  <c r="C7" i="3"/>
  <c r="C12" i="3" s="1"/>
  <c r="AB15" i="2"/>
  <c r="AB17" i="2"/>
  <c r="K39" i="3"/>
  <c r="U84" i="2"/>
  <c r="U103" i="2" s="1"/>
  <c r="U119" i="2" s="1"/>
  <c r="D9" i="3"/>
  <c r="D10" i="3" s="1"/>
  <c r="D34" i="3"/>
  <c r="D4" i="3"/>
  <c r="D7" i="3"/>
  <c r="D12" i="3" s="1"/>
  <c r="V84" i="2"/>
  <c r="V103" i="2" s="1"/>
  <c r="V119" i="2" s="1"/>
  <c r="E9" i="3"/>
  <c r="E10" i="3" s="1"/>
  <c r="E34" i="3"/>
  <c r="E35" i="3" s="1"/>
  <c r="E4" i="3"/>
  <c r="K40" i="3"/>
  <c r="K25" i="3"/>
  <c r="V42" i="2"/>
  <c r="W28" i="2"/>
  <c r="W42" i="2"/>
  <c r="V30" i="2"/>
  <c r="Y30" i="2"/>
  <c r="H9" i="3"/>
  <c r="H10" i="3" s="1"/>
  <c r="H34" i="3"/>
  <c r="H4" i="3"/>
  <c r="U41" i="2"/>
  <c r="U30" i="2"/>
  <c r="T84" i="2" l="1"/>
  <c r="T103" i="2" s="1"/>
  <c r="T119" i="2" s="1"/>
  <c r="C34" i="3"/>
  <c r="T30" i="2"/>
  <c r="D35" i="3"/>
  <c r="T41" i="2"/>
  <c r="C4" i="3"/>
  <c r="Z23" i="2"/>
  <c r="Z39" i="2"/>
  <c r="H7" i="3"/>
  <c r="H12" i="3" s="1"/>
  <c r="K36" i="4"/>
  <c r="K56" i="4" s="1"/>
  <c r="K31" i="4"/>
  <c r="K25" i="4"/>
  <c r="M50" i="4"/>
  <c r="N19" i="4" a="1"/>
  <c r="N19" i="4" s="1"/>
  <c r="N18" i="4" s="1"/>
  <c r="N22" i="4"/>
  <c r="N20" i="4"/>
  <c r="M24" i="4"/>
  <c r="M30" i="4" s="1"/>
  <c r="M36" i="4" s="1"/>
  <c r="M38" i="4"/>
  <c r="M44" i="4"/>
  <c r="AC16" i="2"/>
  <c r="AB19" i="2"/>
  <c r="AC15" i="2"/>
  <c r="X28" i="2"/>
  <c r="H35" i="3" s="1"/>
  <c r="X42" i="2"/>
  <c r="AC18" i="2"/>
  <c r="F26" i="2"/>
  <c r="F40" i="2"/>
  <c r="AC17" i="2"/>
  <c r="F11" i="3"/>
  <c r="F7" i="3"/>
  <c r="W30" i="2"/>
  <c r="F9" i="3"/>
  <c r="F34" i="3"/>
  <c r="F4" i="3"/>
  <c r="W41" i="2"/>
  <c r="W84" i="2"/>
  <c r="W103" i="2" s="1"/>
  <c r="W119" i="2" s="1"/>
  <c r="E11" i="3"/>
  <c r="E7" i="3"/>
  <c r="E12" i="3" l="1"/>
  <c r="Z26" i="2"/>
  <c r="Z40" i="2"/>
  <c r="M56" i="4"/>
  <c r="M58" i="4" s="1"/>
  <c r="N50" i="4"/>
  <c r="N24" i="4"/>
  <c r="N30" i="4" s="1"/>
  <c r="N36" i="4" s="1"/>
  <c r="N38" i="4"/>
  <c r="N44" i="4"/>
  <c r="AD15" i="2"/>
  <c r="F28" i="2"/>
  <c r="F30" i="2" s="1"/>
  <c r="F42" i="2"/>
  <c r="AB38" i="2"/>
  <c r="O21" i="4" s="1"/>
  <c r="G11" i="3"/>
  <c r="K11" i="3" s="1"/>
  <c r="G7" i="3"/>
  <c r="K7" i="3" s="1"/>
  <c r="AD16" i="2"/>
  <c r="AD18" i="2"/>
  <c r="AC19" i="2"/>
  <c r="AC38" i="2" s="1"/>
  <c r="P21" i="4" s="1"/>
  <c r="AD17" i="2"/>
  <c r="G34" i="3"/>
  <c r="G35" i="3" s="1"/>
  <c r="G9" i="3"/>
  <c r="G10" i="3" s="1"/>
  <c r="X41" i="2"/>
  <c r="X30" i="2"/>
  <c r="G4" i="3"/>
  <c r="K4" i="3" s="1"/>
  <c r="X84" i="2"/>
  <c r="X103" i="2" s="1"/>
  <c r="X119" i="2" s="1"/>
  <c r="X120" i="2" s="1"/>
  <c r="W121" i="2" s="1"/>
  <c r="W120" i="2" s="1"/>
  <c r="V121" i="2" s="1"/>
  <c r="V120" i="2" s="1"/>
  <c r="U121" i="2" s="1"/>
  <c r="U120" i="2" s="1"/>
  <c r="T121" i="2" s="1"/>
  <c r="T120" i="2" s="1"/>
  <c r="F35" i="3"/>
  <c r="F10" i="3"/>
  <c r="F12" i="3"/>
  <c r="Z28" i="2" l="1"/>
  <c r="Z84" i="2" s="1"/>
  <c r="Z103" i="2" s="1"/>
  <c r="Z119" i="2" s="1"/>
  <c r="Z42" i="2"/>
  <c r="P20" i="4"/>
  <c r="P22" i="4"/>
  <c r="P19" i="4" a="1"/>
  <c r="P19" i="4" s="1"/>
  <c r="N56" i="4"/>
  <c r="N58" i="4" s="1"/>
  <c r="O20" i="4"/>
  <c r="O22" i="4"/>
  <c r="O19" i="4" a="1"/>
  <c r="O19" i="4" s="1"/>
  <c r="O18" i="4" s="1"/>
  <c r="K9" i="3"/>
  <c r="F41" i="2"/>
  <c r="AD19" i="2"/>
  <c r="AD38" i="2" s="1"/>
  <c r="Q21" i="4" s="1"/>
  <c r="K35" i="3"/>
  <c r="G12" i="3"/>
  <c r="K12" i="3" s="1"/>
  <c r="AE15" i="2"/>
  <c r="K34" i="3"/>
  <c r="AE16" i="2"/>
  <c r="AE17" i="2"/>
  <c r="K10" i="3"/>
  <c r="AE18" i="2"/>
  <c r="Z30" i="2" l="1"/>
  <c r="Z41" i="2"/>
  <c r="Q22" i="4"/>
  <c r="Q20" i="4"/>
  <c r="Q19" i="4" a="1"/>
  <c r="Q19" i="4" s="1"/>
  <c r="O50" i="4"/>
  <c r="O24" i="4"/>
  <c r="O30" i="4" s="1"/>
  <c r="O36" i="4" s="1"/>
  <c r="P18" i="4"/>
  <c r="O44" i="4"/>
  <c r="O38" i="4"/>
  <c r="AF15" i="2"/>
  <c r="AF16" i="2"/>
  <c r="AF17" i="2"/>
  <c r="AE19" i="2"/>
  <c r="AE38" i="2" s="1"/>
  <c r="R21" i="4" s="1"/>
  <c r="AF18" i="2"/>
  <c r="O56" i="4" l="1"/>
  <c r="O58" i="4" s="1"/>
  <c r="P38" i="4"/>
  <c r="P50" i="4"/>
  <c r="P44" i="4"/>
  <c r="Q18" i="4"/>
  <c r="P24" i="4"/>
  <c r="P30" i="4" s="1"/>
  <c r="P36" i="4" s="1"/>
  <c r="R20" i="4"/>
  <c r="R22" i="4"/>
  <c r="R19" i="4" a="1"/>
  <c r="R19" i="4" s="1"/>
  <c r="AG17" i="2"/>
  <c r="AF19" i="2"/>
  <c r="AF38" i="2" s="1"/>
  <c r="S21" i="4" s="1"/>
  <c r="AG16" i="2"/>
  <c r="AG18" i="2"/>
  <c r="AG15" i="2"/>
  <c r="P56" i="4" l="1"/>
  <c r="P58" i="4" s="1"/>
  <c r="Q24" i="4"/>
  <c r="Q30" i="4" s="1"/>
  <c r="Q36" i="4" s="1"/>
  <c r="Q50" i="4"/>
  <c r="R18" i="4"/>
  <c r="Q44" i="4"/>
  <c r="Q38" i="4"/>
  <c r="S19" i="4" a="1"/>
  <c r="S19" i="4" s="1"/>
  <c r="S22" i="4"/>
  <c r="S20" i="4"/>
  <c r="AH16" i="2"/>
  <c r="AH18" i="2"/>
  <c r="AG19" i="2"/>
  <c r="AG38" i="2" s="1"/>
  <c r="T21" i="4" s="1"/>
  <c r="AH17" i="2"/>
  <c r="S18" i="4" l="1"/>
  <c r="R50" i="4"/>
  <c r="R24" i="4"/>
  <c r="R30" i="4" s="1"/>
  <c r="R36" i="4" s="1"/>
  <c r="R44" i="4"/>
  <c r="R38" i="4"/>
  <c r="T22" i="4"/>
  <c r="T19" i="4" a="1"/>
  <c r="T19" i="4" s="1"/>
  <c r="T20" i="4"/>
  <c r="Q56" i="4"/>
  <c r="Q58" i="4" s="1"/>
  <c r="AH19" i="2"/>
  <c r="AH38" i="2" l="1"/>
  <c r="U21" i="4" s="1"/>
  <c r="AI38" i="2"/>
  <c r="V21" i="4" s="1"/>
  <c r="U22" i="4"/>
  <c r="U19" i="4" a="1"/>
  <c r="U19" i="4" s="1"/>
  <c r="U20" i="4"/>
  <c r="R56" i="4"/>
  <c r="R58" i="4" s="1"/>
  <c r="S50" i="4"/>
  <c r="S24" i="4"/>
  <c r="S30" i="4" s="1"/>
  <c r="S36" i="4" s="1"/>
  <c r="T18" i="4"/>
  <c r="S38" i="4"/>
  <c r="S44" i="4"/>
  <c r="V20" i="4" l="1"/>
  <c r="V19" i="4" a="1"/>
  <c r="V19" i="4" s="1"/>
  <c r="V22" i="4"/>
  <c r="T50" i="4"/>
  <c r="U18" i="4"/>
  <c r="T24" i="4"/>
  <c r="T30" i="4" s="1"/>
  <c r="T36" i="4" s="1"/>
  <c r="T38" i="4"/>
  <c r="T44" i="4"/>
  <c r="S56" i="4"/>
  <c r="S58" i="4" s="1"/>
  <c r="T56" i="4" l="1"/>
  <c r="T58" i="4" s="1"/>
  <c r="V18" i="4"/>
  <c r="U44" i="4"/>
  <c r="U24" i="4"/>
  <c r="U30" i="4" s="1"/>
  <c r="U36" i="4" s="1"/>
  <c r="U38" i="4"/>
  <c r="U50" i="4"/>
  <c r="U56" i="4" l="1"/>
  <c r="U58" i="4" s="1"/>
  <c r="V44" i="4"/>
  <c r="V50" i="4"/>
  <c r="V24" i="4"/>
  <c r="V38" i="4"/>
  <c r="V30" i="4" l="1"/>
  <c r="V36" i="4" s="1"/>
  <c r="V56" i="4" s="1"/>
  <c r="V60" i="4" s="1"/>
  <c r="V61" i="4" s="1"/>
  <c r="V58" i="4" l="1"/>
  <c r="V59" i="4" s="1"/>
  <c r="V62" i="4" s="1"/>
  <c r="V65" i="4" s="1"/>
  <c r="V67" i="4" l="1"/>
  <c r="H10" i="4" l="1"/>
  <c r="H11" i="4" s="1"/>
  <c r="C7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Y2" authorId="0" shapeId="0" xr:uid="{E3372F46-9400-431E-8995-87FE3C42891E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53 Weeks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<sst xmlns="http://schemas.openxmlformats.org/spreadsheetml/2006/main" count="366" uniqueCount="254">
  <si>
    <t>TJX Companies</t>
  </si>
  <si>
    <t>Price</t>
  </si>
  <si>
    <t>MC</t>
  </si>
  <si>
    <t>Cash</t>
  </si>
  <si>
    <t>Debt</t>
  </si>
  <si>
    <t>EV</t>
  </si>
  <si>
    <t>Q124</t>
  </si>
  <si>
    <t>Main</t>
  </si>
  <si>
    <t>Income Statement</t>
  </si>
  <si>
    <t>x</t>
  </si>
  <si>
    <t>Q224</t>
  </si>
  <si>
    <t>Q324</t>
  </si>
  <si>
    <t>Q424</t>
  </si>
  <si>
    <t>FY19</t>
  </si>
  <si>
    <t>FY20</t>
  </si>
  <si>
    <t>FY21</t>
  </si>
  <si>
    <t>FY22</t>
  </si>
  <si>
    <t>FY23</t>
  </si>
  <si>
    <t>FY24</t>
  </si>
  <si>
    <t>Revenue</t>
  </si>
  <si>
    <t>COGS</t>
  </si>
  <si>
    <t>Gross Profit</t>
  </si>
  <si>
    <t>SGA</t>
  </si>
  <si>
    <t>Operating Profit</t>
  </si>
  <si>
    <t>Income before Taxes</t>
  </si>
  <si>
    <t>Income Tax Expense</t>
  </si>
  <si>
    <t>Net Income</t>
  </si>
  <si>
    <t>Shares</t>
  </si>
  <si>
    <t>EPS</t>
  </si>
  <si>
    <t>Metrics</t>
  </si>
  <si>
    <t>Revenue Groth</t>
  </si>
  <si>
    <t>Gross Margin</t>
  </si>
  <si>
    <t>Operating Margin</t>
  </si>
  <si>
    <t>Net Margin</t>
  </si>
  <si>
    <t>Tax Rate</t>
  </si>
  <si>
    <t>Other Income</t>
  </si>
  <si>
    <t>Business Model</t>
  </si>
  <si>
    <t>Balance Sheet</t>
  </si>
  <si>
    <t>Cash and Cash Equivalents</t>
  </si>
  <si>
    <t>Accounts Receivables</t>
  </si>
  <si>
    <t>Merchandise Inventories</t>
  </si>
  <si>
    <t>Prepaid Expenses and other</t>
  </si>
  <si>
    <t>Tax Receivables</t>
  </si>
  <si>
    <t>Current Assets</t>
  </si>
  <si>
    <t>Total Assets</t>
  </si>
  <si>
    <t>PP&amp;E at Cost</t>
  </si>
  <si>
    <t>Deffered Income Tax</t>
  </si>
  <si>
    <t>Operating Lease Right of Use</t>
  </si>
  <si>
    <t>Goodwill</t>
  </si>
  <si>
    <t>Other Assets</t>
  </si>
  <si>
    <t>Non-Current Assets</t>
  </si>
  <si>
    <t>Accounts Payable</t>
  </si>
  <si>
    <t>Accrued Expenses and other</t>
  </si>
  <si>
    <t>Current Lease Debt</t>
  </si>
  <si>
    <t>Current Debt</t>
  </si>
  <si>
    <t>Tax Payable</t>
  </si>
  <si>
    <t>Current Liabilities</t>
  </si>
  <si>
    <t>Other Long-Term Liabilities</t>
  </si>
  <si>
    <t>Long-Term Lease Debt</t>
  </si>
  <si>
    <t>Long-Term Debt</t>
  </si>
  <si>
    <t>Total Liabilties</t>
  </si>
  <si>
    <t>Preffered Stock</t>
  </si>
  <si>
    <t>Common Stock</t>
  </si>
  <si>
    <t>Paid in Capital</t>
  </si>
  <si>
    <t>Comprehensive Income</t>
  </si>
  <si>
    <t xml:space="preserve">Retained Earnings </t>
  </si>
  <si>
    <t xml:space="preserve">Total Equity </t>
  </si>
  <si>
    <t>Equity &amp; Liabilties</t>
  </si>
  <si>
    <t>Cashflow Statement</t>
  </si>
  <si>
    <t>Change in WC</t>
  </si>
  <si>
    <t>Total</t>
  </si>
  <si>
    <t>D&amp;A</t>
  </si>
  <si>
    <t>Impairment on Equity Investments</t>
  </si>
  <si>
    <t>Early Extinguisment on Debt</t>
  </si>
  <si>
    <t>Property Disposal and impairment</t>
  </si>
  <si>
    <t>Deffered Tax Provision</t>
  </si>
  <si>
    <t>Shared based compensation</t>
  </si>
  <si>
    <t>Change in Accounts Receivables</t>
  </si>
  <si>
    <t>Change in Inventory</t>
  </si>
  <si>
    <t>Change in Tax Receivables</t>
  </si>
  <si>
    <t>Change in Prepaid Expenses</t>
  </si>
  <si>
    <t>Change in Accounts Payables</t>
  </si>
  <si>
    <t>Change in Accrued Expenses</t>
  </si>
  <si>
    <t>Change in Tax Payables</t>
  </si>
  <si>
    <t>Change in Net Operating Liabilities</t>
  </si>
  <si>
    <t>Other</t>
  </si>
  <si>
    <t>CFFO</t>
  </si>
  <si>
    <t>CapEx</t>
  </si>
  <si>
    <t>Purchase of Investments</t>
  </si>
  <si>
    <t>Sales and maturities Investments</t>
  </si>
  <si>
    <t>CFFI</t>
  </si>
  <si>
    <t>Common Stock Buyback</t>
  </si>
  <si>
    <t>Issuance of Common Stock</t>
  </si>
  <si>
    <t>Dividnends Paid</t>
  </si>
  <si>
    <t>Repayment of Debt</t>
  </si>
  <si>
    <t>CFFF</t>
  </si>
  <si>
    <t>Exhange Rate</t>
  </si>
  <si>
    <t>Change in Cash</t>
  </si>
  <si>
    <t>Cash and Cash Equivalents BOP</t>
  </si>
  <si>
    <t>Cash and Cash Equivalents EOP</t>
  </si>
  <si>
    <t>Pesnsion Settlment Charge</t>
  </si>
  <si>
    <t>FY25</t>
  </si>
  <si>
    <t>Q125</t>
  </si>
  <si>
    <t>Q225</t>
  </si>
  <si>
    <t>Q325</t>
  </si>
  <si>
    <t>Q425</t>
  </si>
  <si>
    <t>Payments on Revolving Credit Facility</t>
  </si>
  <si>
    <t>Issuance of Long-Term Debt</t>
  </si>
  <si>
    <t>Payments for Debt Issuance Expenses</t>
  </si>
  <si>
    <t>Segment</t>
  </si>
  <si>
    <t>Products</t>
  </si>
  <si>
    <t>Competiton</t>
  </si>
  <si>
    <t>MarMaxx</t>
  </si>
  <si>
    <t>HomeGoods</t>
  </si>
  <si>
    <t>TJX Canada</t>
  </si>
  <si>
    <t>TJX International</t>
  </si>
  <si>
    <t>Stores</t>
  </si>
  <si>
    <t>Sierra</t>
  </si>
  <si>
    <t>Off Price retailer -&gt; outdoor appereal etc.</t>
  </si>
  <si>
    <t>Off Price Retailer -&gt; Home Fashions</t>
  </si>
  <si>
    <t>incl. In MarMaxx</t>
  </si>
  <si>
    <t>Winners, Home Sense, Marshalls in Canada</t>
  </si>
  <si>
    <t>TJ Maxx, Marshalls Chains -&gt;off price retailer</t>
  </si>
  <si>
    <t>TK Maxx, Homesense in Europe and Australia</t>
  </si>
  <si>
    <t>MarMaxx Number of Stores</t>
  </si>
  <si>
    <t>HomeGoods Number of Stores</t>
  </si>
  <si>
    <t>TJX Canada Number of Stores</t>
  </si>
  <si>
    <t>TJX International Number of Stores</t>
  </si>
  <si>
    <t>MarMaxx Revenue</t>
  </si>
  <si>
    <t>HomeGoods Revenue</t>
  </si>
  <si>
    <t>TJX Canada Revenue</t>
  </si>
  <si>
    <t>TJX International Revenue</t>
  </si>
  <si>
    <t>MarMaxx Revenue per Store</t>
  </si>
  <si>
    <t>HomeGoods Revenue per Store</t>
  </si>
  <si>
    <t>TJX Canada Revenue per Store</t>
  </si>
  <si>
    <t>TJX International Revenue per Store</t>
  </si>
  <si>
    <t>Clothing and Footwear</t>
  </si>
  <si>
    <t>Accessoires incl. Jewelery</t>
  </si>
  <si>
    <t>Home Fashion</t>
  </si>
  <si>
    <t>USA</t>
  </si>
  <si>
    <t>Canada</t>
  </si>
  <si>
    <t>Europe</t>
  </si>
  <si>
    <t>Australia</t>
  </si>
  <si>
    <t>MarMaxx Store Growth</t>
  </si>
  <si>
    <t>HomeGoods Store Growth</t>
  </si>
  <si>
    <t>TJX Canada Store Growth</t>
  </si>
  <si>
    <t>TJX International Store Growth</t>
  </si>
  <si>
    <t>Ratios</t>
  </si>
  <si>
    <t>Average</t>
  </si>
  <si>
    <t>Efficiency</t>
  </si>
  <si>
    <t>ROE</t>
  </si>
  <si>
    <t>ROA</t>
  </si>
  <si>
    <t>ROCE</t>
  </si>
  <si>
    <t>ROIC</t>
  </si>
  <si>
    <t>Retention Rate</t>
  </si>
  <si>
    <t>Reinvestment Rate</t>
  </si>
  <si>
    <t>Financial Stability</t>
  </si>
  <si>
    <t>Gearing</t>
  </si>
  <si>
    <t>Net Debt/EBITDA</t>
  </si>
  <si>
    <t>Interest Coverage</t>
  </si>
  <si>
    <t>WC Management</t>
  </si>
  <si>
    <t>Creditors</t>
  </si>
  <si>
    <t>Debitors</t>
  </si>
  <si>
    <t>Inventority Intensity</t>
  </si>
  <si>
    <t>Inventority Turnover</t>
  </si>
  <si>
    <t>Storage Duration</t>
  </si>
  <si>
    <t>Cash Conversion Cycle</t>
  </si>
  <si>
    <t>Multiples</t>
  </si>
  <si>
    <t>Net Debt</t>
  </si>
  <si>
    <t>Equity Multiples</t>
  </si>
  <si>
    <t>P/E</t>
  </si>
  <si>
    <t>P/B</t>
  </si>
  <si>
    <t>Entity Multiples</t>
  </si>
  <si>
    <t>EV/Sales</t>
  </si>
  <si>
    <t>EV/EBITDA</t>
  </si>
  <si>
    <t>EV/EBIT</t>
  </si>
  <si>
    <t>WACC</t>
  </si>
  <si>
    <t>Riskfree Rate</t>
  </si>
  <si>
    <t>Country Default Risk</t>
  </si>
  <si>
    <t>Default Spread</t>
  </si>
  <si>
    <t>Cost of Debt</t>
  </si>
  <si>
    <t xml:space="preserve">Beta </t>
  </si>
  <si>
    <t>Equity Riskpremium</t>
  </si>
  <si>
    <t>Cost of Equity</t>
  </si>
  <si>
    <t>% of Equity</t>
  </si>
  <si>
    <t>% of Debt</t>
  </si>
  <si>
    <t>Expected Growth NI</t>
  </si>
  <si>
    <t>Expected Growth OI</t>
  </si>
  <si>
    <t>PEG-Ratio</t>
  </si>
  <si>
    <t>FY26</t>
  </si>
  <si>
    <t>FY27</t>
  </si>
  <si>
    <t>FY29</t>
  </si>
  <si>
    <t>FY28</t>
  </si>
  <si>
    <t>FY30</t>
  </si>
  <si>
    <t>FY31</t>
  </si>
  <si>
    <t>FY32</t>
  </si>
  <si>
    <t>FY33</t>
  </si>
  <si>
    <t>Switches</t>
  </si>
  <si>
    <t>Assumptions</t>
  </si>
  <si>
    <t xml:space="preserve">Conservative Case </t>
  </si>
  <si>
    <t xml:space="preserve">Base Case </t>
  </si>
  <si>
    <t>Optimistic Case</t>
  </si>
  <si>
    <t>EBIT</t>
  </si>
  <si>
    <t>CapEX</t>
  </si>
  <si>
    <t>Taxes</t>
  </si>
  <si>
    <t>WC</t>
  </si>
  <si>
    <t>TGR</t>
  </si>
  <si>
    <t>Share Price</t>
  </si>
  <si>
    <t>Fair Share Price</t>
  </si>
  <si>
    <t>Implied Upside</t>
  </si>
  <si>
    <t>h</t>
  </si>
  <si>
    <t>p</t>
  </si>
  <si>
    <t>Model</t>
  </si>
  <si>
    <t xml:space="preserve">Revenue </t>
  </si>
  <si>
    <t>Growth (%)</t>
  </si>
  <si>
    <t>Conservative Case</t>
  </si>
  <si>
    <t>Optimisitic Case</t>
  </si>
  <si>
    <t>% of Sales</t>
  </si>
  <si>
    <t>Tax Rate (%)</t>
  </si>
  <si>
    <t>Nopat</t>
  </si>
  <si>
    <t>Free Cashflow</t>
  </si>
  <si>
    <t>Discount Period</t>
  </si>
  <si>
    <t>Present Value of FC</t>
  </si>
  <si>
    <t>Sum of Present Value</t>
  </si>
  <si>
    <t>Terminal Value</t>
  </si>
  <si>
    <t>Present Value of TV</t>
  </si>
  <si>
    <t>Enterprise Value</t>
  </si>
  <si>
    <t>(+) Cash</t>
  </si>
  <si>
    <t>(-) Debt</t>
  </si>
  <si>
    <t>Equity Value</t>
  </si>
  <si>
    <t xml:space="preserve">Number of Shares </t>
  </si>
  <si>
    <t>Segments</t>
  </si>
  <si>
    <t>% of Revenue</t>
  </si>
  <si>
    <t>Sensitivity Analysis</t>
  </si>
  <si>
    <t>FY34</t>
  </si>
  <si>
    <t xml:space="preserve">Notes </t>
  </si>
  <si>
    <t>In Q225 360 Mio USD Investment in Brands for Less (Discount in Saudi-Arabia)</t>
  </si>
  <si>
    <t>TJX</t>
  </si>
  <si>
    <t>numbers in mio USD</t>
  </si>
  <si>
    <t>Interest Expense</t>
  </si>
  <si>
    <t>Q126</t>
  </si>
  <si>
    <t>Q226</t>
  </si>
  <si>
    <t>Q326</t>
  </si>
  <si>
    <t>Q426</t>
  </si>
  <si>
    <t>TJX Total Stores</t>
  </si>
  <si>
    <t>Q127</t>
  </si>
  <si>
    <t>Q227</t>
  </si>
  <si>
    <t>Q327</t>
  </si>
  <si>
    <t>Q427</t>
  </si>
  <si>
    <t>IR</t>
  </si>
  <si>
    <t>Sum</t>
  </si>
  <si>
    <t>Running Total</t>
  </si>
  <si>
    <t>Count</t>
  </si>
  <si>
    <t>Non-Current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</si>
</sst>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;[Red]#,##0.0"/>
    <numFmt numFmtId="165" formatCode="#,##0;\(#,##0\)"/>
    <numFmt numFmtId="166" formatCode="#,##0.0;\(#,##0.0\)"/>
    <numFmt numFmtId="167" formatCode="#,##0.0_ ;\-#,##0.0\ "/>
    <numFmt numFmtId="168" formatCode="0.0"/>
    <numFmt numFmtId="169" formatCode="0.0%"/>
    <numFmt numFmtId="170" formatCode="#,##0;[Red]#,##0"/>
    <numFmt numFmtId="171" formatCode="#,##0.00;\(#,##0.00\)"/>
  </numFmts>
  <fonts count="1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0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1E9D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69">
    <xf numFmtId="0" fontId="0" fillId="0" borderId="0" xfId="0"/>
    <xf numFmtId="0" fontId="9" fillId="0" borderId="0" xfId="0" applyFont="1"/>
    <xf numFmtId="0" fontId="3" fillId="0" borderId="0" xfId="0" applyFont="1"/>
    <xf numFmtId="165" fontId="3" fillId="0" borderId="0" xfId="0" applyNumberFormat="1" applyFont="1"/>
    <xf numFmtId="0" fontId="3" fillId="0" borderId="0" xfId="0" applyFont="1" applyAlignment="1">
      <alignment horizontal="right"/>
    </xf>
    <xf numFmtId="0" fontId="10" fillId="0" borderId="0" xfId="1" applyFont="1"/>
    <xf numFmtId="170" fontId="3" fillId="0" borderId="0" xfId="0" applyNumberFormat="1" applyFont="1"/>
    <xf numFmtId="0" fontId="11" fillId="0" borderId="1" xfId="0" applyFont="1" applyBorder="1"/>
    <xf numFmtId="0" fontId="11" fillId="0" borderId="2" xfId="0" applyFont="1" applyBorder="1"/>
    <xf numFmtId="0" fontId="11" fillId="0" borderId="3" xfId="0" applyFont="1" applyBorder="1"/>
    <xf numFmtId="0" fontId="3" fillId="0" borderId="4" xfId="0" applyFont="1" applyBorder="1"/>
    <xf numFmtId="0" fontId="3" fillId="0" borderId="5" xfId="0" applyFont="1" applyBorder="1"/>
    <xf numFmtId="170" fontId="3" fillId="0" borderId="5" xfId="0" applyNumberFormat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170" fontId="3" fillId="0" borderId="10" xfId="0" applyNumberFormat="1" applyFont="1" applyBorder="1"/>
    <xf numFmtId="0" fontId="3" fillId="0" borderId="11" xfId="0" applyFont="1" applyBorder="1"/>
    <xf numFmtId="0" fontId="3" fillId="0" borderId="1" xfId="0" applyFont="1" applyBorder="1"/>
    <xf numFmtId="0" fontId="3" fillId="0" borderId="3" xfId="0" applyFont="1" applyBorder="1"/>
    <xf numFmtId="0" fontId="11" fillId="0" borderId="0" xfId="0" applyFont="1"/>
    <xf numFmtId="0" fontId="3" fillId="0" borderId="0" xfId="0" applyFont="1" applyAlignment="1">
      <alignment horizontal="center"/>
    </xf>
    <xf numFmtId="166" fontId="3" fillId="0" borderId="0" xfId="0" applyNumberFormat="1" applyFont="1"/>
    <xf numFmtId="165" fontId="9" fillId="0" borderId="0" xfId="0" applyNumberFormat="1" applyFont="1"/>
    <xf numFmtId="171" fontId="3" fillId="0" borderId="0" xfId="0" applyNumberFormat="1" applyFont="1"/>
    <xf numFmtId="9" fontId="3" fillId="0" borderId="0" xfId="2" applyFont="1"/>
    <xf numFmtId="9" fontId="9" fillId="0" borderId="0" xfId="2" applyFont="1"/>
    <xf numFmtId="166" fontId="9" fillId="0" borderId="0" xfId="0" applyNumberFormat="1" applyFont="1"/>
    <xf numFmtId="0" fontId="12" fillId="0" borderId="0" xfId="0" applyFont="1"/>
    <xf numFmtId="9" fontId="3" fillId="0" borderId="0" xfId="0" applyNumberFormat="1" applyFont="1"/>
    <xf numFmtId="2" fontId="3" fillId="0" borderId="0" xfId="0" applyNumberFormat="1" applyFont="1"/>
    <xf numFmtId="168" fontId="3" fillId="0" borderId="0" xfId="0" applyNumberFormat="1" applyFont="1"/>
    <xf numFmtId="167" fontId="3" fillId="0" borderId="0" xfId="0" applyNumberFormat="1" applyFont="1"/>
    <xf numFmtId="10" fontId="3" fillId="0" borderId="0" xfId="0" applyNumberFormat="1" applyFont="1"/>
    <xf numFmtId="10" fontId="9" fillId="0" borderId="0" xfId="0" applyNumberFormat="1" applyFont="1"/>
    <xf numFmtId="0" fontId="9" fillId="0" borderId="0" xfId="0" applyFont="1" applyAlignment="1">
      <alignment horizontal="center"/>
    </xf>
    <xf numFmtId="0" fontId="8" fillId="2" borderId="0" xfId="0" applyFont="1" applyFill="1"/>
    <xf numFmtId="0" fontId="3" fillId="3" borderId="12" xfId="0" applyFont="1" applyFill="1" applyBorder="1"/>
    <xf numFmtId="10" fontId="3" fillId="3" borderId="12" xfId="0" applyNumberFormat="1" applyFont="1" applyFill="1" applyBorder="1"/>
    <xf numFmtId="10" fontId="3" fillId="3" borderId="12" xfId="0" applyNumberFormat="1" applyFont="1" applyFill="1" applyBorder="1" applyAlignment="1">
      <alignment horizontal="right"/>
    </xf>
    <xf numFmtId="169" fontId="3" fillId="3" borderId="12" xfId="2" applyNumberFormat="1" applyFont="1" applyFill="1" applyBorder="1"/>
    <xf numFmtId="2" fontId="3" fillId="3" borderId="12" xfId="0" applyNumberFormat="1" applyFont="1" applyFill="1" applyBorder="1"/>
    <xf numFmtId="9" fontId="3" fillId="3" borderId="12" xfId="2" applyFont="1" applyFill="1" applyBorder="1"/>
    <xf numFmtId="0" fontId="3" fillId="4" borderId="0" xfId="0" applyFont="1" applyFill="1"/>
    <xf numFmtId="0" fontId="8" fillId="5" borderId="0" xfId="0" applyFont="1" applyFill="1"/>
    <xf numFmtId="164" fontId="3" fillId="0" borderId="0" xfId="0" applyNumberFormat="1" applyFont="1"/>
    <xf numFmtId="0" fontId="13" fillId="0" borderId="0" xfId="0" applyFont="1"/>
    <xf numFmtId="169" fontId="3" fillId="3" borderId="12" xfId="0" applyNumberFormat="1" applyFont="1" applyFill="1" applyBorder="1"/>
    <xf numFmtId="0" fontId="9" fillId="0" borderId="1" xfId="0" applyFont="1" applyBorder="1"/>
    <xf numFmtId="0" fontId="3" fillId="0" borderId="2" xfId="0" applyFon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169" fontId="3" fillId="0" borderId="0" xfId="2" applyNumberFormat="1" applyFont="1"/>
    <xf numFmtId="169" fontId="3" fillId="0" borderId="0" xfId="0" applyNumberFormat="1" applyFont="1"/>
    <xf numFmtId="0" fontId="8" fillId="6" borderId="0" xfId="0" applyFont="1" applyFill="1"/>
    <xf numFmtId="164" fontId="8" fillId="6" borderId="0" xfId="0" applyNumberFormat="1" applyFont="1" applyFill="1"/>
    <xf numFmtId="164" fontId="3" fillId="0" borderId="10" xfId="0" applyNumberFormat="1" applyFont="1" applyBorder="1"/>
    <xf numFmtId="2" fontId="14" fillId="6" borderId="0" xfId="0" applyNumberFormat="1" applyFont="1" applyFill="1"/>
    <xf numFmtId="10" fontId="8" fillId="6" borderId="0" xfId="0" applyNumberFormat="1" applyFont="1" applyFill="1"/>
    <xf numFmtId="169" fontId="8" fillId="6" borderId="0" xfId="0" applyNumberFormat="1" applyFont="1" applyFill="1"/>
    <xf numFmtId="0" fontId="2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textRotation="45"/>
    </xf>
    <xf numFmtId="9" fontId="1" fillId="0" borderId="0" xfId="2" applyFont="1"/>
    <xf numFmtId="0" fontId="1" fillId="0" borderId="0" xfId="0" applyFont="1"/>
    <xf numFmtId="165" fontId="1" fillId="0" borderId="0" xfId="0" applyNumberFormat="1" applyFont="1"/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606425</xdr:colOff>
      <xdr:row>0</xdr:row>
      <xdr:rowOff>95250</xdr:rowOff>
    </xdr:from>
    <xdr:to>
      <xdr:col>27</xdr:col>
      <xdr:colOff>15875</xdr:colOff>
      <xdr:row>43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899CAE0-6BFA-1714-C940-DEF455F64D81}"/>
            </a:ext>
          </a:extLst>
        </xdr:cNvPr>
        <xdr:cNvCxnSpPr/>
      </xdr:nvCxnSpPr>
      <xdr:spPr>
        <a:xfrm>
          <a:off x="15265400" y="95250"/>
          <a:ext cx="19050" cy="69437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nvestor.tjx.com/" TargetMode="External"/><Relationship Id="rId1" Type="http://schemas.openxmlformats.org/officeDocument/2006/relationships/hyperlink" Target="https://www.sec.gov/edgar/browse/?CIK=109198&amp;owner=exclud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DD2F-A8C9-4FF1-AACF-D244E2D69EDE}">
  <dimension ref="A1:J27"/>
  <sheetViews>
    <sheetView topLeftCell="D1" zoomScale="200" zoomScaleNormal="200" workbookViewId="0">
      <selection activeCell="I8" sqref="I8"/>
    </sheetView>
  </sheetViews>
  <sheetFormatPr defaultRowHeight="12.75" x14ac:dyDescent="0.2"/>
  <cols>
    <col min="1" max="1" width="4.140625" style="2" customWidth="1"/>
    <col min="2" max="2" width="15.7109375" style="2" customWidth="1"/>
    <col min="3" max="3" width="36.85546875" style="2" bestFit="1" customWidth="1"/>
    <col min="4" max="4" width="13.7109375" style="2" bestFit="1" customWidth="1"/>
    <col min="5" max="5" width="18.7109375" style="2" customWidth="1"/>
    <col min="6" max="10" width="9.140625" style="2"/>
    <col min="11" max="11" width="8.85546875" style="2" bestFit="1" customWidth="1"/>
    <col min="12" max="16384" width="9.140625" style="2"/>
  </cols>
  <sheetData>
    <row r="1" spans="1:10" x14ac:dyDescent="0.2">
      <c r="A1" s="1" t="s">
        <v>0</v>
      </c>
    </row>
    <row r="2" spans="1:10" x14ac:dyDescent="0.2">
      <c r="A2" s="2" t="s">
        <v>238</v>
      </c>
    </row>
    <row r="3" spans="1:10" x14ac:dyDescent="0.2">
      <c r="H3" s="2" t="s">
        <v>1</v>
      </c>
      <c r="I3" s="2">
        <v>141.19</v>
      </c>
    </row>
    <row r="4" spans="1:10" x14ac:dyDescent="0.2">
      <c r="B4" s="2" t="s">
        <v>237</v>
      </c>
      <c r="H4" s="2" t="s">
        <v>27</v>
      </c>
      <c r="I4" s="3">
        <v>1117</v>
      </c>
      <c r="J4" s="68" t="s">
        <v>246</v>
      </c>
    </row>
    <row r="5" spans="1:10" x14ac:dyDescent="0.2">
      <c r="B5" s="5" t="s">
        <v>249</v>
      </c>
      <c r="H5" s="2" t="s">
        <v>2</v>
      </c>
      <c r="I5" s="6">
        <f>I4*I3</f>
        <v>157709.23000000001</v>
      </c>
      <c r="J5" s="4"/>
    </row>
    <row r="6" spans="1:10" x14ac:dyDescent="0.2">
      <c r="H6" s="2" t="s">
        <v>3</v>
      </c>
      <c r="I6" s="6">
        <v>6004</v>
      </c>
      <c r="J6" s="68" t="s">
        <v>246</v>
      </c>
    </row>
    <row r="7" spans="1:10" x14ac:dyDescent="0.2">
      <c r="B7" s="1" t="s">
        <v>36</v>
      </c>
      <c r="H7" s="2" t="s">
        <v>4</v>
      </c>
      <c r="I7" s="6">
        <f>1000+1871</f>
        <v>2871</v>
      </c>
      <c r="J7" s="68" t="s">
        <v>246</v>
      </c>
    </row>
    <row r="8" spans="1:10" x14ac:dyDescent="0.2">
      <c r="B8" s="7" t="s">
        <v>109</v>
      </c>
      <c r="C8" s="8" t="s">
        <v>110</v>
      </c>
      <c r="D8" s="8" t="s">
        <v>116</v>
      </c>
      <c r="E8" s="9" t="s">
        <v>111</v>
      </c>
      <c r="H8" s="2" t="s">
        <v>5</v>
      </c>
      <c r="I8" s="6">
        <f>I5-I6+I7</f>
        <v>154576.23000000001</v>
      </c>
    </row>
    <row r="9" spans="1:10" x14ac:dyDescent="0.2">
      <c r="B9" s="10" t="s">
        <v>112</v>
      </c>
      <c r="C9" s="11" t="s">
        <v>122</v>
      </c>
      <c r="D9" s="12">
        <v>2516</v>
      </c>
      <c r="E9" s="13"/>
    </row>
    <row r="10" spans="1:10" x14ac:dyDescent="0.2">
      <c r="B10" s="14" t="s">
        <v>117</v>
      </c>
      <c r="C10" s="2" t="s">
        <v>118</v>
      </c>
      <c r="D10" s="6" t="s">
        <v>120</v>
      </c>
      <c r="E10" s="15"/>
    </row>
    <row r="11" spans="1:10" x14ac:dyDescent="0.2">
      <c r="B11" s="14" t="s">
        <v>113</v>
      </c>
      <c r="C11" s="2" t="s">
        <v>119</v>
      </c>
      <c r="D11" s="6">
        <v>919</v>
      </c>
      <c r="E11" s="15"/>
    </row>
    <row r="12" spans="1:10" x14ac:dyDescent="0.2">
      <c r="B12" s="14" t="s">
        <v>114</v>
      </c>
      <c r="C12" s="2" t="s">
        <v>121</v>
      </c>
      <c r="D12" s="6">
        <v>312</v>
      </c>
      <c r="E12" s="15"/>
    </row>
    <row r="13" spans="1:10" x14ac:dyDescent="0.2">
      <c r="B13" s="16" t="s">
        <v>115</v>
      </c>
      <c r="C13" s="17" t="s">
        <v>123</v>
      </c>
      <c r="D13" s="18">
        <v>644</v>
      </c>
      <c r="E13" s="19"/>
    </row>
    <row r="16" spans="1:10" x14ac:dyDescent="0.2">
      <c r="C16" s="20" t="s">
        <v>231</v>
      </c>
      <c r="D16" s="21" t="s">
        <v>232</v>
      </c>
    </row>
    <row r="17" spans="2:4" x14ac:dyDescent="0.2">
      <c r="C17" s="14" t="s">
        <v>136</v>
      </c>
      <c r="D17" s="15">
        <v>47</v>
      </c>
    </row>
    <row r="18" spans="2:4" x14ac:dyDescent="0.2">
      <c r="C18" s="14" t="s">
        <v>137</v>
      </c>
      <c r="D18" s="15">
        <v>18</v>
      </c>
    </row>
    <row r="19" spans="2:4" x14ac:dyDescent="0.2">
      <c r="C19" s="16" t="s">
        <v>138</v>
      </c>
      <c r="D19" s="19">
        <v>35</v>
      </c>
    </row>
    <row r="20" spans="2:4" x14ac:dyDescent="0.2">
      <c r="C20" s="14" t="s">
        <v>139</v>
      </c>
      <c r="D20" s="15">
        <v>79</v>
      </c>
    </row>
    <row r="21" spans="2:4" x14ac:dyDescent="0.2">
      <c r="C21" s="14" t="s">
        <v>140</v>
      </c>
      <c r="D21" s="15">
        <v>9</v>
      </c>
    </row>
    <row r="22" spans="2:4" x14ac:dyDescent="0.2">
      <c r="C22" s="14" t="s">
        <v>141</v>
      </c>
      <c r="D22" s="15">
        <v>12</v>
      </c>
    </row>
    <row r="23" spans="2:4" x14ac:dyDescent="0.2">
      <c r="C23" s="16" t="s">
        <v>142</v>
      </c>
      <c r="D23" s="19">
        <v>1</v>
      </c>
    </row>
    <row r="26" spans="2:4" x14ac:dyDescent="0.2">
      <c r="B26" s="22" t="s">
        <v>235</v>
      </c>
    </row>
    <row r="27" spans="2:4" x14ac:dyDescent="0.2">
      <c r="B27" s="2" t="s">
        <v>236</v>
      </c>
    </row>
  </sheetData>
  <hyperlinks>
    <hyperlink ref="B4" r:id="rId1" display="SEC" xr:uid="{E02CC647-68DB-4157-859A-51BBB30DA3F9}"/>
    <hyperlink ref="B5" r:id="rId2" display="Invesors" xr:uid="{C07ABFFF-B63B-4C1A-A46E-1C7B7809CC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0287-100B-47AB-AD27-D58D0E825FBE}">
  <dimension ref="A1:AS123"/>
  <sheetViews>
    <sheetView tabSelected="1"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75" x14ac:dyDescent="0.2"/>
  <cols>
    <col min="1" max="1" width="4.7109375" style="2" bestFit="1" customWidth="1"/>
    <col min="2" max="2" width="32.5703125" style="2" bestFit="1" customWidth="1"/>
    <col min="3" max="3" width="8.85546875" style="3" customWidth="1"/>
    <col min="4" max="16384" width="9.140625" style="3"/>
  </cols>
  <sheetData>
    <row r="1" spans="1:45" s="2" customFormat="1" x14ac:dyDescent="0.2">
      <c r="A1" s="5" t="s">
        <v>7</v>
      </c>
    </row>
    <row r="2" spans="1:45" s="2" customFormat="1" x14ac:dyDescent="0.2">
      <c r="C2" s="4" t="s">
        <v>6</v>
      </c>
      <c r="D2" s="4" t="s">
        <v>10</v>
      </c>
      <c r="E2" s="4" t="s">
        <v>11</v>
      </c>
      <c r="F2" s="4" t="s">
        <v>12</v>
      </c>
      <c r="G2" s="4" t="s">
        <v>102</v>
      </c>
      <c r="H2" s="4" t="s">
        <v>103</v>
      </c>
      <c r="I2" s="4" t="s">
        <v>104</v>
      </c>
      <c r="J2" s="4" t="s">
        <v>105</v>
      </c>
      <c r="K2" s="4" t="s">
        <v>240</v>
      </c>
      <c r="L2" s="4" t="s">
        <v>241</v>
      </c>
      <c r="M2" s="4" t="s">
        <v>242</v>
      </c>
      <c r="N2" s="4" t="s">
        <v>243</v>
      </c>
      <c r="O2" s="62" t="s">
        <v>245</v>
      </c>
      <c r="P2" s="62" t="s">
        <v>246</v>
      </c>
      <c r="Q2" s="62" t="s">
        <v>247</v>
      </c>
      <c r="R2" s="62" t="s">
        <v>248</v>
      </c>
      <c r="T2" s="4" t="s">
        <v>13</v>
      </c>
      <c r="U2" s="4" t="s">
        <v>14</v>
      </c>
      <c r="V2" s="4" t="s">
        <v>15</v>
      </c>
      <c r="W2" s="4" t="s">
        <v>16</v>
      </c>
      <c r="X2" s="4" t="s">
        <v>17</v>
      </c>
      <c r="Y2" s="4" t="s">
        <v>18</v>
      </c>
      <c r="Z2" s="4" t="s">
        <v>101</v>
      </c>
      <c r="AA2" s="4" t="s">
        <v>189</v>
      </c>
      <c r="AB2" s="4" t="s">
        <v>190</v>
      </c>
      <c r="AC2" s="4" t="s">
        <v>192</v>
      </c>
      <c r="AD2" s="4" t="s">
        <v>191</v>
      </c>
      <c r="AE2" s="4" t="s">
        <v>193</v>
      </c>
      <c r="AF2" s="4" t="s">
        <v>194</v>
      </c>
      <c r="AG2" s="4" t="s">
        <v>195</v>
      </c>
      <c r="AH2" s="4" t="s">
        <v>196</v>
      </c>
      <c r="AI2" s="4" t="s">
        <v>234</v>
      </c>
    </row>
    <row r="3" spans="1:45" s="2" customFormat="1" x14ac:dyDescent="0.2">
      <c r="A3" s="23" t="s">
        <v>9</v>
      </c>
      <c r="B3" s="22" t="s">
        <v>116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45" s="2" customFormat="1" x14ac:dyDescent="0.2">
      <c r="B4" s="2" t="s">
        <v>124</v>
      </c>
      <c r="C4" s="3">
        <v>2574</v>
      </c>
      <c r="D4" s="3">
        <v>2578</v>
      </c>
      <c r="E4" s="3">
        <v>2603</v>
      </c>
      <c r="F4" s="3">
        <v>2516</v>
      </c>
      <c r="G4" s="3">
        <v>2620</v>
      </c>
      <c r="H4" s="3">
        <f>1326+1204+101</f>
        <v>2631</v>
      </c>
      <c r="I4" s="3">
        <f>1331+1219+109</f>
        <v>2659</v>
      </c>
      <c r="J4" s="3">
        <f>1319+1197+94+55</f>
        <v>2665</v>
      </c>
      <c r="K4" s="3">
        <f>1338+1234</f>
        <v>2572</v>
      </c>
      <c r="L4" s="3">
        <f>1340+1234</f>
        <v>2574</v>
      </c>
      <c r="M4" s="3">
        <f>1346+1248</f>
        <v>2594</v>
      </c>
      <c r="N4" s="3">
        <f>1348+1255+111</f>
        <v>2714</v>
      </c>
      <c r="O4" s="3">
        <f>1354+1265</f>
        <v>2619</v>
      </c>
      <c r="P4" s="3">
        <f>1359+1267</f>
        <v>2626</v>
      </c>
      <c r="Q4" s="3"/>
      <c r="R4" s="3"/>
      <c r="S4" s="3"/>
      <c r="T4" s="3">
        <v>2343</v>
      </c>
      <c r="U4" s="3">
        <v>2403</v>
      </c>
      <c r="V4" s="3">
        <v>2402</v>
      </c>
      <c r="W4" s="3">
        <v>2432</v>
      </c>
      <c r="X4" s="3">
        <v>2482</v>
      </c>
      <c r="Y4" s="3">
        <v>2516</v>
      </c>
      <c r="Z4" s="3">
        <f>1319+1197+94+55</f>
        <v>2665</v>
      </c>
      <c r="AA4" s="3">
        <f>1348+1255+111</f>
        <v>2714</v>
      </c>
      <c r="AB4" s="3">
        <f t="shared" ref="AB4:AC4" si="0">AA4*1.03</f>
        <v>2795.42</v>
      </c>
      <c r="AC4" s="3">
        <f t="shared" si="0"/>
        <v>2879.2826</v>
      </c>
      <c r="AD4" s="3">
        <f>AC4*1.03</f>
        <v>2965.6610780000001</v>
      </c>
      <c r="AE4" s="3">
        <f>AD4*1.02855</f>
        <v>3050.3307017769002</v>
      </c>
      <c r="AF4" s="3">
        <f>AE4</f>
        <v>3050.3307017769002</v>
      </c>
      <c r="AG4" s="3">
        <f t="shared" ref="AG4:AI4" si="1">AF4</f>
        <v>3050.3307017769002</v>
      </c>
      <c r="AH4" s="3">
        <f t="shared" si="1"/>
        <v>3050.3307017769002</v>
      </c>
      <c r="AI4" s="3">
        <f t="shared" si="1"/>
        <v>3050.3307017769002</v>
      </c>
      <c r="AJ4" s="3">
        <v>3000</v>
      </c>
      <c r="AK4" s="3"/>
    </row>
    <row r="5" spans="1:45" s="2" customFormat="1" x14ac:dyDescent="0.2">
      <c r="B5" s="2" t="s">
        <v>125</v>
      </c>
      <c r="C5" s="3">
        <v>950</v>
      </c>
      <c r="D5" s="3">
        <v>956</v>
      </c>
      <c r="E5" s="3">
        <v>968</v>
      </c>
      <c r="F5" s="3">
        <v>974</v>
      </c>
      <c r="G5" s="3">
        <v>981</v>
      </c>
      <c r="H5" s="3">
        <f>930+62</f>
        <v>992</v>
      </c>
      <c r="I5" s="3">
        <f>941+67</f>
        <v>1008</v>
      </c>
      <c r="J5" s="3">
        <f>919+158+79</f>
        <v>1156</v>
      </c>
      <c r="K5" s="3">
        <f>950+123+75</f>
        <v>1148</v>
      </c>
      <c r="L5" s="3">
        <f>952+127+76</f>
        <v>1155</v>
      </c>
      <c r="M5" s="3">
        <f>958+141+77</f>
        <v>1176</v>
      </c>
      <c r="N5" s="3">
        <f>963+145+79</f>
        <v>1187</v>
      </c>
      <c r="O5" s="3">
        <f>969+153+84</f>
        <v>1206</v>
      </c>
      <c r="P5" s="3">
        <f>973+156+86</f>
        <v>1215</v>
      </c>
      <c r="Q5" s="3"/>
      <c r="R5" s="3"/>
      <c r="S5" s="3"/>
      <c r="T5" s="3">
        <v>765</v>
      </c>
      <c r="U5" s="3">
        <v>841</v>
      </c>
      <c r="V5" s="3">
        <v>855</v>
      </c>
      <c r="W5" s="3">
        <v>889</v>
      </c>
      <c r="X5" s="3">
        <v>940</v>
      </c>
      <c r="Y5" s="3">
        <v>974</v>
      </c>
      <c r="Z5" s="3">
        <f>919+158+79</f>
        <v>1156</v>
      </c>
      <c r="AA5" s="3">
        <f>963+145+79</f>
        <v>1187</v>
      </c>
      <c r="AB5" s="3">
        <f t="shared" ref="AB5:AG5" si="2">AA5*1.055</f>
        <v>1252.2849999999999</v>
      </c>
      <c r="AC5" s="3">
        <f t="shared" si="2"/>
        <v>1321.1606749999999</v>
      </c>
      <c r="AD5" s="3">
        <f t="shared" si="2"/>
        <v>1393.8245121249997</v>
      </c>
      <c r="AE5" s="3">
        <f t="shared" si="2"/>
        <v>1470.4848602918746</v>
      </c>
      <c r="AF5" s="3">
        <f t="shared" si="2"/>
        <v>1551.3615276079277</v>
      </c>
      <c r="AG5" s="3">
        <f t="shared" si="2"/>
        <v>1636.6864116263637</v>
      </c>
      <c r="AH5" s="3">
        <f>AG5*1.0035</f>
        <v>1642.4148140670561</v>
      </c>
      <c r="AI5" s="3">
        <f>AH5</f>
        <v>1642.4148140670561</v>
      </c>
      <c r="AJ5" s="3">
        <v>1500</v>
      </c>
      <c r="AK5" s="3"/>
    </row>
    <row r="6" spans="1:45" s="2" customFormat="1" x14ac:dyDescent="0.2">
      <c r="B6" s="2" t="s">
        <v>126</v>
      </c>
      <c r="C6" s="3">
        <v>556</v>
      </c>
      <c r="D6" s="3">
        <v>559</v>
      </c>
      <c r="E6" s="3">
        <v>565</v>
      </c>
      <c r="F6" s="3">
        <v>566</v>
      </c>
      <c r="G6" s="3">
        <v>567</v>
      </c>
      <c r="H6" s="3">
        <f>304+160+108</f>
        <v>572</v>
      </c>
      <c r="I6" s="3">
        <f>307+160+109</f>
        <v>576</v>
      </c>
      <c r="J6" s="3">
        <f>302+106</f>
        <v>408</v>
      </c>
      <c r="K6" s="3">
        <f>310+161+110</f>
        <v>581</v>
      </c>
      <c r="L6" s="3">
        <f>311+161+110</f>
        <v>582</v>
      </c>
      <c r="M6" s="3">
        <f>315+162+111</f>
        <v>588</v>
      </c>
      <c r="N6" s="3">
        <f>316+162</f>
        <v>478</v>
      </c>
      <c r="O6" s="3">
        <f>319+162+112</f>
        <v>593</v>
      </c>
      <c r="P6" s="3">
        <f>320+162+112</f>
        <v>594</v>
      </c>
      <c r="Q6" s="3"/>
      <c r="R6" s="3"/>
      <c r="S6" s="3"/>
      <c r="T6" s="3">
        <v>484</v>
      </c>
      <c r="U6" s="3">
        <v>513</v>
      </c>
      <c r="V6" s="3">
        <v>525</v>
      </c>
      <c r="W6" s="3">
        <v>546</v>
      </c>
      <c r="X6" s="3">
        <v>554</v>
      </c>
      <c r="Y6" s="3">
        <v>566</v>
      </c>
      <c r="Z6" s="3">
        <f>302+106</f>
        <v>408</v>
      </c>
      <c r="AA6" s="3">
        <f>316+162</f>
        <v>478</v>
      </c>
      <c r="AB6" s="3">
        <f t="shared" ref="AB6:AE6" si="3">AA6*1.02</f>
        <v>487.56</v>
      </c>
      <c r="AC6" s="3">
        <f t="shared" si="3"/>
        <v>497.31119999999999</v>
      </c>
      <c r="AD6" s="3">
        <f t="shared" si="3"/>
        <v>507.25742400000001</v>
      </c>
      <c r="AE6" s="3">
        <f t="shared" si="3"/>
        <v>517.40257248</v>
      </c>
      <c r="AF6" s="3">
        <f>AE6*1.0198</f>
        <v>527.64714341510398</v>
      </c>
      <c r="AG6" s="3">
        <f>AF6</f>
        <v>527.64714341510398</v>
      </c>
      <c r="AH6" s="3">
        <f t="shared" ref="AH6:AI6" si="4">AG6</f>
        <v>527.64714341510398</v>
      </c>
      <c r="AI6" s="3">
        <f t="shared" si="4"/>
        <v>527.64714341510398</v>
      </c>
      <c r="AJ6" s="3">
        <v>650</v>
      </c>
      <c r="AK6" s="3"/>
    </row>
    <row r="7" spans="1:45" s="2" customFormat="1" x14ac:dyDescent="0.2">
      <c r="B7" s="2" t="s">
        <v>127</v>
      </c>
      <c r="C7" s="3">
        <v>785</v>
      </c>
      <c r="D7" s="3">
        <v>791</v>
      </c>
      <c r="E7" s="3">
        <v>798</v>
      </c>
      <c r="F7" s="3">
        <v>803</v>
      </c>
      <c r="G7" s="3">
        <v>804</v>
      </c>
      <c r="H7" s="3">
        <f>645+77+84</f>
        <v>806</v>
      </c>
      <c r="I7" s="3">
        <f>653+77+84</f>
        <v>814</v>
      </c>
      <c r="J7" s="3">
        <f>644+79</f>
        <v>723</v>
      </c>
      <c r="K7" s="3">
        <f>662+74+84</f>
        <v>820</v>
      </c>
      <c r="L7" s="3">
        <f>664+74+85</f>
        <v>823</v>
      </c>
      <c r="M7" s="3">
        <f>672+74+87</f>
        <v>833</v>
      </c>
      <c r="N7" s="3">
        <f>673+74+88</f>
        <v>835</v>
      </c>
      <c r="O7" s="3">
        <f>679+74+91</f>
        <v>844</v>
      </c>
      <c r="P7" s="3">
        <f>685+74+91</f>
        <v>850</v>
      </c>
      <c r="Q7" s="3"/>
      <c r="R7" s="3"/>
      <c r="S7" s="3"/>
      <c r="T7" s="3">
        <v>679</v>
      </c>
      <c r="U7" s="3">
        <v>726</v>
      </c>
      <c r="V7" s="3">
        <v>742</v>
      </c>
      <c r="W7" s="3">
        <v>763</v>
      </c>
      <c r="X7" s="3">
        <v>781</v>
      </c>
      <c r="Y7" s="3">
        <v>803</v>
      </c>
      <c r="Z7" s="3">
        <f>644+79</f>
        <v>723</v>
      </c>
      <c r="AA7" s="3">
        <f>673+74+88</f>
        <v>835</v>
      </c>
      <c r="AB7" s="3">
        <f t="shared" ref="AB7:AE7" si="5">AA7*1.05</f>
        <v>876.75</v>
      </c>
      <c r="AC7" s="3">
        <f t="shared" si="5"/>
        <v>920.58750000000009</v>
      </c>
      <c r="AD7" s="3">
        <f t="shared" si="5"/>
        <v>966.61687500000016</v>
      </c>
      <c r="AE7" s="3">
        <f t="shared" si="5"/>
        <v>1014.9477187500003</v>
      </c>
      <c r="AF7" s="3">
        <f>AE7*1.0454</f>
        <v>1061.0263451812505</v>
      </c>
      <c r="AG7" s="3">
        <f>AF7</f>
        <v>1061.0263451812505</v>
      </c>
      <c r="AH7" s="3">
        <f t="shared" ref="AH7:AI7" si="6">AG7</f>
        <v>1061.0263451812505</v>
      </c>
      <c r="AI7" s="3">
        <f t="shared" si="6"/>
        <v>1061.0263451812505</v>
      </c>
      <c r="AJ7" s="3">
        <v>1125</v>
      </c>
      <c r="AK7" s="3"/>
    </row>
    <row r="8" spans="1:45" s="2" customFormat="1" x14ac:dyDescent="0.2">
      <c r="B8" s="1" t="s">
        <v>244</v>
      </c>
      <c r="C8" s="25">
        <f>+SUM(C4:C7)</f>
        <v>4865</v>
      </c>
      <c r="D8" s="25">
        <f t="shared" ref="D8:N8" si="7">+SUM(D4:D7)</f>
        <v>4884</v>
      </c>
      <c r="E8" s="25">
        <f t="shared" si="7"/>
        <v>4934</v>
      </c>
      <c r="F8" s="25">
        <f t="shared" si="7"/>
        <v>4859</v>
      </c>
      <c r="G8" s="25">
        <f t="shared" si="7"/>
        <v>4972</v>
      </c>
      <c r="H8" s="25">
        <f t="shared" si="7"/>
        <v>5001</v>
      </c>
      <c r="I8" s="25">
        <f t="shared" si="7"/>
        <v>5057</v>
      </c>
      <c r="J8" s="25">
        <f t="shared" si="7"/>
        <v>4952</v>
      </c>
      <c r="K8" s="25">
        <f t="shared" si="7"/>
        <v>5121</v>
      </c>
      <c r="L8" s="25">
        <f t="shared" si="7"/>
        <v>5134</v>
      </c>
      <c r="M8" s="25">
        <f t="shared" si="7"/>
        <v>5191</v>
      </c>
      <c r="N8" s="25">
        <f t="shared" si="7"/>
        <v>5214</v>
      </c>
      <c r="O8" s="25">
        <f>+SUM(O4:O7)</f>
        <v>5262</v>
      </c>
      <c r="P8" s="25">
        <f>+SUM(P4:P7)</f>
        <v>5285</v>
      </c>
      <c r="Q8" s="25"/>
      <c r="R8" s="25"/>
      <c r="S8" s="25"/>
      <c r="T8" s="25">
        <f t="shared" ref="T8" si="8">+SUM(T4:T7)</f>
        <v>4271</v>
      </c>
      <c r="U8" s="25">
        <f t="shared" ref="U8" si="9">+SUM(U4:U7)</f>
        <v>4483</v>
      </c>
      <c r="V8" s="25">
        <f t="shared" ref="V8" si="10">+SUM(V4:V7)</f>
        <v>4524</v>
      </c>
      <c r="W8" s="25">
        <f t="shared" ref="W8" si="11">+SUM(W4:W7)</f>
        <v>4630</v>
      </c>
      <c r="X8" s="25">
        <f t="shared" ref="X8" si="12">+SUM(X4:X7)</f>
        <v>4757</v>
      </c>
      <c r="Y8" s="25">
        <f t="shared" ref="Y8" si="13">+SUM(Y4:Y7)</f>
        <v>4859</v>
      </c>
      <c r="Z8" s="25">
        <f t="shared" ref="Z8" si="14">+SUM(Z4:Z7)</f>
        <v>4952</v>
      </c>
      <c r="AA8" s="25">
        <f t="shared" ref="AA8" si="15">+SUM(AA4:AA7)</f>
        <v>5214</v>
      </c>
      <c r="AB8" s="25">
        <f t="shared" ref="AB8" si="16">+SUM(AB4:AB7)</f>
        <v>5412.0150000000003</v>
      </c>
      <c r="AC8" s="25">
        <f t="shared" ref="AC8" si="17">+SUM(AC4:AC7)</f>
        <v>5618.3419749999994</v>
      </c>
      <c r="AD8" s="25">
        <f t="shared" ref="AD8" si="18">+SUM(AD4:AD7)</f>
        <v>5833.3598891250003</v>
      </c>
      <c r="AE8" s="25">
        <f t="shared" ref="AE8" si="19">+SUM(AE4:AE7)</f>
        <v>6053.1658532987758</v>
      </c>
      <c r="AF8" s="25">
        <f t="shared" ref="AF8" si="20">+SUM(AF4:AF7)</f>
        <v>6190.3657179811826</v>
      </c>
      <c r="AG8" s="25">
        <f t="shared" ref="AG8" si="21">+SUM(AG4:AG7)</f>
        <v>6275.6906019996195</v>
      </c>
      <c r="AH8" s="25">
        <f t="shared" ref="AH8" si="22">+SUM(AH4:AH7)</f>
        <v>6281.4190044403103</v>
      </c>
      <c r="AI8" s="25">
        <f t="shared" ref="AI8" si="23">+SUM(AI4:AI7)</f>
        <v>6281.4190044403103</v>
      </c>
      <c r="AJ8" s="25">
        <f t="shared" ref="AJ8" si="24">+SUM(AJ4:AJ7)</f>
        <v>6275</v>
      </c>
      <c r="AK8" s="25"/>
      <c r="AL8" s="1"/>
      <c r="AM8" s="1"/>
      <c r="AN8" s="1"/>
      <c r="AO8" s="1"/>
      <c r="AP8" s="1"/>
      <c r="AQ8" s="1"/>
      <c r="AR8" s="1"/>
      <c r="AS8" s="1"/>
    </row>
    <row r="9" spans="1:45" s="2" customFormat="1" x14ac:dyDescent="0.2">
      <c r="B9" s="2" t="s">
        <v>132</v>
      </c>
      <c r="C9" s="24">
        <f t="shared" ref="C9:F9" si="25">C15/C4</f>
        <v>2.8616938616938619</v>
      </c>
      <c r="D9" s="24">
        <f t="shared" si="25"/>
        <v>3.0655546935608999</v>
      </c>
      <c r="E9" s="24">
        <f t="shared" si="25"/>
        <v>3.1144832885132541</v>
      </c>
      <c r="F9" s="24">
        <f t="shared" si="25"/>
        <v>3.9892686804451509</v>
      </c>
      <c r="G9" s="24">
        <f>G15/G4</f>
        <v>2.9580152671755724</v>
      </c>
      <c r="H9" s="24">
        <f t="shared" ref="H9:J9" si="26">H15/H4</f>
        <v>3.2098061573546182</v>
      </c>
      <c r="I9" s="24">
        <f t="shared" si="26"/>
        <v>3.1733734486649117</v>
      </c>
      <c r="J9" s="24">
        <f t="shared" si="26"/>
        <v>3.7414634146341466</v>
      </c>
      <c r="K9" s="24">
        <f t="shared" ref="K9:L9" si="27">K15/K4</f>
        <v>3.1306376360808708</v>
      </c>
      <c r="L9" s="24">
        <f t="shared" si="27"/>
        <v>3.4347319347319347</v>
      </c>
      <c r="M9" s="24">
        <f t="shared" ref="M9:O9" si="28">M15/M4</f>
        <v>3.4838087895142635</v>
      </c>
      <c r="N9" s="24">
        <f t="shared" ref="N9" si="29">N15/N4</f>
        <v>3.925939572586588</v>
      </c>
      <c r="O9" s="24">
        <f t="shared" si="28"/>
        <v>3.3027873234058802</v>
      </c>
      <c r="P9" s="24">
        <f t="shared" ref="P9" si="30">P15/P4</f>
        <v>3.4687738004569688</v>
      </c>
      <c r="Q9" s="24"/>
      <c r="R9" s="24"/>
      <c r="S9" s="24"/>
      <c r="T9" s="24">
        <f t="shared" ref="T9:Y12" si="31">T15/T4</f>
        <v>10.268032437046521</v>
      </c>
      <c r="U9" s="24">
        <f t="shared" si="31"/>
        <v>10.680399500624219</v>
      </c>
      <c r="V9" s="24">
        <f t="shared" si="31"/>
        <v>8.0611990008326391</v>
      </c>
      <c r="W9" s="24">
        <f t="shared" si="31"/>
        <v>12.122944078947368</v>
      </c>
      <c r="X9" s="24">
        <f t="shared" si="31"/>
        <v>12.306607574536663</v>
      </c>
      <c r="Y9" s="24">
        <f t="shared" si="31"/>
        <v>13.2802066772655</v>
      </c>
      <c r="Z9" s="24">
        <f>Y9*1.05</f>
        <v>13.944217011128776</v>
      </c>
      <c r="AA9" s="24">
        <f t="shared" ref="AA9:AI9" si="32">Z9*1.05</f>
        <v>14.641427861685216</v>
      </c>
      <c r="AB9" s="24">
        <f t="shared" si="32"/>
        <v>15.373499254769477</v>
      </c>
      <c r="AC9" s="24">
        <f t="shared" si="32"/>
        <v>16.14217421750795</v>
      </c>
      <c r="AD9" s="24">
        <f t="shared" si="32"/>
        <v>16.949282928383347</v>
      </c>
      <c r="AE9" s="24">
        <f t="shared" si="32"/>
        <v>17.796747074802514</v>
      </c>
      <c r="AF9" s="24">
        <f t="shared" si="32"/>
        <v>18.686584428542641</v>
      </c>
      <c r="AG9" s="24">
        <f t="shared" si="32"/>
        <v>19.620913649969776</v>
      </c>
      <c r="AH9" s="24">
        <f t="shared" si="32"/>
        <v>20.601959332468265</v>
      </c>
      <c r="AI9" s="24">
        <f t="shared" si="32"/>
        <v>21.632057299091681</v>
      </c>
      <c r="AJ9" s="24">
        <f>AI9</f>
        <v>21.632057299091681</v>
      </c>
    </row>
    <row r="10" spans="1:45" s="2" customFormat="1" x14ac:dyDescent="0.2">
      <c r="B10" s="2" t="s">
        <v>133</v>
      </c>
      <c r="C10" s="24">
        <f t="shared" ref="C10:G10" si="33">C16/C5</f>
        <v>2.0694736842105264</v>
      </c>
      <c r="D10" s="24">
        <f t="shared" si="33"/>
        <v>2.1035564853556483</v>
      </c>
      <c r="E10" s="24">
        <f t="shared" si="33"/>
        <v>2.28099173553719</v>
      </c>
      <c r="F10" s="24">
        <f t="shared" si="33"/>
        <v>2.8798767967145791</v>
      </c>
      <c r="G10" s="24">
        <f t="shared" si="33"/>
        <v>2.1192660550458715</v>
      </c>
      <c r="H10" s="24">
        <f t="shared" ref="H10:J10" si="34">H16/H5</f>
        <v>2.117943548387097</v>
      </c>
      <c r="I10" s="24">
        <f t="shared" si="34"/>
        <v>2.3363095238095237</v>
      </c>
      <c r="J10" s="24">
        <f t="shared" si="34"/>
        <v>2.4662629757785468</v>
      </c>
      <c r="K10" s="24">
        <f t="shared" ref="K10:L10" si="35">K16/K5</f>
        <v>1.9634146341463414</v>
      </c>
      <c r="L10" s="24">
        <f t="shared" si="35"/>
        <v>1.9792207792207792</v>
      </c>
      <c r="M10" s="24">
        <f t="shared" ref="M10:O10" si="36">M16/M5</f>
        <v>2.1590136054421767</v>
      </c>
      <c r="N10" s="24">
        <f t="shared" ref="N10" si="37">N16/N5</f>
        <v>2.6057287278854253</v>
      </c>
      <c r="O10" s="24">
        <f t="shared" si="36"/>
        <v>2.0779436152570483</v>
      </c>
      <c r="P10" s="24">
        <f t="shared" ref="P10" si="38">P16/P5</f>
        <v>2.0633744855967078</v>
      </c>
      <c r="Q10" s="24"/>
      <c r="R10" s="24"/>
      <c r="S10" s="24"/>
      <c r="T10" s="24">
        <f t="shared" si="31"/>
        <v>7.5652287581699342</v>
      </c>
      <c r="U10" s="24">
        <f t="shared" si="31"/>
        <v>7.5576694411414982</v>
      </c>
      <c r="V10" s="24">
        <f t="shared" si="31"/>
        <v>7.1298245614035087</v>
      </c>
      <c r="W10" s="24">
        <f t="shared" si="31"/>
        <v>10.118110236220472</v>
      </c>
      <c r="X10" s="24">
        <f t="shared" si="31"/>
        <v>8.7914893617021281</v>
      </c>
      <c r="Y10" s="24">
        <f t="shared" si="31"/>
        <v>9.2299794661190973</v>
      </c>
      <c r="Z10" s="24">
        <f>Y10*1.02</f>
        <v>9.4145790554414788</v>
      </c>
      <c r="AA10" s="24">
        <f t="shared" ref="AA10:AI10" si="39">Z10*1.02</f>
        <v>9.6028706365503087</v>
      </c>
      <c r="AB10" s="24">
        <f t="shared" si="39"/>
        <v>9.7949280492813156</v>
      </c>
      <c r="AC10" s="24">
        <f t="shared" si="39"/>
        <v>9.9908266102669412</v>
      </c>
      <c r="AD10" s="24">
        <f t="shared" si="39"/>
        <v>10.190643142472281</v>
      </c>
      <c r="AE10" s="24">
        <f t="shared" si="39"/>
        <v>10.394456005321727</v>
      </c>
      <c r="AF10" s="24">
        <f t="shared" si="39"/>
        <v>10.602345125428162</v>
      </c>
      <c r="AG10" s="24">
        <f t="shared" si="39"/>
        <v>10.814392027936725</v>
      </c>
      <c r="AH10" s="24">
        <f t="shared" si="39"/>
        <v>11.03067986849546</v>
      </c>
      <c r="AI10" s="24">
        <f t="shared" si="39"/>
        <v>11.25129346586537</v>
      </c>
      <c r="AJ10" s="24">
        <f t="shared" ref="AJ10:AJ12" si="40">AI10</f>
        <v>11.25129346586537</v>
      </c>
    </row>
    <row r="11" spans="1:45" s="2" customFormat="1" x14ac:dyDescent="0.2">
      <c r="B11" s="2" t="s">
        <v>134</v>
      </c>
      <c r="C11" s="24">
        <f t="shared" ref="C11:G11" si="41">C17/C6</f>
        <v>1.8669064748201438</v>
      </c>
      <c r="D11" s="24">
        <f t="shared" si="41"/>
        <v>2.1878354203935597</v>
      </c>
      <c r="E11" s="24">
        <f t="shared" si="41"/>
        <v>2.3309734513274338</v>
      </c>
      <c r="F11" s="24">
        <f t="shared" si="41"/>
        <v>2.5936395759717317</v>
      </c>
      <c r="G11" s="24">
        <f t="shared" si="41"/>
        <v>1.962962962962963</v>
      </c>
      <c r="H11" s="24">
        <f t="shared" ref="H11:J11" si="42">H17/H6</f>
        <v>2.174825174825175</v>
      </c>
      <c r="I11" s="24">
        <f t="shared" si="42"/>
        <v>2.3993055555555554</v>
      </c>
      <c r="J11" s="24">
        <f t="shared" si="42"/>
        <v>3.5539215686274508</v>
      </c>
      <c r="K11" s="24">
        <f t="shared" ref="K11:L11" si="43">K17/K6</f>
        <v>1.9690189328743546</v>
      </c>
      <c r="L11" s="24">
        <f t="shared" si="43"/>
        <v>2.372852233676976</v>
      </c>
      <c r="M11" s="24">
        <f t="shared" ref="M11:O11" si="44">M17/M6</f>
        <v>2.5374149659863945</v>
      </c>
      <c r="N11" s="24">
        <f t="shared" ref="N11" si="45">N17/N6</f>
        <v>3.3723849372384938</v>
      </c>
      <c r="O11" s="24">
        <f t="shared" si="44"/>
        <v>2.1669477234401349</v>
      </c>
      <c r="P11" s="24">
        <f t="shared" ref="P11" si="46">P17/P6</f>
        <v>2.4747474747474749</v>
      </c>
      <c r="Q11" s="24"/>
      <c r="R11" s="24"/>
      <c r="S11" s="24"/>
      <c r="T11" s="24">
        <f t="shared" si="31"/>
        <v>7.995454545454546</v>
      </c>
      <c r="U11" s="24">
        <f t="shared" si="31"/>
        <v>7.8576998050682265</v>
      </c>
      <c r="V11" s="24">
        <f t="shared" si="31"/>
        <v>5.4019047619047615</v>
      </c>
      <c r="W11" s="24">
        <f t="shared" si="31"/>
        <v>7.9542124542124544</v>
      </c>
      <c r="X11" s="24">
        <f t="shared" si="31"/>
        <v>8.8664259927797833</v>
      </c>
      <c r="Y11" s="24">
        <f t="shared" si="31"/>
        <v>8.915194346289752</v>
      </c>
      <c r="Z11" s="24">
        <f>Y11*1.01</f>
        <v>9.0043462897526503</v>
      </c>
      <c r="AA11" s="24">
        <f t="shared" ref="AA11:AI11" si="47">Z11*1.01</f>
        <v>9.0943897526501765</v>
      </c>
      <c r="AB11" s="24">
        <f t="shared" si="47"/>
        <v>9.1853336501766787</v>
      </c>
      <c r="AC11" s="24">
        <f t="shared" si="47"/>
        <v>9.277186986678446</v>
      </c>
      <c r="AD11" s="24">
        <f t="shared" si="47"/>
        <v>9.3699588565452299</v>
      </c>
      <c r="AE11" s="24">
        <f t="shared" si="47"/>
        <v>9.4636584451106831</v>
      </c>
      <c r="AF11" s="24">
        <f t="shared" si="47"/>
        <v>9.5582950295617906</v>
      </c>
      <c r="AG11" s="24">
        <f t="shared" si="47"/>
        <v>9.653877979857409</v>
      </c>
      <c r="AH11" s="24">
        <f t="shared" si="47"/>
        <v>9.7504167596559839</v>
      </c>
      <c r="AI11" s="24">
        <f t="shared" si="47"/>
        <v>9.8479209272525434</v>
      </c>
      <c r="AJ11" s="24">
        <f t="shared" si="40"/>
        <v>9.8479209272525434</v>
      </c>
    </row>
    <row r="12" spans="1:45" s="2" customFormat="1" x14ac:dyDescent="0.2">
      <c r="B12" s="2" t="s">
        <v>135</v>
      </c>
      <c r="C12" s="24">
        <f t="shared" ref="C12:G12" si="48">C18/C7</f>
        <v>1.9579617834394905</v>
      </c>
      <c r="D12" s="24">
        <f t="shared" si="48"/>
        <v>2.0493046776232617</v>
      </c>
      <c r="E12" s="24">
        <f t="shared" si="48"/>
        <v>2.0463659147869673</v>
      </c>
      <c r="F12" s="24">
        <f t="shared" si="48"/>
        <v>2.4620174346201744</v>
      </c>
      <c r="G12" s="24">
        <f t="shared" si="48"/>
        <v>1.9116915422885572</v>
      </c>
      <c r="H12" s="24">
        <f t="shared" ref="H12:J12" si="49">H18/H7</f>
        <v>2.0818858560794045</v>
      </c>
      <c r="I12" s="24">
        <f t="shared" si="49"/>
        <v>2.3194103194103195</v>
      </c>
      <c r="J12" s="24">
        <f t="shared" si="49"/>
        <v>2.8741355463347165</v>
      </c>
      <c r="K12" s="24">
        <f t="shared" ref="K12:L12" si="50">K18/K7</f>
        <v>2.0256097560975608</v>
      </c>
      <c r="L12" s="24">
        <f t="shared" si="50"/>
        <v>2.3001215066828675</v>
      </c>
      <c r="M12" s="24">
        <f t="shared" ref="M12:O12" si="51">M18/M7</f>
        <v>2.4597839135654262</v>
      </c>
      <c r="N12" s="24">
        <f t="shared" ref="N12" si="52">N18/N7</f>
        <v>2.8538922155688624</v>
      </c>
      <c r="O12" s="24">
        <f t="shared" si="51"/>
        <v>2.2298578199052135</v>
      </c>
      <c r="P12" s="24">
        <f t="shared" ref="P12" si="53">P18/P7</f>
        <v>2.4635294117647057</v>
      </c>
      <c r="Q12" s="24"/>
      <c r="R12" s="24"/>
      <c r="S12" s="24"/>
      <c r="T12" s="24">
        <f t="shared" si="31"/>
        <v>7.7434462444771723</v>
      </c>
      <c r="U12" s="24">
        <f t="shared" si="31"/>
        <v>7.8030303030303028</v>
      </c>
      <c r="V12" s="24">
        <f t="shared" si="31"/>
        <v>5.177897574123989</v>
      </c>
      <c r="W12" s="24">
        <f t="shared" si="31"/>
        <v>7.5085190039318483</v>
      </c>
      <c r="X12" s="24">
        <f t="shared" si="31"/>
        <v>7.957746478873239</v>
      </c>
      <c r="Y12" s="24">
        <f t="shared" si="31"/>
        <v>8.4283935242839352</v>
      </c>
      <c r="Z12" s="24">
        <f>Y12*1.02</f>
        <v>8.5969613947696146</v>
      </c>
      <c r="AA12" s="24">
        <f t="shared" ref="AA12:AI12" si="54">Z12*1.02</f>
        <v>8.7689006226650079</v>
      </c>
      <c r="AB12" s="24">
        <f t="shared" si="54"/>
        <v>8.9442786351183088</v>
      </c>
      <c r="AC12" s="24">
        <f t="shared" si="54"/>
        <v>9.1231642078206754</v>
      </c>
      <c r="AD12" s="24">
        <f t="shared" si="54"/>
        <v>9.3056274919770896</v>
      </c>
      <c r="AE12" s="24">
        <f t="shared" si="54"/>
        <v>9.491740041816632</v>
      </c>
      <c r="AF12" s="24">
        <f t="shared" si="54"/>
        <v>9.6815748426529655</v>
      </c>
      <c r="AG12" s="24">
        <f t="shared" si="54"/>
        <v>9.8752063395060254</v>
      </c>
      <c r="AH12" s="24">
        <f t="shared" si="54"/>
        <v>10.072710466296146</v>
      </c>
      <c r="AI12" s="24">
        <f t="shared" si="54"/>
        <v>10.274164675622069</v>
      </c>
      <c r="AJ12" s="24">
        <f t="shared" si="40"/>
        <v>10.274164675622069</v>
      </c>
    </row>
    <row r="13" spans="1:45" s="2" customFormat="1" x14ac:dyDescent="0.2"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spans="1:45" s="2" customFormat="1" x14ac:dyDescent="0.2">
      <c r="A14" s="23" t="s">
        <v>9</v>
      </c>
      <c r="B14" s="22" t="s">
        <v>8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spans="1:45" s="2" customFormat="1" x14ac:dyDescent="0.2">
      <c r="A15" s="23"/>
      <c r="B15" s="2" t="s">
        <v>128</v>
      </c>
      <c r="C15" s="3">
        <v>7366</v>
      </c>
      <c r="D15" s="3">
        <v>7903</v>
      </c>
      <c r="E15" s="3">
        <v>8107</v>
      </c>
      <c r="F15" s="3">
        <f t="shared" ref="F15:F20" si="55">Y15-SUM(C15:E15)</f>
        <v>10037</v>
      </c>
      <c r="G15" s="3">
        <v>7750</v>
      </c>
      <c r="H15" s="3">
        <v>8445</v>
      </c>
      <c r="I15" s="3">
        <v>8438</v>
      </c>
      <c r="J15" s="3">
        <v>9971</v>
      </c>
      <c r="K15" s="3">
        <v>8052</v>
      </c>
      <c r="L15" s="3">
        <v>8841</v>
      </c>
      <c r="M15" s="3">
        <v>9037</v>
      </c>
      <c r="N15" s="3">
        <f>+AA15-SUM(K15:M15)</f>
        <v>10655</v>
      </c>
      <c r="O15" s="3">
        <v>8650</v>
      </c>
      <c r="P15" s="3">
        <v>9109</v>
      </c>
      <c r="Q15" s="3"/>
      <c r="R15" s="3"/>
      <c r="S15" s="3"/>
      <c r="T15" s="3">
        <v>24058</v>
      </c>
      <c r="U15" s="3">
        <v>25665</v>
      </c>
      <c r="V15" s="3">
        <v>19363</v>
      </c>
      <c r="W15" s="3">
        <v>29483</v>
      </c>
      <c r="X15" s="3">
        <v>30545</v>
      </c>
      <c r="Y15" s="3">
        <v>33413</v>
      </c>
      <c r="Z15" s="3">
        <v>34604</v>
      </c>
      <c r="AA15" s="3">
        <v>36585</v>
      </c>
      <c r="AB15" s="3">
        <f t="shared" ref="AB15:AG15" si="56">AB4*AB9</f>
        <v>42975.387286767691</v>
      </c>
      <c r="AC15" s="3">
        <f t="shared" si="56"/>
        <v>46477.881350639254</v>
      </c>
      <c r="AD15" s="3">
        <f t="shared" si="56"/>
        <v>50265.828680716353</v>
      </c>
      <c r="AE15" s="3">
        <f t="shared" si="56"/>
        <v>54285.963994028352</v>
      </c>
      <c r="AF15" s="3">
        <f t="shared" si="56"/>
        <v>57000.262193729774</v>
      </c>
      <c r="AG15" s="3">
        <f t="shared" si="56"/>
        <v>59850.275303416267</v>
      </c>
      <c r="AH15" s="3">
        <f>AH4*AH9</f>
        <v>62842.789068587081</v>
      </c>
      <c r="AI15" s="3">
        <f>AI4*AI9</f>
        <v>65984.928522016446</v>
      </c>
    </row>
    <row r="16" spans="1:45" s="2" customFormat="1" x14ac:dyDescent="0.2">
      <c r="A16" s="23"/>
      <c r="B16" s="2" t="s">
        <v>129</v>
      </c>
      <c r="C16" s="3">
        <v>1966</v>
      </c>
      <c r="D16" s="3">
        <v>2011</v>
      </c>
      <c r="E16" s="3">
        <v>2208</v>
      </c>
      <c r="F16" s="3">
        <f t="shared" si="55"/>
        <v>2805</v>
      </c>
      <c r="G16" s="3">
        <v>2079</v>
      </c>
      <c r="H16" s="3">
        <v>2101</v>
      </c>
      <c r="I16" s="3">
        <v>2355</v>
      </c>
      <c r="J16" s="3">
        <v>2851</v>
      </c>
      <c r="K16" s="3">
        <v>2254</v>
      </c>
      <c r="L16" s="3">
        <v>2286</v>
      </c>
      <c r="M16" s="3">
        <v>2539</v>
      </c>
      <c r="N16" s="3">
        <f t="shared" ref="N16:N27" si="57">+AA16-SUM(K16:M16)</f>
        <v>3093</v>
      </c>
      <c r="O16" s="3">
        <v>2506</v>
      </c>
      <c r="P16" s="3">
        <v>2507</v>
      </c>
      <c r="Q16" s="3"/>
      <c r="R16" s="3"/>
      <c r="S16" s="3"/>
      <c r="T16" s="3">
        <v>5787.4</v>
      </c>
      <c r="U16" s="3">
        <v>6356</v>
      </c>
      <c r="V16" s="3">
        <v>6096</v>
      </c>
      <c r="W16" s="3">
        <v>8995</v>
      </c>
      <c r="X16" s="3">
        <v>8264</v>
      </c>
      <c r="Y16" s="3">
        <v>8990</v>
      </c>
      <c r="Z16" s="3">
        <v>9386</v>
      </c>
      <c r="AA16" s="3">
        <v>10172</v>
      </c>
      <c r="AB16" s="3">
        <f t="shared" ref="AB16:AH16" si="58">AB5*AB10</f>
        <v>12266.041472194251</v>
      </c>
      <c r="AC16" s="3">
        <f t="shared" si="58"/>
        <v>13199.487228228232</v>
      </c>
      <c r="AD16" s="3">
        <f t="shared" si="58"/>
        <v>14203.9682062964</v>
      </c>
      <c r="AE16" s="3">
        <f t="shared" si="58"/>
        <v>15284.890186795557</v>
      </c>
      <c r="AF16" s="3">
        <f t="shared" si="58"/>
        <v>16448.070330010698</v>
      </c>
      <c r="AG16" s="3">
        <f t="shared" si="58"/>
        <v>17699.768482124513</v>
      </c>
      <c r="AH16" s="3">
        <f t="shared" si="58"/>
        <v>18116.952025248189</v>
      </c>
      <c r="AI16" s="3">
        <f t="shared" ref="AI16" si="59">AI5*AI10</f>
        <v>18479.291065753154</v>
      </c>
    </row>
    <row r="17" spans="1:35" s="2" customFormat="1" x14ac:dyDescent="0.2">
      <c r="A17" s="23"/>
      <c r="B17" s="2" t="s">
        <v>130</v>
      </c>
      <c r="C17" s="3">
        <v>1038</v>
      </c>
      <c r="D17" s="3">
        <v>1223</v>
      </c>
      <c r="E17" s="3">
        <v>1317</v>
      </c>
      <c r="F17" s="3">
        <f t="shared" si="55"/>
        <v>1468</v>
      </c>
      <c r="G17" s="3">
        <v>1113</v>
      </c>
      <c r="H17" s="3">
        <v>1244</v>
      </c>
      <c r="I17" s="3">
        <v>1382</v>
      </c>
      <c r="J17" s="3">
        <v>1450</v>
      </c>
      <c r="K17" s="3">
        <v>1144</v>
      </c>
      <c r="L17" s="3">
        <v>1381</v>
      </c>
      <c r="M17" s="3">
        <v>1492</v>
      </c>
      <c r="N17" s="3">
        <f t="shared" si="57"/>
        <v>1612</v>
      </c>
      <c r="O17" s="3">
        <v>1285</v>
      </c>
      <c r="P17" s="3">
        <v>1470</v>
      </c>
      <c r="Q17" s="3"/>
      <c r="R17" s="3"/>
      <c r="S17" s="3"/>
      <c r="T17" s="3">
        <v>3869.8</v>
      </c>
      <c r="U17" s="3">
        <v>4031</v>
      </c>
      <c r="V17" s="3">
        <v>2836</v>
      </c>
      <c r="W17" s="3">
        <v>4343</v>
      </c>
      <c r="X17" s="3">
        <v>4912</v>
      </c>
      <c r="Y17" s="3">
        <v>5046</v>
      </c>
      <c r="Z17" s="3">
        <v>5189</v>
      </c>
      <c r="AA17" s="3">
        <v>5629</v>
      </c>
      <c r="AB17" s="3">
        <f t="shared" ref="AB17:AH17" si="60">AB6*AB11</f>
        <v>4478.4012744801412</v>
      </c>
      <c r="AC17" s="3">
        <f t="shared" si="60"/>
        <v>4613.6489929694417</v>
      </c>
      <c r="AD17" s="3">
        <f t="shared" si="60"/>
        <v>4752.9811925571194</v>
      </c>
      <c r="AE17" s="3">
        <f t="shared" si="60"/>
        <v>4896.5212245723442</v>
      </c>
      <c r="AF17" s="3">
        <f t="shared" si="60"/>
        <v>5043.4070682670654</v>
      </c>
      <c r="AG17" s="3">
        <f t="shared" si="60"/>
        <v>5093.8411389497369</v>
      </c>
      <c r="AH17" s="3">
        <f t="shared" si="60"/>
        <v>5144.7795503392344</v>
      </c>
      <c r="AI17" s="3">
        <f t="shared" ref="AI17" si="61">AI6*AI11</f>
        <v>5196.2273458426262</v>
      </c>
    </row>
    <row r="18" spans="1:35" s="2" customFormat="1" x14ac:dyDescent="0.2">
      <c r="B18" s="2" t="s">
        <v>131</v>
      </c>
      <c r="C18" s="3">
        <v>1537</v>
      </c>
      <c r="D18" s="3">
        <v>1621</v>
      </c>
      <c r="E18" s="3">
        <v>1633</v>
      </c>
      <c r="F18" s="3">
        <f t="shared" si="55"/>
        <v>1977</v>
      </c>
      <c r="G18" s="3">
        <v>1537</v>
      </c>
      <c r="H18" s="3">
        <v>1678</v>
      </c>
      <c r="I18" s="3">
        <v>1888</v>
      </c>
      <c r="J18" s="3">
        <v>2078</v>
      </c>
      <c r="K18" s="3">
        <v>1661</v>
      </c>
      <c r="L18" s="3">
        <v>1893</v>
      </c>
      <c r="M18" s="3">
        <v>2049</v>
      </c>
      <c r="N18" s="3">
        <f t="shared" si="57"/>
        <v>2383</v>
      </c>
      <c r="O18" s="3">
        <v>1882</v>
      </c>
      <c r="P18" s="3">
        <v>2094</v>
      </c>
      <c r="Q18" s="3"/>
      <c r="R18" s="3"/>
      <c r="S18" s="3"/>
      <c r="T18" s="3">
        <v>5257.8</v>
      </c>
      <c r="U18" s="3">
        <v>5665</v>
      </c>
      <c r="V18" s="3">
        <v>3842</v>
      </c>
      <c r="W18" s="3">
        <v>5729</v>
      </c>
      <c r="X18" s="3">
        <v>6215</v>
      </c>
      <c r="Y18" s="3">
        <v>6768</v>
      </c>
      <c r="Z18" s="3">
        <v>7181</v>
      </c>
      <c r="AA18" s="3">
        <v>7986</v>
      </c>
      <c r="AB18" s="3">
        <f t="shared" ref="AB18:AH18" si="62">AB7*AB12</f>
        <v>7841.8962933399771</v>
      </c>
      <c r="AC18" s="3">
        <f t="shared" si="62"/>
        <v>8398.6709301671162</v>
      </c>
      <c r="AD18" s="3">
        <f t="shared" si="62"/>
        <v>8994.9765662089831</v>
      </c>
      <c r="AE18" s="3">
        <f t="shared" si="62"/>
        <v>9633.6199024098223</v>
      </c>
      <c r="AF18" s="3">
        <f t="shared" si="62"/>
        <v>10272.405970898815</v>
      </c>
      <c r="AG18" s="3">
        <f t="shared" si="62"/>
        <v>10477.854090316792</v>
      </c>
      <c r="AH18" s="3">
        <f t="shared" si="62"/>
        <v>10687.411172123129</v>
      </c>
      <c r="AI18" s="3">
        <f t="shared" ref="AI18" si="63">AI7*AI12</f>
        <v>10901.159395565592</v>
      </c>
    </row>
    <row r="19" spans="1:35" s="2" customFormat="1" x14ac:dyDescent="0.2">
      <c r="B19" s="1" t="s">
        <v>19</v>
      </c>
      <c r="C19" s="25">
        <v>11783</v>
      </c>
      <c r="D19" s="25">
        <v>12758</v>
      </c>
      <c r="E19" s="25">
        <v>13265</v>
      </c>
      <c r="F19" s="25">
        <f t="shared" si="55"/>
        <v>16411</v>
      </c>
      <c r="G19" s="25">
        <v>12479</v>
      </c>
      <c r="H19" s="25">
        <f>SUM(H15:H18)</f>
        <v>13468</v>
      </c>
      <c r="I19" s="25">
        <f>SUM(I15:I18)</f>
        <v>14063</v>
      </c>
      <c r="J19" s="25">
        <v>16350</v>
      </c>
      <c r="K19" s="25">
        <v>13111</v>
      </c>
      <c r="L19" s="25">
        <v>14401</v>
      </c>
      <c r="M19" s="25">
        <v>15117</v>
      </c>
      <c r="N19" s="25">
        <f t="shared" si="57"/>
        <v>17743</v>
      </c>
      <c r="O19" s="25">
        <v>14323</v>
      </c>
      <c r="P19" s="25">
        <v>15180</v>
      </c>
      <c r="Q19" s="25"/>
      <c r="R19" s="25"/>
      <c r="S19" s="25"/>
      <c r="T19" s="25">
        <v>38972.934000000001</v>
      </c>
      <c r="U19" s="25">
        <f t="shared" ref="U19:Z19" si="64">SUM(U15:U18)</f>
        <v>41717</v>
      </c>
      <c r="V19" s="25">
        <f t="shared" si="64"/>
        <v>32137</v>
      </c>
      <c r="W19" s="25">
        <f t="shared" si="64"/>
        <v>48550</v>
      </c>
      <c r="X19" s="25">
        <f t="shared" si="64"/>
        <v>49936</v>
      </c>
      <c r="Y19" s="25">
        <f t="shared" si="64"/>
        <v>54217</v>
      </c>
      <c r="Z19" s="25">
        <f t="shared" si="64"/>
        <v>56360</v>
      </c>
      <c r="AA19" s="25">
        <v>60372</v>
      </c>
      <c r="AB19" s="25">
        <f t="shared" ref="AB19:AH19" si="65">SUM(AB15:AB18)</f>
        <v>67561.726326782067</v>
      </c>
      <c r="AC19" s="25">
        <f t="shared" si="65"/>
        <v>72689.68850200405</v>
      </c>
      <c r="AD19" s="25">
        <f t="shared" si="65"/>
        <v>78217.754645778841</v>
      </c>
      <c r="AE19" s="25">
        <f t="shared" si="65"/>
        <v>84100.995307806064</v>
      </c>
      <c r="AF19" s="25">
        <f t="shared" si="65"/>
        <v>88764.145562906371</v>
      </c>
      <c r="AG19" s="25">
        <f t="shared" si="65"/>
        <v>93121.739014807303</v>
      </c>
      <c r="AH19" s="25">
        <f t="shared" si="65"/>
        <v>96791.931816297641</v>
      </c>
      <c r="AI19" s="25">
        <f>SUM(AI15:AI18)</f>
        <v>100561.6063291778</v>
      </c>
    </row>
    <row r="20" spans="1:35" s="2" customFormat="1" x14ac:dyDescent="0.2">
      <c r="B20" s="2" t="s">
        <v>20</v>
      </c>
      <c r="C20" s="3">
        <v>8374</v>
      </c>
      <c r="D20" s="3">
        <v>8910</v>
      </c>
      <c r="E20" s="3">
        <v>9139</v>
      </c>
      <c r="F20" s="3">
        <f t="shared" si="55"/>
        <v>11528</v>
      </c>
      <c r="G20" s="3">
        <v>8739</v>
      </c>
      <c r="H20" s="3">
        <v>9380</v>
      </c>
      <c r="I20" s="3">
        <v>9622</v>
      </c>
      <c r="J20" s="3">
        <v>11371</v>
      </c>
      <c r="K20" s="3">
        <v>9246</v>
      </c>
      <c r="L20" s="3">
        <v>9976</v>
      </c>
      <c r="M20" s="3">
        <v>10190</v>
      </c>
      <c r="N20" s="3">
        <f t="shared" si="57"/>
        <v>12267</v>
      </c>
      <c r="O20" s="3">
        <v>9843</v>
      </c>
      <c r="P20" s="3">
        <v>10108</v>
      </c>
      <c r="Q20" s="3"/>
      <c r="R20" s="3"/>
      <c r="S20" s="3"/>
      <c r="T20" s="3">
        <v>27831.177</v>
      </c>
      <c r="U20" s="3">
        <v>29845.78</v>
      </c>
      <c r="V20" s="3">
        <v>24533.814999999999</v>
      </c>
      <c r="W20" s="3">
        <v>34714</v>
      </c>
      <c r="X20" s="3">
        <v>36149</v>
      </c>
      <c r="Y20" s="3">
        <v>37951</v>
      </c>
      <c r="Z20" s="3">
        <v>39112</v>
      </c>
      <c r="AA20" s="3">
        <v>41679</v>
      </c>
      <c r="AB20" s="3"/>
      <c r="AC20" s="3"/>
      <c r="AD20" s="3"/>
      <c r="AE20" s="3"/>
      <c r="AF20" s="3"/>
      <c r="AG20" s="3"/>
      <c r="AH20" s="3"/>
      <c r="AI20" s="3"/>
    </row>
    <row r="21" spans="1:35" s="2" customFormat="1" x14ac:dyDescent="0.2">
      <c r="B21" s="2" t="s">
        <v>21</v>
      </c>
      <c r="C21" s="3">
        <f t="shared" ref="C21:F21" si="66">C19-C20</f>
        <v>3409</v>
      </c>
      <c r="D21" s="3">
        <f t="shared" si="66"/>
        <v>3848</v>
      </c>
      <c r="E21" s="3">
        <f t="shared" si="66"/>
        <v>4126</v>
      </c>
      <c r="F21" s="3">
        <f t="shared" si="66"/>
        <v>4883</v>
      </c>
      <c r="G21" s="3">
        <f>G19-G20</f>
        <v>3740</v>
      </c>
      <c r="H21" s="3">
        <f t="shared" ref="H21:P21" si="67">H19-H20</f>
        <v>4088</v>
      </c>
      <c r="I21" s="3">
        <f t="shared" si="67"/>
        <v>4441</v>
      </c>
      <c r="J21" s="3">
        <f t="shared" si="67"/>
        <v>4979</v>
      </c>
      <c r="K21" s="3">
        <f t="shared" si="67"/>
        <v>3865</v>
      </c>
      <c r="L21" s="3">
        <f t="shared" si="67"/>
        <v>4425</v>
      </c>
      <c r="M21" s="3">
        <f t="shared" si="67"/>
        <v>4927</v>
      </c>
      <c r="N21" s="3">
        <f t="shared" si="67"/>
        <v>5476</v>
      </c>
      <c r="O21" s="3">
        <f t="shared" si="67"/>
        <v>4480</v>
      </c>
      <c r="P21" s="3">
        <f t="shared" si="67"/>
        <v>5072</v>
      </c>
      <c r="Q21" s="3"/>
      <c r="R21" s="3"/>
      <c r="S21" s="3"/>
      <c r="T21" s="3">
        <f t="shared" ref="T21:X21" si="68">T19-T20</f>
        <v>11141.757000000001</v>
      </c>
      <c r="U21" s="3">
        <f t="shared" si="68"/>
        <v>11871.220000000001</v>
      </c>
      <c r="V21" s="3">
        <f t="shared" si="68"/>
        <v>7603.1850000000013</v>
      </c>
      <c r="W21" s="3">
        <f t="shared" si="68"/>
        <v>13836</v>
      </c>
      <c r="X21" s="3">
        <f t="shared" si="68"/>
        <v>13787</v>
      </c>
      <c r="Y21" s="3">
        <f>Y19-Y20</f>
        <v>16266</v>
      </c>
      <c r="Z21" s="3">
        <f>Z19-Z20</f>
        <v>17248</v>
      </c>
      <c r="AA21" s="3">
        <f>AA19-AA20</f>
        <v>18693</v>
      </c>
      <c r="AB21" s="3"/>
      <c r="AC21" s="3"/>
      <c r="AD21" s="3"/>
      <c r="AE21" s="3"/>
      <c r="AF21" s="3"/>
      <c r="AG21" s="3"/>
      <c r="AH21" s="3"/>
      <c r="AI21" s="3"/>
    </row>
    <row r="22" spans="1:35" s="2" customFormat="1" x14ac:dyDescent="0.2">
      <c r="B22" s="2" t="s">
        <v>22</v>
      </c>
      <c r="C22" s="3">
        <v>2238</v>
      </c>
      <c r="D22" s="3">
        <v>2559</v>
      </c>
      <c r="E22" s="3">
        <v>2578</v>
      </c>
      <c r="F22" s="3">
        <f>Y22-SUM(C22:E22)</f>
        <v>3094</v>
      </c>
      <c r="G22" s="3">
        <v>2400</v>
      </c>
      <c r="H22" s="3">
        <v>2666</v>
      </c>
      <c r="I22" s="3">
        <v>2748</v>
      </c>
      <c r="J22" s="3">
        <v>3132</v>
      </c>
      <c r="K22" s="3">
        <v>2549</v>
      </c>
      <c r="L22" s="3">
        <v>2805</v>
      </c>
      <c r="M22" s="3">
        <v>3039</v>
      </c>
      <c r="N22" s="3">
        <f t="shared" si="57"/>
        <v>3122</v>
      </c>
      <c r="O22" s="3">
        <v>2794</v>
      </c>
      <c r="P22" s="3">
        <v>3085</v>
      </c>
      <c r="Q22" s="3"/>
      <c r="R22" s="3"/>
      <c r="S22" s="3"/>
      <c r="T22" s="3">
        <v>6923.5640000000003</v>
      </c>
      <c r="U22" s="3">
        <v>7454.9880000000003</v>
      </c>
      <c r="V22" s="3">
        <v>7020.9170000000004</v>
      </c>
      <c r="W22" s="3">
        <v>9081</v>
      </c>
      <c r="X22" s="3">
        <v>8927</v>
      </c>
      <c r="Y22" s="3">
        <v>10469</v>
      </c>
      <c r="Z22" s="3">
        <v>10946</v>
      </c>
      <c r="AA22" s="3">
        <v>11515</v>
      </c>
      <c r="AB22" s="3"/>
      <c r="AC22" s="3"/>
      <c r="AD22" s="3"/>
      <c r="AE22" s="3"/>
      <c r="AF22" s="3"/>
      <c r="AG22" s="3"/>
      <c r="AH22" s="3"/>
      <c r="AI22" s="3"/>
    </row>
    <row r="23" spans="1:35" s="2" customFormat="1" x14ac:dyDescent="0.2">
      <c r="B23" s="2" t="s">
        <v>23</v>
      </c>
      <c r="C23" s="3">
        <f t="shared" ref="C23:F23" si="69">C21-C22</f>
        <v>1171</v>
      </c>
      <c r="D23" s="3">
        <f t="shared" si="69"/>
        <v>1289</v>
      </c>
      <c r="E23" s="3">
        <f t="shared" si="69"/>
        <v>1548</v>
      </c>
      <c r="F23" s="3">
        <f t="shared" si="69"/>
        <v>1789</v>
      </c>
      <c r="G23" s="3">
        <f>G21-G22</f>
        <v>1340</v>
      </c>
      <c r="H23" s="3">
        <f t="shared" ref="H23:P23" si="70">H21-H22</f>
        <v>1422</v>
      </c>
      <c r="I23" s="3">
        <f t="shared" si="70"/>
        <v>1693</v>
      </c>
      <c r="J23" s="3">
        <f t="shared" si="70"/>
        <v>1847</v>
      </c>
      <c r="K23" s="3">
        <f t="shared" si="70"/>
        <v>1316</v>
      </c>
      <c r="L23" s="3">
        <f t="shared" si="70"/>
        <v>1620</v>
      </c>
      <c r="M23" s="3">
        <f t="shared" si="70"/>
        <v>1888</v>
      </c>
      <c r="N23" s="3">
        <f t="shared" si="70"/>
        <v>2354</v>
      </c>
      <c r="O23" s="3">
        <f t="shared" si="70"/>
        <v>1686</v>
      </c>
      <c r="P23" s="3">
        <f t="shared" si="70"/>
        <v>1987</v>
      </c>
      <c r="Q23" s="3"/>
      <c r="R23" s="3"/>
      <c r="S23" s="3"/>
      <c r="T23" s="3">
        <f t="shared" ref="T23:X23" si="71">T21-T22</f>
        <v>4218.1930000000011</v>
      </c>
      <c r="U23" s="3">
        <f t="shared" si="71"/>
        <v>4416.2320000000009</v>
      </c>
      <c r="V23" s="3">
        <f t="shared" si="71"/>
        <v>582.26800000000094</v>
      </c>
      <c r="W23" s="3">
        <f t="shared" si="71"/>
        <v>4755</v>
      </c>
      <c r="X23" s="3">
        <f t="shared" si="71"/>
        <v>4860</v>
      </c>
      <c r="Y23" s="3">
        <f>Y21-Y22</f>
        <v>5797</v>
      </c>
      <c r="Z23" s="3">
        <f>Z21-Z22</f>
        <v>6302</v>
      </c>
      <c r="AA23" s="3">
        <f>AA21-AA22</f>
        <v>7178</v>
      </c>
      <c r="AB23" s="3"/>
      <c r="AC23" s="3"/>
      <c r="AD23" s="3"/>
      <c r="AE23" s="3"/>
      <c r="AF23" s="3"/>
      <c r="AG23" s="3"/>
      <c r="AH23" s="3"/>
      <c r="AI23" s="3"/>
    </row>
    <row r="24" spans="1:35" s="2" customFormat="1" x14ac:dyDescent="0.2">
      <c r="B24" s="2" t="s">
        <v>35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f t="shared" si="57"/>
        <v>0</v>
      </c>
      <c r="O24" s="3">
        <v>0</v>
      </c>
      <c r="P24" s="3">
        <v>0</v>
      </c>
      <c r="Q24" s="3"/>
      <c r="R24" s="3"/>
      <c r="S24" s="25"/>
      <c r="T24" s="3">
        <v>-36.112000000000002</v>
      </c>
      <c r="U24" s="3">
        <v>0</v>
      </c>
      <c r="V24" s="3">
        <v>-312.233</v>
      </c>
      <c r="W24" s="3">
        <v>-242</v>
      </c>
      <c r="X24" s="3">
        <v>-218</v>
      </c>
      <c r="Y24" s="3">
        <v>0</v>
      </c>
      <c r="Z24" s="3">
        <v>0</v>
      </c>
      <c r="AA24" s="3">
        <v>0</v>
      </c>
      <c r="AB24" s="3"/>
      <c r="AC24" s="3"/>
      <c r="AD24" s="3"/>
      <c r="AE24" s="3"/>
      <c r="AF24" s="3"/>
      <c r="AG24" s="3"/>
      <c r="AH24" s="3"/>
      <c r="AI24" s="3"/>
    </row>
    <row r="25" spans="1:35" s="2" customFormat="1" x14ac:dyDescent="0.2">
      <c r="B25" s="2" t="s">
        <v>239</v>
      </c>
      <c r="C25" s="3">
        <v>37</v>
      </c>
      <c r="D25" s="3">
        <v>38</v>
      </c>
      <c r="E25" s="3">
        <v>41</v>
      </c>
      <c r="F25" s="3">
        <f>Y25-SUM(C25:E25)</f>
        <v>54</v>
      </c>
      <c r="G25" s="3">
        <v>50</v>
      </c>
      <c r="H25" s="3">
        <v>46</v>
      </c>
      <c r="I25" s="3">
        <v>43</v>
      </c>
      <c r="J25" s="3">
        <v>42</v>
      </c>
      <c r="K25" s="3">
        <v>30</v>
      </c>
      <c r="L25" s="3">
        <v>27</v>
      </c>
      <c r="M25" s="3">
        <v>28</v>
      </c>
      <c r="N25" s="3">
        <f t="shared" si="57"/>
        <v>36</v>
      </c>
      <c r="O25" s="3">
        <v>35</v>
      </c>
      <c r="P25" s="3">
        <v>31</v>
      </c>
      <c r="Q25" s="3"/>
      <c r="R25" s="3"/>
      <c r="S25" s="3"/>
      <c r="T25" s="3">
        <v>-8.86</v>
      </c>
      <c r="U25" s="3">
        <v>-10.026</v>
      </c>
      <c r="V25" s="3">
        <v>-180.73400000000001</v>
      </c>
      <c r="W25" s="3">
        <v>-115</v>
      </c>
      <c r="X25" s="3">
        <v>-6</v>
      </c>
      <c r="Y25" s="3">
        <v>170</v>
      </c>
      <c r="Z25" s="3">
        <v>181</v>
      </c>
      <c r="AA25" s="3">
        <v>121</v>
      </c>
      <c r="AB25" s="3"/>
      <c r="AC25" s="3"/>
      <c r="AD25" s="3"/>
      <c r="AE25" s="3"/>
      <c r="AF25" s="3"/>
      <c r="AG25" s="3"/>
      <c r="AH25" s="3"/>
      <c r="AI25" s="3"/>
    </row>
    <row r="26" spans="1:35" s="2" customFormat="1" x14ac:dyDescent="0.2">
      <c r="B26" s="2" t="s">
        <v>24</v>
      </c>
      <c r="C26" s="3">
        <f t="shared" ref="C26:F26" si="72">C23+C25</f>
        <v>1208</v>
      </c>
      <c r="D26" s="3">
        <f t="shared" si="72"/>
        <v>1327</v>
      </c>
      <c r="E26" s="3">
        <f t="shared" si="72"/>
        <v>1589</v>
      </c>
      <c r="F26" s="3">
        <f t="shared" si="72"/>
        <v>1843</v>
      </c>
      <c r="G26" s="3">
        <f>G23+G25</f>
        <v>1390</v>
      </c>
      <c r="H26" s="3">
        <f t="shared" ref="H26:P26" si="73">H23+H25</f>
        <v>1468</v>
      </c>
      <c r="I26" s="3">
        <f t="shared" si="73"/>
        <v>1736</v>
      </c>
      <c r="J26" s="3">
        <f t="shared" si="73"/>
        <v>1889</v>
      </c>
      <c r="K26" s="3">
        <f t="shared" si="73"/>
        <v>1346</v>
      </c>
      <c r="L26" s="3">
        <f t="shared" si="73"/>
        <v>1647</v>
      </c>
      <c r="M26" s="3">
        <f t="shared" si="73"/>
        <v>1916</v>
      </c>
      <c r="N26" s="3">
        <f t="shared" si="73"/>
        <v>2390</v>
      </c>
      <c r="O26" s="3">
        <f t="shared" si="73"/>
        <v>1721</v>
      </c>
      <c r="P26" s="3">
        <f t="shared" si="73"/>
        <v>2018</v>
      </c>
      <c r="Q26" s="3"/>
      <c r="R26" s="3"/>
      <c r="S26" s="3"/>
      <c r="T26" s="3">
        <f t="shared" ref="T26:X26" si="74">T23+T24+T25</f>
        <v>4173.2210000000014</v>
      </c>
      <c r="U26" s="3">
        <f t="shared" si="74"/>
        <v>4406.206000000001</v>
      </c>
      <c r="V26" s="3">
        <f t="shared" si="74"/>
        <v>89.301000000000926</v>
      </c>
      <c r="W26" s="3">
        <f t="shared" si="74"/>
        <v>4398</v>
      </c>
      <c r="X26" s="3">
        <f t="shared" si="74"/>
        <v>4636</v>
      </c>
      <c r="Y26" s="3">
        <f>Y23+Y24+Y25</f>
        <v>5967</v>
      </c>
      <c r="Z26" s="3">
        <f>Z23+Z24+Z25</f>
        <v>6483</v>
      </c>
      <c r="AA26" s="3">
        <f>AA23+AA24+AA25</f>
        <v>7299</v>
      </c>
      <c r="AB26" s="3"/>
      <c r="AC26" s="3"/>
      <c r="AD26" s="3"/>
      <c r="AE26" s="3"/>
      <c r="AF26" s="3"/>
      <c r="AG26" s="3"/>
      <c r="AH26" s="3"/>
      <c r="AI26" s="3"/>
    </row>
    <row r="27" spans="1:35" s="2" customFormat="1" x14ac:dyDescent="0.2">
      <c r="B27" s="2" t="s">
        <v>25</v>
      </c>
      <c r="C27" s="3">
        <v>317</v>
      </c>
      <c r="D27" s="3">
        <v>338</v>
      </c>
      <c r="E27" s="3">
        <v>398</v>
      </c>
      <c r="F27" s="3">
        <f>Y27-SUM(C27:E27)</f>
        <v>440</v>
      </c>
      <c r="G27" s="3">
        <v>320</v>
      </c>
      <c r="H27" s="3">
        <v>369</v>
      </c>
      <c r="I27" s="3">
        <v>439</v>
      </c>
      <c r="J27" s="3">
        <v>491</v>
      </c>
      <c r="K27" s="3">
        <v>310</v>
      </c>
      <c r="L27" s="3">
        <v>404</v>
      </c>
      <c r="M27" s="3">
        <v>474</v>
      </c>
      <c r="N27" s="3">
        <f t="shared" si="57"/>
        <v>617</v>
      </c>
      <c r="O27" s="3">
        <v>389</v>
      </c>
      <c r="P27" s="3">
        <v>498</v>
      </c>
      <c r="Q27" s="3"/>
      <c r="R27" s="3"/>
      <c r="S27" s="3"/>
      <c r="T27" s="3">
        <v>1113.413</v>
      </c>
      <c r="U27" s="3">
        <v>1133.99</v>
      </c>
      <c r="V27" s="3">
        <v>-1.2070000000000001</v>
      </c>
      <c r="W27" s="3">
        <v>1115</v>
      </c>
      <c r="X27" s="3">
        <v>1138</v>
      </c>
      <c r="Y27" s="3">
        <v>1493</v>
      </c>
      <c r="Z27" s="3">
        <v>1619</v>
      </c>
      <c r="AA27" s="3">
        <v>1805</v>
      </c>
      <c r="AB27" s="3"/>
      <c r="AC27" s="3"/>
      <c r="AD27" s="3"/>
      <c r="AE27" s="3"/>
      <c r="AF27" s="3"/>
      <c r="AG27" s="3"/>
      <c r="AH27" s="3"/>
      <c r="AI27" s="3"/>
    </row>
    <row r="28" spans="1:35" s="2" customFormat="1" x14ac:dyDescent="0.2">
      <c r="B28" s="2" t="s">
        <v>26</v>
      </c>
      <c r="C28" s="3">
        <f t="shared" ref="C28:F28" si="75">C26-C27</f>
        <v>891</v>
      </c>
      <c r="D28" s="3">
        <f t="shared" si="75"/>
        <v>989</v>
      </c>
      <c r="E28" s="3">
        <f t="shared" si="75"/>
        <v>1191</v>
      </c>
      <c r="F28" s="3">
        <f t="shared" si="75"/>
        <v>1403</v>
      </c>
      <c r="G28" s="3">
        <f>G26-G27</f>
        <v>1070</v>
      </c>
      <c r="H28" s="3">
        <f t="shared" ref="H28:P28" si="76">H26-H27</f>
        <v>1099</v>
      </c>
      <c r="I28" s="3">
        <f t="shared" si="76"/>
        <v>1297</v>
      </c>
      <c r="J28" s="3">
        <f t="shared" si="76"/>
        <v>1398</v>
      </c>
      <c r="K28" s="3">
        <f t="shared" si="76"/>
        <v>1036</v>
      </c>
      <c r="L28" s="3">
        <f t="shared" si="76"/>
        <v>1243</v>
      </c>
      <c r="M28" s="3">
        <f t="shared" si="76"/>
        <v>1442</v>
      </c>
      <c r="N28" s="3">
        <f t="shared" si="76"/>
        <v>1773</v>
      </c>
      <c r="O28" s="3">
        <f t="shared" si="76"/>
        <v>1332</v>
      </c>
      <c r="P28" s="3">
        <f t="shared" si="76"/>
        <v>1520</v>
      </c>
      <c r="Q28" s="3"/>
      <c r="R28" s="3"/>
      <c r="S28" s="3"/>
      <c r="T28" s="3">
        <f t="shared" ref="T28:X28" si="77">T26-T27</f>
        <v>3059.8080000000014</v>
      </c>
      <c r="U28" s="3">
        <f t="shared" si="77"/>
        <v>3272.2160000000013</v>
      </c>
      <c r="V28" s="3">
        <f t="shared" si="77"/>
        <v>90.508000000000919</v>
      </c>
      <c r="W28" s="3">
        <f t="shared" si="77"/>
        <v>3283</v>
      </c>
      <c r="X28" s="3">
        <f t="shared" si="77"/>
        <v>3498</v>
      </c>
      <c r="Y28" s="3">
        <f>Y26-Y27</f>
        <v>4474</v>
      </c>
      <c r="Z28" s="3">
        <f>Z26-Z27</f>
        <v>4864</v>
      </c>
      <c r="AA28" s="3">
        <f>AA26-AA27</f>
        <v>5494</v>
      </c>
      <c r="AB28" s="3"/>
      <c r="AC28" s="3"/>
      <c r="AD28" s="3"/>
      <c r="AE28" s="3"/>
      <c r="AF28" s="3"/>
      <c r="AG28" s="3"/>
      <c r="AH28" s="3"/>
      <c r="AI28" s="3"/>
    </row>
    <row r="29" spans="1:35" s="2" customFormat="1" x14ac:dyDescent="0.2"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Z29" s="24"/>
      <c r="AA29" s="24"/>
      <c r="AB29" s="24"/>
      <c r="AC29" s="24"/>
      <c r="AD29" s="24"/>
    </row>
    <row r="30" spans="1:35" s="2" customFormat="1" x14ac:dyDescent="0.2">
      <c r="B30" s="2" t="s">
        <v>28</v>
      </c>
      <c r="C30" s="26">
        <f t="shared" ref="C30:H30" si="78">+C28/C31</f>
        <v>0.78502202643171803</v>
      </c>
      <c r="D30" s="26">
        <f t="shared" si="78"/>
        <v>0.86149825783972123</v>
      </c>
      <c r="E30" s="26">
        <f t="shared" si="78"/>
        <v>1.041083916083916</v>
      </c>
      <c r="F30" s="26">
        <f t="shared" si="78"/>
        <v>1.2242582897033158</v>
      </c>
      <c r="G30" s="26">
        <f t="shared" si="78"/>
        <v>0.94522968197879864</v>
      </c>
      <c r="H30" s="26">
        <f t="shared" si="78"/>
        <v>0.96066433566433562</v>
      </c>
      <c r="I30" s="26">
        <f>+I28/I31</f>
        <v>1.1508429458740017</v>
      </c>
      <c r="J30" s="26">
        <f t="shared" ref="J30:P30" si="79">+J28/J31</f>
        <v>1.2284710017574691</v>
      </c>
      <c r="K30" s="26">
        <f t="shared" si="79"/>
        <v>0.9151943462897526</v>
      </c>
      <c r="L30" s="26">
        <f t="shared" si="79"/>
        <v>1.1019503546099292</v>
      </c>
      <c r="M30" s="26">
        <f t="shared" si="79"/>
        <v>1.280639431616341</v>
      </c>
      <c r="N30" s="26">
        <f t="shared" si="79"/>
        <v>1.5746003552397869</v>
      </c>
      <c r="O30" s="26">
        <f t="shared" si="79"/>
        <v>1.1892857142857143</v>
      </c>
      <c r="P30" s="26">
        <f t="shared" si="79"/>
        <v>1.3607878245299911</v>
      </c>
      <c r="Q30" s="26"/>
      <c r="R30" s="26"/>
      <c r="S30" s="26"/>
      <c r="T30" s="26">
        <f t="shared" ref="T30:AA30" si="80">T28/T31</f>
        <v>2.4652947702660359</v>
      </c>
      <c r="U30" s="26">
        <f t="shared" si="80"/>
        <v>2.7084226217819958</v>
      </c>
      <c r="V30" s="26">
        <f t="shared" si="80"/>
        <v>7.5427921865247577E-2</v>
      </c>
      <c r="W30" s="26">
        <f t="shared" si="80"/>
        <v>2.7358333333333333</v>
      </c>
      <c r="X30" s="26">
        <f t="shared" si="80"/>
        <v>3</v>
      </c>
      <c r="Y30" s="26">
        <f t="shared" si="80"/>
        <v>3.9040139616055844</v>
      </c>
      <c r="Z30" s="26">
        <f t="shared" si="80"/>
        <v>4.2591943957968477</v>
      </c>
      <c r="AA30" s="26">
        <f t="shared" si="80"/>
        <v>4.9317773788150809</v>
      </c>
      <c r="AB30" s="24"/>
      <c r="AC30" s="24"/>
      <c r="AD30" s="24"/>
    </row>
    <row r="31" spans="1:35" s="2" customFormat="1" x14ac:dyDescent="0.2">
      <c r="B31" s="2" t="s">
        <v>27</v>
      </c>
      <c r="C31" s="3">
        <v>1135</v>
      </c>
      <c r="D31" s="3">
        <v>1148</v>
      </c>
      <c r="E31" s="3">
        <v>1144</v>
      </c>
      <c r="F31" s="3">
        <v>1146</v>
      </c>
      <c r="G31" s="3">
        <v>1132</v>
      </c>
      <c r="H31" s="3">
        <v>1144</v>
      </c>
      <c r="I31" s="3">
        <v>1127</v>
      </c>
      <c r="J31" s="3">
        <v>1138</v>
      </c>
      <c r="K31" s="3">
        <v>1132</v>
      </c>
      <c r="L31" s="3">
        <v>1128</v>
      </c>
      <c r="M31" s="3">
        <v>1126</v>
      </c>
      <c r="N31" s="3">
        <v>1126</v>
      </c>
      <c r="O31" s="3">
        <v>1120</v>
      </c>
      <c r="P31" s="3">
        <v>1117</v>
      </c>
      <c r="Q31" s="3"/>
      <c r="R31" s="3"/>
      <c r="S31" s="24"/>
      <c r="T31" s="3">
        <v>1241.153</v>
      </c>
      <c r="U31" s="3">
        <v>1208.163</v>
      </c>
      <c r="V31" s="3">
        <v>1199.9269999999999</v>
      </c>
      <c r="W31" s="3">
        <v>1200</v>
      </c>
      <c r="X31" s="3">
        <v>1166</v>
      </c>
      <c r="Y31" s="3">
        <v>1146</v>
      </c>
      <c r="Z31" s="3">
        <v>1142</v>
      </c>
      <c r="AA31" s="3">
        <v>1114</v>
      </c>
      <c r="AB31" s="24"/>
      <c r="AC31" s="24"/>
      <c r="AD31" s="24"/>
    </row>
    <row r="32" spans="1:35" s="2" customFormat="1" x14ac:dyDescent="0.2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Z32" s="24"/>
      <c r="AA32" s="24"/>
      <c r="AB32" s="24"/>
      <c r="AC32" s="24"/>
      <c r="AD32" s="24"/>
      <c r="AE32" s="3"/>
      <c r="AF32" s="3"/>
      <c r="AG32" s="3"/>
    </row>
    <row r="33" spans="1:35" s="2" customFormat="1" x14ac:dyDescent="0.2">
      <c r="A33" s="23" t="s">
        <v>9</v>
      </c>
      <c r="B33" s="22" t="s">
        <v>29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3"/>
      <c r="AF33" s="3"/>
      <c r="AG33" s="3"/>
    </row>
    <row r="34" spans="1:35" s="2" customFormat="1" x14ac:dyDescent="0.2">
      <c r="A34" s="23"/>
      <c r="B34" s="2" t="s">
        <v>143</v>
      </c>
      <c r="C34" s="24"/>
      <c r="D34" s="24"/>
      <c r="E34" s="24"/>
      <c r="F34" s="24"/>
      <c r="G34" s="27">
        <f t="shared" ref="G34:N37" si="81">G4/C4-1</f>
        <v>1.7871017871017969E-2</v>
      </c>
      <c r="H34" s="27">
        <f t="shared" si="81"/>
        <v>2.0558572536850228E-2</v>
      </c>
      <c r="I34" s="27">
        <f t="shared" si="81"/>
        <v>2.1513638109873279E-2</v>
      </c>
      <c r="J34" s="27">
        <f t="shared" si="81"/>
        <v>5.9220985691573969E-2</v>
      </c>
      <c r="K34" s="27">
        <f t="shared" si="81"/>
        <v>-1.8320610687022953E-2</v>
      </c>
      <c r="L34" s="27">
        <f t="shared" si="81"/>
        <v>-2.1664766248574718E-2</v>
      </c>
      <c r="M34" s="27">
        <f t="shared" si="81"/>
        <v>-2.4445280180518947E-2</v>
      </c>
      <c r="N34" s="27">
        <f t="shared" si="81"/>
        <v>1.8386491557223161E-2</v>
      </c>
      <c r="O34" s="27">
        <f t="shared" ref="O34:O37" si="82">O4/K4-1</f>
        <v>1.8273716951788588E-2</v>
      </c>
      <c r="P34" s="27">
        <f t="shared" ref="P34:P37" si="83">P4/L4-1</f>
        <v>2.020202020202011E-2</v>
      </c>
      <c r="Q34" s="27"/>
      <c r="R34" s="27"/>
      <c r="S34" s="24"/>
      <c r="T34" s="27"/>
      <c r="U34" s="65">
        <f t="shared" ref="U34:AI34" si="84">U4/T4-1</f>
        <v>2.5608194622279035E-2</v>
      </c>
      <c r="V34" s="65">
        <f t="shared" si="84"/>
        <v>-4.1614648356225192E-4</v>
      </c>
      <c r="W34" s="65">
        <f t="shared" si="84"/>
        <v>1.2489592006661221E-2</v>
      </c>
      <c r="X34" s="65">
        <f t="shared" si="84"/>
        <v>2.0559210526315708E-2</v>
      </c>
      <c r="Y34" s="65">
        <f t="shared" si="84"/>
        <v>1.3698630136986356E-2</v>
      </c>
      <c r="Z34" s="65">
        <f t="shared" si="84"/>
        <v>5.9220985691573969E-2</v>
      </c>
      <c r="AA34" s="65">
        <f t="shared" si="84"/>
        <v>1.8386491557223161E-2</v>
      </c>
      <c r="AB34" s="65">
        <f t="shared" si="84"/>
        <v>3.0000000000000027E-2</v>
      </c>
      <c r="AC34" s="65">
        <f t="shared" si="84"/>
        <v>3.0000000000000027E-2</v>
      </c>
      <c r="AD34" s="65">
        <f t="shared" si="84"/>
        <v>3.0000000000000027E-2</v>
      </c>
      <c r="AE34" s="65">
        <f t="shared" si="84"/>
        <v>2.8550000000000075E-2</v>
      </c>
      <c r="AF34" s="65">
        <f t="shared" si="84"/>
        <v>0</v>
      </c>
      <c r="AG34" s="65">
        <f t="shared" si="84"/>
        <v>0</v>
      </c>
      <c r="AH34" s="65">
        <f t="shared" si="84"/>
        <v>0</v>
      </c>
      <c r="AI34" s="65">
        <f t="shared" si="84"/>
        <v>0</v>
      </c>
    </row>
    <row r="35" spans="1:35" s="2" customFormat="1" x14ac:dyDescent="0.2">
      <c r="A35" s="23"/>
      <c r="B35" s="2" t="s">
        <v>144</v>
      </c>
      <c r="C35" s="24"/>
      <c r="D35" s="24"/>
      <c r="E35" s="24"/>
      <c r="F35" s="24"/>
      <c r="G35" s="27">
        <f t="shared" si="81"/>
        <v>3.2631578947368345E-2</v>
      </c>
      <c r="H35" s="27">
        <f t="shared" si="81"/>
        <v>3.7656903765690419E-2</v>
      </c>
      <c r="I35" s="27">
        <f t="shared" si="81"/>
        <v>4.1322314049586861E-2</v>
      </c>
      <c r="J35" s="27">
        <f t="shared" si="81"/>
        <v>0.18685831622176585</v>
      </c>
      <c r="K35" s="27">
        <f t="shared" si="81"/>
        <v>0.17023445463812426</v>
      </c>
      <c r="L35" s="27">
        <f t="shared" si="81"/>
        <v>0.16431451612903225</v>
      </c>
      <c r="M35" s="27">
        <f t="shared" si="81"/>
        <v>0.16666666666666674</v>
      </c>
      <c r="N35" s="27">
        <f t="shared" si="81"/>
        <v>2.6816608996539815E-2</v>
      </c>
      <c r="O35" s="27">
        <f t="shared" si="82"/>
        <v>5.0522648083623611E-2</v>
      </c>
      <c r="P35" s="27">
        <f t="shared" si="83"/>
        <v>5.1948051948051965E-2</v>
      </c>
      <c r="Q35" s="27"/>
      <c r="R35" s="27"/>
      <c r="S35" s="24"/>
      <c r="T35" s="27"/>
      <c r="U35" s="27">
        <f t="shared" ref="U35:AI35" si="85">U5/T5-1</f>
        <v>9.9346405228758261E-2</v>
      </c>
      <c r="V35" s="27">
        <f t="shared" si="85"/>
        <v>1.6646848989298357E-2</v>
      </c>
      <c r="W35" s="27">
        <f t="shared" si="85"/>
        <v>3.9766081871345005E-2</v>
      </c>
      <c r="X35" s="27">
        <f t="shared" si="85"/>
        <v>5.7367829021372385E-2</v>
      </c>
      <c r="Y35" s="27">
        <f t="shared" si="85"/>
        <v>3.6170212765957555E-2</v>
      </c>
      <c r="Z35" s="27">
        <f t="shared" si="85"/>
        <v>0.18685831622176585</v>
      </c>
      <c r="AA35" s="27">
        <f t="shared" si="85"/>
        <v>2.6816608996539815E-2</v>
      </c>
      <c r="AB35" s="27">
        <f t="shared" si="85"/>
        <v>5.4999999999999938E-2</v>
      </c>
      <c r="AC35" s="27">
        <f t="shared" si="85"/>
        <v>5.4999999999999938E-2</v>
      </c>
      <c r="AD35" s="27">
        <f t="shared" si="85"/>
        <v>5.4999999999999938E-2</v>
      </c>
      <c r="AE35" s="27">
        <f t="shared" si="85"/>
        <v>5.4999999999999938E-2</v>
      </c>
      <c r="AF35" s="27">
        <f t="shared" si="85"/>
        <v>5.4999999999999938E-2</v>
      </c>
      <c r="AG35" s="27">
        <f t="shared" si="85"/>
        <v>5.4999999999999938E-2</v>
      </c>
      <c r="AH35" s="27">
        <f t="shared" si="85"/>
        <v>3.5000000000000586E-3</v>
      </c>
      <c r="AI35" s="27">
        <f t="shared" si="85"/>
        <v>0</v>
      </c>
    </row>
    <row r="36" spans="1:35" s="2" customFormat="1" x14ac:dyDescent="0.2">
      <c r="A36" s="23"/>
      <c r="B36" s="2" t="s">
        <v>145</v>
      </c>
      <c r="C36" s="24"/>
      <c r="D36" s="24"/>
      <c r="E36" s="24"/>
      <c r="F36" s="24"/>
      <c r="G36" s="27">
        <f t="shared" si="81"/>
        <v>1.9784172661870603E-2</v>
      </c>
      <c r="H36" s="27">
        <f t="shared" si="81"/>
        <v>2.3255813953488413E-2</v>
      </c>
      <c r="I36" s="27">
        <f t="shared" si="81"/>
        <v>1.9469026548672552E-2</v>
      </c>
      <c r="J36" s="27">
        <f t="shared" si="81"/>
        <v>-0.27915194346289751</v>
      </c>
      <c r="K36" s="27">
        <f t="shared" si="81"/>
        <v>2.4691358024691468E-2</v>
      </c>
      <c r="L36" s="27">
        <f t="shared" si="81"/>
        <v>1.7482517482517501E-2</v>
      </c>
      <c r="M36" s="27">
        <f t="shared" si="81"/>
        <v>2.0833333333333259E-2</v>
      </c>
      <c r="N36" s="27">
        <f t="shared" si="81"/>
        <v>0.17156862745098045</v>
      </c>
      <c r="O36" s="27">
        <f t="shared" si="82"/>
        <v>2.06540447504302E-2</v>
      </c>
      <c r="P36" s="27">
        <f t="shared" si="83"/>
        <v>2.0618556701030855E-2</v>
      </c>
      <c r="Q36" s="27"/>
      <c r="R36" s="27"/>
      <c r="S36" s="24"/>
      <c r="T36" s="27"/>
      <c r="U36" s="27">
        <f t="shared" ref="U36:AI36" si="86">U6/T6-1</f>
        <v>5.9917355371900793E-2</v>
      </c>
      <c r="V36" s="27">
        <f t="shared" si="86"/>
        <v>2.3391812865497075E-2</v>
      </c>
      <c r="W36" s="27">
        <f t="shared" si="86"/>
        <v>4.0000000000000036E-2</v>
      </c>
      <c r="X36" s="27">
        <f t="shared" si="86"/>
        <v>1.46520146520146E-2</v>
      </c>
      <c r="Y36" s="27">
        <f t="shared" si="86"/>
        <v>2.1660649819494671E-2</v>
      </c>
      <c r="Z36" s="27">
        <f t="shared" si="86"/>
        <v>-0.27915194346289751</v>
      </c>
      <c r="AA36" s="27">
        <f t="shared" si="86"/>
        <v>0.17156862745098045</v>
      </c>
      <c r="AB36" s="27">
        <f t="shared" si="86"/>
        <v>2.0000000000000018E-2</v>
      </c>
      <c r="AC36" s="27">
        <f t="shared" si="86"/>
        <v>2.0000000000000018E-2</v>
      </c>
      <c r="AD36" s="27">
        <f t="shared" si="86"/>
        <v>2.0000000000000018E-2</v>
      </c>
      <c r="AE36" s="27">
        <f t="shared" si="86"/>
        <v>2.0000000000000018E-2</v>
      </c>
      <c r="AF36" s="27">
        <f t="shared" si="86"/>
        <v>1.980000000000004E-2</v>
      </c>
      <c r="AG36" s="27">
        <f t="shared" si="86"/>
        <v>0</v>
      </c>
      <c r="AH36" s="27">
        <f t="shared" si="86"/>
        <v>0</v>
      </c>
      <c r="AI36" s="27">
        <f t="shared" si="86"/>
        <v>0</v>
      </c>
    </row>
    <row r="37" spans="1:35" s="2" customFormat="1" x14ac:dyDescent="0.2">
      <c r="A37" s="23"/>
      <c r="B37" s="2" t="s">
        <v>146</v>
      </c>
      <c r="C37" s="24"/>
      <c r="D37" s="24"/>
      <c r="E37" s="24"/>
      <c r="F37" s="24"/>
      <c r="G37" s="27">
        <f t="shared" si="81"/>
        <v>2.420382165605095E-2</v>
      </c>
      <c r="H37" s="27">
        <f t="shared" si="81"/>
        <v>1.896333754740831E-2</v>
      </c>
      <c r="I37" s="27">
        <f t="shared" si="81"/>
        <v>2.0050125313283207E-2</v>
      </c>
      <c r="J37" s="27">
        <f t="shared" si="81"/>
        <v>-9.9626400996263964E-2</v>
      </c>
      <c r="K37" s="27">
        <f t="shared" si="81"/>
        <v>1.990049751243772E-2</v>
      </c>
      <c r="L37" s="27">
        <f t="shared" si="81"/>
        <v>2.1091811414392092E-2</v>
      </c>
      <c r="M37" s="27">
        <f t="shared" si="81"/>
        <v>2.3341523341523285E-2</v>
      </c>
      <c r="N37" s="27">
        <f t="shared" si="81"/>
        <v>0.15491009681881041</v>
      </c>
      <c r="O37" s="27">
        <f t="shared" si="82"/>
        <v>2.9268292682926855E-2</v>
      </c>
      <c r="P37" s="27">
        <f t="shared" si="83"/>
        <v>3.2806804374240661E-2</v>
      </c>
      <c r="Q37" s="27"/>
      <c r="R37" s="27"/>
      <c r="S37" s="24"/>
      <c r="T37" s="27"/>
      <c r="U37" s="27">
        <f t="shared" ref="U37:AI37" si="87">U7/T7-1</f>
        <v>6.9219440353460948E-2</v>
      </c>
      <c r="V37" s="27">
        <f t="shared" si="87"/>
        <v>2.2038567493112948E-2</v>
      </c>
      <c r="W37" s="27">
        <f t="shared" si="87"/>
        <v>2.8301886792452935E-2</v>
      </c>
      <c r="X37" s="27">
        <f t="shared" si="87"/>
        <v>2.3591087811271283E-2</v>
      </c>
      <c r="Y37" s="27">
        <f t="shared" si="87"/>
        <v>2.8169014084507005E-2</v>
      </c>
      <c r="Z37" s="27">
        <f t="shared" si="87"/>
        <v>-9.9626400996263964E-2</v>
      </c>
      <c r="AA37" s="27">
        <f t="shared" si="87"/>
        <v>0.15491009681881041</v>
      </c>
      <c r="AB37" s="27">
        <f t="shared" si="87"/>
        <v>5.0000000000000044E-2</v>
      </c>
      <c r="AC37" s="27">
        <f t="shared" si="87"/>
        <v>5.0000000000000044E-2</v>
      </c>
      <c r="AD37" s="27">
        <f t="shared" si="87"/>
        <v>5.0000000000000044E-2</v>
      </c>
      <c r="AE37" s="27">
        <f t="shared" si="87"/>
        <v>5.0000000000000044E-2</v>
      </c>
      <c r="AF37" s="27">
        <f t="shared" si="87"/>
        <v>4.5400000000000107E-2</v>
      </c>
      <c r="AG37" s="27">
        <f t="shared" si="87"/>
        <v>0</v>
      </c>
      <c r="AH37" s="27">
        <f t="shared" si="87"/>
        <v>0</v>
      </c>
      <c r="AI37" s="27">
        <f t="shared" si="87"/>
        <v>0</v>
      </c>
    </row>
    <row r="38" spans="1:35" s="1" customFormat="1" x14ac:dyDescent="0.2">
      <c r="A38" s="2"/>
      <c r="B38" s="1" t="s">
        <v>30</v>
      </c>
      <c r="C38" s="29"/>
      <c r="D38" s="29"/>
      <c r="E38" s="29"/>
      <c r="F38" s="29"/>
      <c r="G38" s="28">
        <f>G19/C19-1</f>
        <v>5.9068149028260963E-2</v>
      </c>
      <c r="H38" s="28">
        <f>H19/D19-1</f>
        <v>5.5651356011914066E-2</v>
      </c>
      <c r="I38" s="28">
        <f>I19/E19-1</f>
        <v>6.0158311345646531E-2</v>
      </c>
      <c r="J38" s="28">
        <f>J19/F19-1</f>
        <v>-3.7170190725732688E-3</v>
      </c>
      <c r="K38" s="28">
        <f t="shared" ref="K38:N38" si="88">K19/G19-1</f>
        <v>5.0645083740684438E-2</v>
      </c>
      <c r="L38" s="28">
        <f t="shared" si="88"/>
        <v>6.9275319275319269E-2</v>
      </c>
      <c r="M38" s="28">
        <f t="shared" si="88"/>
        <v>7.4948446277465663E-2</v>
      </c>
      <c r="N38" s="28">
        <f t="shared" si="88"/>
        <v>8.51987767584097E-2</v>
      </c>
      <c r="O38" s="28">
        <f t="shared" ref="O38" si="89">O19/K19-1</f>
        <v>9.2441461368316657E-2</v>
      </c>
      <c r="P38" s="28">
        <f t="shared" ref="P38" si="90">P19/L19-1</f>
        <v>5.4093465731546386E-2</v>
      </c>
      <c r="Q38" s="28"/>
      <c r="R38" s="28"/>
      <c r="S38" s="24"/>
      <c r="T38" s="24"/>
      <c r="U38" s="28">
        <f t="shared" ref="U38:AI38" si="91">U19/T19-1</f>
        <v>7.0409530881098137E-2</v>
      </c>
      <c r="V38" s="28">
        <f t="shared" si="91"/>
        <v>-0.22964259174916701</v>
      </c>
      <c r="W38" s="28">
        <f t="shared" si="91"/>
        <v>0.51071973115100966</v>
      </c>
      <c r="X38" s="28">
        <f t="shared" si="91"/>
        <v>2.854788877445924E-2</v>
      </c>
      <c r="Y38" s="28">
        <f t="shared" si="91"/>
        <v>8.5729734059596385E-2</v>
      </c>
      <c r="Z38" s="28">
        <f t="shared" si="91"/>
        <v>3.9526347824483166E-2</v>
      </c>
      <c r="AA38" s="28">
        <f t="shared" si="91"/>
        <v>7.1185237757274589E-2</v>
      </c>
      <c r="AB38" s="28">
        <f t="shared" si="91"/>
        <v>0.11909041156135403</v>
      </c>
      <c r="AC38" s="28">
        <f t="shared" si="91"/>
        <v>7.5900401810621076E-2</v>
      </c>
      <c r="AD38" s="28">
        <f t="shared" si="91"/>
        <v>7.6050210940474594E-2</v>
      </c>
      <c r="AE38" s="28">
        <f t="shared" si="91"/>
        <v>7.5216179353017498E-2</v>
      </c>
      <c r="AF38" s="28">
        <f t="shared" si="91"/>
        <v>5.544702815981406E-2</v>
      </c>
      <c r="AG38" s="28">
        <f t="shared" si="91"/>
        <v>4.9091819948998916E-2</v>
      </c>
      <c r="AH38" s="28">
        <f t="shared" si="91"/>
        <v>3.9412846455828543E-2</v>
      </c>
      <c r="AI38" s="28">
        <f t="shared" si="91"/>
        <v>3.8946164645568437E-2</v>
      </c>
    </row>
    <row r="39" spans="1:35" s="2" customFormat="1" x14ac:dyDescent="0.2">
      <c r="B39" s="2" t="s">
        <v>31</v>
      </c>
      <c r="C39" s="27">
        <f t="shared" ref="C39:N39" si="92">C21/C19</f>
        <v>0.28931511499618096</v>
      </c>
      <c r="D39" s="27">
        <f t="shared" si="92"/>
        <v>0.30161467314626117</v>
      </c>
      <c r="E39" s="27">
        <f t="shared" si="92"/>
        <v>0.31104410101771579</v>
      </c>
      <c r="F39" s="27">
        <f t="shared" si="92"/>
        <v>0.29754433002254588</v>
      </c>
      <c r="G39" s="27">
        <f t="shared" si="92"/>
        <v>0.29970350188316369</v>
      </c>
      <c r="H39" s="27">
        <f t="shared" si="92"/>
        <v>0.30353430353430355</v>
      </c>
      <c r="I39" s="27">
        <f t="shared" si="92"/>
        <v>0.31579321624120033</v>
      </c>
      <c r="J39" s="27">
        <f t="shared" si="92"/>
        <v>0.30452599388379203</v>
      </c>
      <c r="K39" s="27">
        <f t="shared" si="92"/>
        <v>0.29479063381893067</v>
      </c>
      <c r="L39" s="27">
        <f t="shared" si="92"/>
        <v>0.30727032844941321</v>
      </c>
      <c r="M39" s="27">
        <f t="shared" si="92"/>
        <v>0.32592445591056429</v>
      </c>
      <c r="N39" s="27">
        <f t="shared" si="92"/>
        <v>0.30862875500197262</v>
      </c>
      <c r="O39" s="27">
        <f t="shared" ref="O39:P39" si="93">O21/O19</f>
        <v>0.31278363471339804</v>
      </c>
      <c r="P39" s="27">
        <f t="shared" si="93"/>
        <v>0.33412384716732541</v>
      </c>
      <c r="Q39" s="27"/>
      <c r="R39" s="27"/>
      <c r="S39" s="24"/>
      <c r="T39" s="27">
        <f t="shared" ref="T39:Y39" si="94">T21/T19</f>
        <v>0.28588448075271933</v>
      </c>
      <c r="U39" s="27">
        <f t="shared" si="94"/>
        <v>0.28456552484598607</v>
      </c>
      <c r="V39" s="27">
        <f t="shared" si="94"/>
        <v>0.23658664467747459</v>
      </c>
      <c r="W39" s="27">
        <f t="shared" si="94"/>
        <v>0.28498455200823891</v>
      </c>
      <c r="X39" s="27">
        <f t="shared" si="94"/>
        <v>0.27609339955142581</v>
      </c>
      <c r="Y39" s="27">
        <f t="shared" si="94"/>
        <v>0.30001659995942231</v>
      </c>
      <c r="Z39" s="27">
        <f t="shared" ref="Z39:AA39" si="95">Z21/Z19</f>
        <v>0.30603264726756563</v>
      </c>
      <c r="AA39" s="27">
        <f t="shared" si="95"/>
        <v>0.30963029218843174</v>
      </c>
      <c r="AB39" s="24"/>
      <c r="AC39" s="24"/>
      <c r="AD39" s="24"/>
      <c r="AE39" s="3"/>
      <c r="AF39" s="3"/>
      <c r="AG39" s="3"/>
    </row>
    <row r="40" spans="1:35" s="2" customFormat="1" x14ac:dyDescent="0.2">
      <c r="B40" s="2" t="s">
        <v>32</v>
      </c>
      <c r="C40" s="27">
        <f t="shared" ref="C40:N40" si="96">C23/C19</f>
        <v>9.9380463379444964E-2</v>
      </c>
      <c r="D40" s="27">
        <f t="shared" si="96"/>
        <v>0.1010346449286722</v>
      </c>
      <c r="E40" s="27">
        <f t="shared" si="96"/>
        <v>0.11669807764794572</v>
      </c>
      <c r="F40" s="27">
        <f t="shared" si="96"/>
        <v>0.10901224788251783</v>
      </c>
      <c r="G40" s="27">
        <f t="shared" si="96"/>
        <v>0.10738039907043834</v>
      </c>
      <c r="H40" s="27">
        <f t="shared" si="96"/>
        <v>0.10558360558360558</v>
      </c>
      <c r="I40" s="27">
        <f t="shared" si="96"/>
        <v>0.12038683069046434</v>
      </c>
      <c r="J40" s="27">
        <f t="shared" si="96"/>
        <v>0.11296636085626911</v>
      </c>
      <c r="K40" s="27">
        <f t="shared" si="96"/>
        <v>0.10037373198077949</v>
      </c>
      <c r="L40" s="27">
        <f t="shared" si="96"/>
        <v>0.11249218804249705</v>
      </c>
      <c r="M40" s="27">
        <f t="shared" si="96"/>
        <v>0.12489250512667857</v>
      </c>
      <c r="N40" s="27">
        <f t="shared" si="96"/>
        <v>0.13267203967761934</v>
      </c>
      <c r="O40" s="27">
        <f t="shared" ref="O40:P40" si="97">O23/O19</f>
        <v>0.11771276967115828</v>
      </c>
      <c r="P40" s="27">
        <f t="shared" si="97"/>
        <v>0.13089591567852438</v>
      </c>
      <c r="Q40" s="27"/>
      <c r="R40" s="27"/>
      <c r="S40" s="24"/>
      <c r="T40" s="27">
        <f t="shared" ref="T40:Y40" si="98">T23/T19</f>
        <v>0.10823390920478301</v>
      </c>
      <c r="U40" s="27">
        <f t="shared" si="98"/>
        <v>0.10586168708200495</v>
      </c>
      <c r="V40" s="27">
        <f t="shared" si="98"/>
        <v>1.8118306002427139E-2</v>
      </c>
      <c r="W40" s="27">
        <f t="shared" si="98"/>
        <v>9.794026776519052E-2</v>
      </c>
      <c r="X40" s="27">
        <f t="shared" si="98"/>
        <v>9.7324575456584433E-2</v>
      </c>
      <c r="Y40" s="27">
        <f t="shared" si="98"/>
        <v>0.10692218307910803</v>
      </c>
      <c r="Z40" s="27">
        <f t="shared" ref="Z40:AA40" si="99">Z23/Z19</f>
        <v>0.11181689141234918</v>
      </c>
      <c r="AA40" s="27">
        <f t="shared" si="99"/>
        <v>0.11889617703571193</v>
      </c>
      <c r="AB40" s="24"/>
      <c r="AC40" s="24"/>
      <c r="AD40" s="24"/>
      <c r="AE40" s="3"/>
      <c r="AF40" s="3"/>
      <c r="AG40" s="3"/>
    </row>
    <row r="41" spans="1:35" s="2" customFormat="1" x14ac:dyDescent="0.2">
      <c r="B41" s="2" t="s">
        <v>33</v>
      </c>
      <c r="C41" s="27">
        <f t="shared" ref="C41:N41" si="100">C28/C19</f>
        <v>7.5617414919799716E-2</v>
      </c>
      <c r="D41" s="27">
        <f t="shared" si="100"/>
        <v>7.7519987458849346E-2</v>
      </c>
      <c r="E41" s="27">
        <f t="shared" si="100"/>
        <v>8.9785148888051267E-2</v>
      </c>
      <c r="F41" s="27">
        <f t="shared" si="100"/>
        <v>8.5491438669185307E-2</v>
      </c>
      <c r="G41" s="27">
        <f t="shared" si="100"/>
        <v>8.5744050004006728E-2</v>
      </c>
      <c r="H41" s="27">
        <f t="shared" si="100"/>
        <v>8.1600831600831605E-2</v>
      </c>
      <c r="I41" s="27">
        <f t="shared" si="100"/>
        <v>9.2227831899310247E-2</v>
      </c>
      <c r="J41" s="27">
        <f t="shared" si="100"/>
        <v>8.5504587155963305E-2</v>
      </c>
      <c r="K41" s="27">
        <f t="shared" si="100"/>
        <v>7.901761879337961E-2</v>
      </c>
      <c r="L41" s="27">
        <f t="shared" si="100"/>
        <v>8.6313450454829521E-2</v>
      </c>
      <c r="M41" s="27">
        <f t="shared" si="100"/>
        <v>9.5389296818151753E-2</v>
      </c>
      <c r="N41" s="27">
        <f t="shared" si="100"/>
        <v>9.9926731668827137E-2</v>
      </c>
      <c r="O41" s="27">
        <f t="shared" ref="O41:P41" si="101">O28/O19</f>
        <v>9.2997277106751375E-2</v>
      </c>
      <c r="P41" s="27">
        <f t="shared" si="101"/>
        <v>0.10013175230566534</v>
      </c>
      <c r="Q41" s="27"/>
      <c r="R41" s="27"/>
      <c r="S41" s="24"/>
      <c r="T41" s="27">
        <f t="shared" ref="T41:Y41" si="102">T28/T19</f>
        <v>7.8511102089465504E-2</v>
      </c>
      <c r="U41" s="27">
        <f t="shared" si="102"/>
        <v>7.8438430376105692E-2</v>
      </c>
      <c r="V41" s="27">
        <f t="shared" si="102"/>
        <v>2.8163176401033363E-3</v>
      </c>
      <c r="W41" s="27">
        <f t="shared" si="102"/>
        <v>6.7621009268795051E-2</v>
      </c>
      <c r="X41" s="27">
        <f t="shared" si="102"/>
        <v>7.0049663569368786E-2</v>
      </c>
      <c r="Y41" s="27">
        <f t="shared" si="102"/>
        <v>8.2520242728295556E-2</v>
      </c>
      <c r="Z41" s="27">
        <f t="shared" ref="Z41:AA41" si="103">Z28/Z19</f>
        <v>8.6302342086586228E-2</v>
      </c>
      <c r="AA41" s="27">
        <f t="shared" si="103"/>
        <v>9.1002451467567747E-2</v>
      </c>
      <c r="AB41" s="24"/>
      <c r="AC41" s="24"/>
      <c r="AD41" s="24"/>
      <c r="AE41" s="3"/>
      <c r="AF41" s="3"/>
      <c r="AG41" s="3"/>
    </row>
    <row r="42" spans="1:35" s="2" customFormat="1" x14ac:dyDescent="0.2">
      <c r="B42" s="2" t="s">
        <v>34</v>
      </c>
      <c r="C42" s="27">
        <f t="shared" ref="C42:N42" si="104">C27/C26</f>
        <v>0.26241721854304634</v>
      </c>
      <c r="D42" s="27">
        <f t="shared" si="104"/>
        <v>0.25470987189148453</v>
      </c>
      <c r="E42" s="27">
        <f t="shared" si="104"/>
        <v>0.25047199496538702</v>
      </c>
      <c r="F42" s="27">
        <f t="shared" si="104"/>
        <v>0.23874118285404233</v>
      </c>
      <c r="G42" s="27">
        <f t="shared" si="104"/>
        <v>0.23021582733812951</v>
      </c>
      <c r="H42" s="27">
        <f t="shared" si="104"/>
        <v>0.25136239782016351</v>
      </c>
      <c r="I42" s="27">
        <f t="shared" si="104"/>
        <v>0.25288018433179721</v>
      </c>
      <c r="J42" s="27">
        <f t="shared" si="104"/>
        <v>0.25992588671254629</v>
      </c>
      <c r="K42" s="27">
        <f t="shared" si="104"/>
        <v>0.23031203566121841</v>
      </c>
      <c r="L42" s="27">
        <f t="shared" si="104"/>
        <v>0.24529447480267152</v>
      </c>
      <c r="M42" s="27">
        <f t="shared" si="104"/>
        <v>0.24739039665970772</v>
      </c>
      <c r="N42" s="27">
        <f t="shared" si="104"/>
        <v>0.25815899581589957</v>
      </c>
      <c r="O42" s="27">
        <f t="shared" ref="O42:P42" si="105">O27/O26</f>
        <v>0.22603137710633353</v>
      </c>
      <c r="P42" s="27">
        <f t="shared" si="105"/>
        <v>0.24677898909811694</v>
      </c>
      <c r="Q42" s="27"/>
      <c r="R42" s="27"/>
      <c r="S42" s="24"/>
      <c r="T42" s="27">
        <f t="shared" ref="T42:Y42" si="106">T27/T26</f>
        <v>0.26679943381862586</v>
      </c>
      <c r="U42" s="27">
        <f t="shared" si="106"/>
        <v>0.25736200259361447</v>
      </c>
      <c r="V42" s="27">
        <f t="shared" si="106"/>
        <v>-1.3516086046068774E-2</v>
      </c>
      <c r="W42" s="27">
        <f t="shared" si="106"/>
        <v>0.25352432924056389</v>
      </c>
      <c r="X42" s="27">
        <f t="shared" si="106"/>
        <v>0.24547023295944781</v>
      </c>
      <c r="Y42" s="27">
        <f t="shared" si="106"/>
        <v>0.25020948550360317</v>
      </c>
      <c r="Z42" s="27">
        <f t="shared" ref="Z42:AA42" si="107">Z27/Z26</f>
        <v>0.24973006324232608</v>
      </c>
      <c r="AA42" s="27">
        <f t="shared" si="107"/>
        <v>0.2472941498835457</v>
      </c>
      <c r="AB42" s="24"/>
      <c r="AC42" s="24"/>
      <c r="AD42" s="24"/>
      <c r="AE42" s="3"/>
      <c r="AF42" s="3"/>
      <c r="AG42" s="3"/>
    </row>
    <row r="43" spans="1:35" s="2" customFormat="1" x14ac:dyDescent="0.2"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3"/>
      <c r="AF43" s="3"/>
      <c r="AG43" s="3"/>
    </row>
    <row r="44" spans="1:35" s="2" customFormat="1" x14ac:dyDescent="0.2"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3"/>
      <c r="AF44" s="3"/>
      <c r="AG44" s="3"/>
    </row>
    <row r="45" spans="1:35" s="2" customFormat="1" x14ac:dyDescent="0.2">
      <c r="A45" s="23" t="s">
        <v>9</v>
      </c>
      <c r="B45" s="22" t="s">
        <v>37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3"/>
      <c r="AF45" s="3"/>
      <c r="AG45" s="3"/>
    </row>
    <row r="46" spans="1:35" x14ac:dyDescent="0.2">
      <c r="B46" s="2" t="s">
        <v>38</v>
      </c>
      <c r="T46" s="3">
        <v>3030.2289999999998</v>
      </c>
      <c r="U46" s="3">
        <v>3216.752</v>
      </c>
      <c r="V46" s="3">
        <v>10469.57</v>
      </c>
      <c r="W46" s="3">
        <v>6226.7650000000003</v>
      </c>
      <c r="X46" s="3">
        <v>5477</v>
      </c>
      <c r="Y46" s="3">
        <v>5600</v>
      </c>
      <c r="Z46" s="3">
        <v>5335</v>
      </c>
      <c r="AA46" s="3">
        <v>6230</v>
      </c>
    </row>
    <row r="47" spans="1:35" x14ac:dyDescent="0.2">
      <c r="B47" s="2" t="s">
        <v>39</v>
      </c>
      <c r="T47" s="3">
        <v>346.298</v>
      </c>
      <c r="U47" s="3">
        <v>386.26100000000002</v>
      </c>
      <c r="V47" s="3">
        <v>461.13900000000001</v>
      </c>
      <c r="W47" s="3">
        <v>517.62300000000005</v>
      </c>
      <c r="X47" s="3">
        <v>563</v>
      </c>
      <c r="Y47" s="3">
        <v>529</v>
      </c>
      <c r="Z47" s="3">
        <v>549</v>
      </c>
      <c r="AA47" s="3">
        <v>602</v>
      </c>
    </row>
    <row r="48" spans="1:35" x14ac:dyDescent="0.2">
      <c r="B48" s="2" t="s">
        <v>40</v>
      </c>
      <c r="T48" s="3">
        <v>4579.0330000000004</v>
      </c>
      <c r="U48" s="3">
        <v>4872.5919999999996</v>
      </c>
      <c r="V48" s="3">
        <v>4337.3980000000001</v>
      </c>
      <c r="W48" s="3">
        <v>5961.5730000000003</v>
      </c>
      <c r="X48" s="3">
        <v>5819</v>
      </c>
      <c r="Y48" s="3">
        <v>5965</v>
      </c>
      <c r="Z48" s="3">
        <v>6421</v>
      </c>
      <c r="AA48" s="3">
        <v>7297</v>
      </c>
    </row>
    <row r="49" spans="2:27" x14ac:dyDescent="0.2">
      <c r="B49" s="2" t="s">
        <v>41</v>
      </c>
      <c r="T49" s="3">
        <v>513.66200000000003</v>
      </c>
      <c r="U49" s="3">
        <v>368.048</v>
      </c>
      <c r="V49" s="3">
        <v>434.97699999999998</v>
      </c>
      <c r="W49" s="3">
        <v>438.09899999999999</v>
      </c>
      <c r="X49" s="3">
        <v>478</v>
      </c>
      <c r="Y49" s="3">
        <v>511</v>
      </c>
      <c r="Z49" s="3">
        <v>617</v>
      </c>
      <c r="AA49" s="3">
        <v>1065</v>
      </c>
    </row>
    <row r="50" spans="2:27" x14ac:dyDescent="0.2">
      <c r="B50" s="2" t="s">
        <v>42</v>
      </c>
      <c r="T50" s="3">
        <v>0</v>
      </c>
      <c r="U50" s="3">
        <v>46.969000000000001</v>
      </c>
      <c r="V50" s="3">
        <v>36.262</v>
      </c>
      <c r="W50" s="3">
        <v>114.53700000000001</v>
      </c>
      <c r="X50" s="3">
        <v>119</v>
      </c>
      <c r="Y50" s="3">
        <v>59</v>
      </c>
      <c r="Z50" s="3">
        <v>69</v>
      </c>
      <c r="AA50" s="3">
        <v>8</v>
      </c>
    </row>
    <row r="51" spans="2:27" x14ac:dyDescent="0.2">
      <c r="B51" s="66" t="s">
        <v>43</v>
      </c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>
        <f t="shared" ref="T51:X51" si="108">SUM(T46:T50)</f>
        <v>8469.2219999999998</v>
      </c>
      <c r="U51" s="67">
        <f t="shared" si="108"/>
        <v>8890.6219999999994</v>
      </c>
      <c r="V51" s="67">
        <f t="shared" si="108"/>
        <v>15739.346000000001</v>
      </c>
      <c r="W51" s="67">
        <f t="shared" si="108"/>
        <v>13258.597000000002</v>
      </c>
      <c r="X51" s="67">
        <f t="shared" si="108"/>
        <v>12456</v>
      </c>
      <c r="Y51" s="67">
        <f>SUM(Y46:Y50)</f>
        <v>12664</v>
      </c>
      <c r="Z51" s="67">
        <f t="shared" ref="Z51:AA51" si="109">SUM(Z46:Z50)</f>
        <v>12991</v>
      </c>
      <c r="AA51" s="67">
        <f t="shared" si="109"/>
        <v>15202</v>
      </c>
    </row>
    <row r="52" spans="2:27" x14ac:dyDescent="0.2">
      <c r="B52" s="2" t="s">
        <v>45</v>
      </c>
      <c r="T52" s="3">
        <v>5255.2079999999996</v>
      </c>
      <c r="U52" s="3">
        <v>5325.0479999999998</v>
      </c>
      <c r="V52" s="3">
        <v>5036.0959999999995</v>
      </c>
      <c r="W52" s="3">
        <v>5270.8270000000002</v>
      </c>
      <c r="X52" s="3">
        <v>5783</v>
      </c>
      <c r="Y52" s="3">
        <v>6571</v>
      </c>
      <c r="Z52" s="3">
        <v>7346</v>
      </c>
      <c r="AA52" s="3">
        <v>8220</v>
      </c>
    </row>
    <row r="53" spans="2:27" x14ac:dyDescent="0.2">
      <c r="B53" s="2" t="s">
        <v>46</v>
      </c>
      <c r="T53" s="3">
        <v>6.4669999999999996</v>
      </c>
      <c r="U53" s="3">
        <v>12.132</v>
      </c>
      <c r="V53" s="3">
        <v>127.191</v>
      </c>
      <c r="W53" s="3">
        <v>184.971</v>
      </c>
      <c r="X53" s="3">
        <v>158</v>
      </c>
      <c r="Y53" s="3">
        <v>172</v>
      </c>
      <c r="Z53" s="3">
        <v>148</v>
      </c>
      <c r="AA53" s="3">
        <v>147</v>
      </c>
    </row>
    <row r="54" spans="2:27" x14ac:dyDescent="0.2">
      <c r="B54" s="2" t="s">
        <v>47</v>
      </c>
      <c r="T54" s="3">
        <v>0</v>
      </c>
      <c r="U54" s="3">
        <v>9060.3320000000003</v>
      </c>
      <c r="V54" s="3">
        <v>8989.9979999999996</v>
      </c>
      <c r="W54" s="3">
        <v>8853.9339999999993</v>
      </c>
      <c r="X54" s="3">
        <v>9086</v>
      </c>
      <c r="Y54" s="3">
        <v>9396</v>
      </c>
      <c r="Z54" s="3">
        <v>9641</v>
      </c>
      <c r="AA54" s="3">
        <v>10330</v>
      </c>
    </row>
    <row r="55" spans="2:27" x14ac:dyDescent="0.2">
      <c r="B55" s="2" t="s">
        <v>48</v>
      </c>
      <c r="T55" s="3">
        <v>97.552000000000007</v>
      </c>
      <c r="U55" s="3">
        <v>95.546000000000006</v>
      </c>
      <c r="V55" s="3">
        <v>98.998000000000005</v>
      </c>
      <c r="W55" s="3">
        <v>96.662000000000006</v>
      </c>
      <c r="X55" s="3">
        <v>97</v>
      </c>
      <c r="Y55" s="3">
        <v>95</v>
      </c>
      <c r="Z55" s="3">
        <v>94</v>
      </c>
      <c r="AA55" s="3">
        <v>96</v>
      </c>
    </row>
    <row r="56" spans="2:27" x14ac:dyDescent="0.2">
      <c r="B56" s="2" t="s">
        <v>49</v>
      </c>
      <c r="T56" s="3">
        <v>497.58</v>
      </c>
      <c r="U56" s="3">
        <v>761.32299999999998</v>
      </c>
      <c r="V56" s="3">
        <v>821.93499999999995</v>
      </c>
      <c r="W56" s="3">
        <v>796.46699999999998</v>
      </c>
      <c r="X56" s="3">
        <v>769</v>
      </c>
      <c r="Y56" s="3">
        <v>849</v>
      </c>
      <c r="Z56" s="3">
        <v>1529</v>
      </c>
      <c r="AA56" s="3">
        <v>1772</v>
      </c>
    </row>
    <row r="57" spans="2:27" x14ac:dyDescent="0.2">
      <c r="B57" s="66" t="s">
        <v>50</v>
      </c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>
        <f t="shared" ref="T57:X57" si="110">SUM(T52:T56)</f>
        <v>5856.8069999999989</v>
      </c>
      <c r="U57" s="67">
        <f t="shared" si="110"/>
        <v>15254.380999999999</v>
      </c>
      <c r="V57" s="67">
        <f t="shared" si="110"/>
        <v>15074.217999999999</v>
      </c>
      <c r="W57" s="67">
        <f t="shared" si="110"/>
        <v>15202.861000000001</v>
      </c>
      <c r="X57" s="67">
        <f t="shared" si="110"/>
        <v>15893</v>
      </c>
      <c r="Y57" s="67">
        <f>SUM(Y52:Y56)</f>
        <v>17083</v>
      </c>
      <c r="Z57" s="67">
        <f t="shared" ref="Z57:AA57" si="111">SUM(Z52:Z56)</f>
        <v>18758</v>
      </c>
      <c r="AA57" s="67">
        <f t="shared" si="111"/>
        <v>20565</v>
      </c>
    </row>
    <row r="58" spans="2:27" x14ac:dyDescent="0.2">
      <c r="B58" s="1" t="s">
        <v>44</v>
      </c>
      <c r="T58" s="25">
        <f>T51+T57</f>
        <v>14326.028999999999</v>
      </c>
      <c r="U58" s="25">
        <f>U51+U57</f>
        <v>24145.002999999997</v>
      </c>
      <c r="V58" s="25">
        <f>V51+V57</f>
        <v>30813.563999999998</v>
      </c>
      <c r="W58" s="25">
        <f>W51+W57</f>
        <v>28461.458000000002</v>
      </c>
      <c r="X58" s="25">
        <f>X51+X57</f>
        <v>28349</v>
      </c>
      <c r="Y58" s="25">
        <f>Y51+Y57</f>
        <v>29747</v>
      </c>
      <c r="Z58" s="25">
        <f t="shared" ref="Z58:AA58" si="112">Z51+Z57</f>
        <v>31749</v>
      </c>
      <c r="AA58" s="25">
        <f t="shared" si="112"/>
        <v>35767</v>
      </c>
    </row>
    <row r="60" spans="2:27" x14ac:dyDescent="0.2">
      <c r="B60" s="2" t="s">
        <v>51</v>
      </c>
      <c r="T60" s="3">
        <v>2644.143</v>
      </c>
      <c r="U60" s="3">
        <v>2672.5569999999998</v>
      </c>
      <c r="V60" s="3">
        <v>4823.3969999999999</v>
      </c>
      <c r="W60" s="3">
        <v>4465.4269999999997</v>
      </c>
      <c r="X60" s="3">
        <v>3794</v>
      </c>
      <c r="Y60" s="3">
        <v>3862</v>
      </c>
      <c r="Z60" s="3">
        <v>4257</v>
      </c>
      <c r="AA60" s="3">
        <v>4575</v>
      </c>
    </row>
    <row r="61" spans="2:27" x14ac:dyDescent="0.2">
      <c r="B61" s="2" t="s">
        <v>52</v>
      </c>
      <c r="T61" s="3">
        <v>2733.076</v>
      </c>
      <c r="U61" s="3">
        <v>3041.7739999999999</v>
      </c>
      <c r="V61" s="3">
        <v>3471.4589999999998</v>
      </c>
      <c r="W61" s="3">
        <v>4244.9970000000003</v>
      </c>
      <c r="X61" s="3">
        <v>4346</v>
      </c>
      <c r="Y61" s="3">
        <v>4870</v>
      </c>
      <c r="Z61" s="3">
        <v>5040</v>
      </c>
      <c r="AA61" s="3">
        <v>5891</v>
      </c>
    </row>
    <row r="62" spans="2:27" x14ac:dyDescent="0.2">
      <c r="B62" s="2" t="s">
        <v>53</v>
      </c>
      <c r="T62" s="3">
        <v>0</v>
      </c>
      <c r="U62" s="3">
        <v>1411.2159999999999</v>
      </c>
      <c r="V62" s="3">
        <v>1677.605</v>
      </c>
      <c r="W62" s="3">
        <v>1576.5609999999999</v>
      </c>
      <c r="X62" s="3">
        <v>1610</v>
      </c>
      <c r="Y62" s="3">
        <v>1620</v>
      </c>
      <c r="Z62" s="3">
        <v>1636</v>
      </c>
      <c r="AA62" s="3">
        <v>1726</v>
      </c>
    </row>
    <row r="63" spans="2:27" x14ac:dyDescent="0.2">
      <c r="B63" s="2" t="s">
        <v>54</v>
      </c>
      <c r="T63" s="3">
        <v>0</v>
      </c>
      <c r="U63" s="3">
        <v>0</v>
      </c>
      <c r="V63" s="3">
        <v>749.68399999999997</v>
      </c>
      <c r="W63" s="3">
        <v>0</v>
      </c>
      <c r="X63" s="3">
        <v>500</v>
      </c>
      <c r="Y63" s="3">
        <v>0</v>
      </c>
      <c r="Z63" s="3">
        <v>0</v>
      </c>
      <c r="AA63" s="3">
        <v>999</v>
      </c>
    </row>
    <row r="64" spans="2:27" x14ac:dyDescent="0.2">
      <c r="B64" s="2" t="s">
        <v>55</v>
      </c>
      <c r="T64" s="3">
        <v>154.155</v>
      </c>
      <c r="U64" s="3">
        <v>24.7</v>
      </c>
      <c r="V64" s="3">
        <v>81.522999999999996</v>
      </c>
      <c r="W64" s="3">
        <v>181.155</v>
      </c>
      <c r="X64" s="3">
        <v>55</v>
      </c>
      <c r="Y64" s="3">
        <v>99</v>
      </c>
      <c r="Z64" s="3">
        <v>75</v>
      </c>
      <c r="AA64" s="3">
        <v>170</v>
      </c>
    </row>
    <row r="65" spans="2:27" x14ac:dyDescent="0.2">
      <c r="B65" s="66" t="s">
        <v>56</v>
      </c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>
        <f t="shared" ref="T65:X65" si="113">SUM(T60:T64)</f>
        <v>5531.3739999999998</v>
      </c>
      <c r="U65" s="67">
        <f t="shared" si="113"/>
        <v>7150.2470000000003</v>
      </c>
      <c r="V65" s="67">
        <f t="shared" si="113"/>
        <v>10803.667999999998</v>
      </c>
      <c r="W65" s="67">
        <f t="shared" si="113"/>
        <v>10468.14</v>
      </c>
      <c r="X65" s="67">
        <f t="shared" si="113"/>
        <v>10305</v>
      </c>
      <c r="Y65" s="67">
        <f>SUM(Y60:Y64)</f>
        <v>10451</v>
      </c>
      <c r="Z65" s="67">
        <f t="shared" ref="Z65:AA65" si="114">SUM(Z60:Z64)</f>
        <v>11008</v>
      </c>
      <c r="AA65" s="67">
        <f t="shared" si="114"/>
        <v>13361</v>
      </c>
    </row>
    <row r="66" spans="2:27" x14ac:dyDescent="0.2">
      <c r="B66" s="2" t="s">
        <v>57</v>
      </c>
      <c r="T66" s="3">
        <v>1354.242</v>
      </c>
      <c r="U66" s="3">
        <v>851.11599999999999</v>
      </c>
      <c r="V66" s="3">
        <v>1063.902</v>
      </c>
      <c r="W66" s="3">
        <v>1015.72</v>
      </c>
      <c r="X66" s="3">
        <v>919</v>
      </c>
      <c r="Y66" s="3">
        <v>924</v>
      </c>
      <c r="Z66" s="3">
        <v>1050</v>
      </c>
      <c r="AA66" s="3">
        <v>1184</v>
      </c>
    </row>
    <row r="67" spans="2:27" x14ac:dyDescent="0.2">
      <c r="B67" s="2" t="s">
        <v>46</v>
      </c>
      <c r="T67" s="3">
        <v>158.191</v>
      </c>
      <c r="U67" s="3">
        <v>142.16999999999999</v>
      </c>
      <c r="V67" s="3">
        <v>37.164000000000001</v>
      </c>
      <c r="W67" s="3">
        <v>44.174999999999997</v>
      </c>
      <c r="X67" s="3">
        <v>127</v>
      </c>
      <c r="Y67" s="3">
        <v>148</v>
      </c>
      <c r="Z67" s="3">
        <v>156</v>
      </c>
      <c r="AA67" s="3">
        <v>268</v>
      </c>
    </row>
    <row r="68" spans="2:27" x14ac:dyDescent="0.2">
      <c r="B68" s="2" t="s">
        <v>58</v>
      </c>
      <c r="T68" s="3">
        <v>0</v>
      </c>
      <c r="U68" s="3">
        <v>7816.6329999999998</v>
      </c>
      <c r="V68" s="3">
        <v>7743.2160000000003</v>
      </c>
      <c r="W68" s="3">
        <v>7575.59</v>
      </c>
      <c r="X68" s="3">
        <v>7775</v>
      </c>
      <c r="Y68" s="3">
        <v>8060</v>
      </c>
      <c r="Z68" s="3">
        <v>8276</v>
      </c>
      <c r="AA68" s="3">
        <v>8894</v>
      </c>
    </row>
    <row r="69" spans="2:27" x14ac:dyDescent="0.2">
      <c r="B69" s="2" t="s">
        <v>59</v>
      </c>
      <c r="T69" s="3">
        <v>2233.616</v>
      </c>
      <c r="U69" s="3">
        <v>2236.625</v>
      </c>
      <c r="V69" s="3">
        <v>5332.9210000000003</v>
      </c>
      <c r="W69" s="3">
        <v>3354.8409999999999</v>
      </c>
      <c r="X69" s="3">
        <v>2859</v>
      </c>
      <c r="Y69" s="3">
        <v>2862</v>
      </c>
      <c r="Z69" s="3">
        <v>2866</v>
      </c>
      <c r="AA69" s="3">
        <v>1870</v>
      </c>
    </row>
    <row r="70" spans="2:27" x14ac:dyDescent="0.2">
      <c r="B70" s="66" t="s">
        <v>253</v>
      </c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>
        <f t="shared" ref="T70:X70" si="115">SUM(T66:T69)</f>
        <v>3746.049</v>
      </c>
      <c r="U70" s="67">
        <f t="shared" si="115"/>
        <v>11046.544</v>
      </c>
      <c r="V70" s="67">
        <f t="shared" si="115"/>
        <v>14177.203000000001</v>
      </c>
      <c r="W70" s="67">
        <f t="shared" si="115"/>
        <v>11990.326000000001</v>
      </c>
      <c r="X70" s="67">
        <f t="shared" si="115"/>
        <v>11680</v>
      </c>
      <c r="Y70" s="67">
        <f>SUM(Y66:Y69)</f>
        <v>11994</v>
      </c>
      <c r="Z70" s="67">
        <f t="shared" ref="Z70:AA70" si="116">SUM(Z66:Z69)</f>
        <v>12348</v>
      </c>
      <c r="AA70" s="67">
        <f t="shared" si="116"/>
        <v>12216</v>
      </c>
    </row>
    <row r="71" spans="2:27" x14ac:dyDescent="0.2">
      <c r="B71" s="1" t="s">
        <v>60</v>
      </c>
      <c r="T71" s="25">
        <f>T65+T70</f>
        <v>9277.4229999999989</v>
      </c>
      <c r="U71" s="25">
        <f>U65+U70</f>
        <v>18196.791000000001</v>
      </c>
      <c r="V71" s="25">
        <f>V65+V70</f>
        <v>24980.870999999999</v>
      </c>
      <c r="W71" s="25">
        <f>W65+W70</f>
        <v>22458.466</v>
      </c>
      <c r="X71" s="25">
        <f>X65+X70</f>
        <v>21985</v>
      </c>
      <c r="Y71" s="25">
        <f>Y65+Y70</f>
        <v>22445</v>
      </c>
      <c r="Z71" s="25">
        <f t="shared" ref="Z71:AA71" si="117">Z65+Z70</f>
        <v>23356</v>
      </c>
      <c r="AA71" s="25">
        <f t="shared" si="117"/>
        <v>25577</v>
      </c>
    </row>
    <row r="73" spans="2:27" x14ac:dyDescent="0.2">
      <c r="B73" s="2" t="s">
        <v>61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B74" s="2" t="s">
        <v>62</v>
      </c>
      <c r="T74" s="3">
        <v>1217.183</v>
      </c>
      <c r="U74" s="3">
        <v>1199.0999999999999</v>
      </c>
      <c r="V74" s="3">
        <v>1204.6980000000001</v>
      </c>
      <c r="W74" s="3">
        <v>1181.1890000000001</v>
      </c>
      <c r="X74" s="3">
        <v>1155</v>
      </c>
      <c r="Y74" s="3">
        <v>1134</v>
      </c>
      <c r="Z74" s="3">
        <v>1119</v>
      </c>
      <c r="AA74" s="3">
        <v>1107</v>
      </c>
    </row>
    <row r="75" spans="2:27" x14ac:dyDescent="0.2">
      <c r="B75" s="2" t="s">
        <v>63</v>
      </c>
      <c r="T75" s="3">
        <v>0</v>
      </c>
      <c r="U75" s="3">
        <v>0</v>
      </c>
      <c r="V75" s="3">
        <v>260.51499999999999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B76" s="2" t="s">
        <v>64</v>
      </c>
      <c r="T76" s="3">
        <v>-630.32100000000003</v>
      </c>
      <c r="U76" s="3">
        <v>-673.17100000000005</v>
      </c>
      <c r="V76" s="3">
        <v>-606.07100000000003</v>
      </c>
      <c r="W76" s="3">
        <v>-687.15</v>
      </c>
      <c r="X76" s="3">
        <v>-606</v>
      </c>
      <c r="Y76" s="3">
        <v>-532</v>
      </c>
      <c r="Z76" s="3">
        <v>-609</v>
      </c>
      <c r="AA76" s="3">
        <v>-351</v>
      </c>
    </row>
    <row r="77" spans="2:27" x14ac:dyDescent="0.2">
      <c r="B77" s="2" t="s">
        <v>65</v>
      </c>
      <c r="T77" s="3">
        <v>4461.7439999999997</v>
      </c>
      <c r="U77" s="3">
        <v>5422.2830000000004</v>
      </c>
      <c r="V77" s="3">
        <v>4973.5420000000004</v>
      </c>
      <c r="W77" s="3">
        <v>5508.9530000000004</v>
      </c>
      <c r="X77" s="3">
        <v>5815</v>
      </c>
      <c r="Y77" s="3">
        <v>6700</v>
      </c>
      <c r="Z77" s="3">
        <v>7883</v>
      </c>
      <c r="AA77" s="3">
        <v>9434</v>
      </c>
    </row>
    <row r="78" spans="2:27" x14ac:dyDescent="0.2">
      <c r="B78" s="1" t="s">
        <v>66</v>
      </c>
      <c r="T78" s="25">
        <f t="shared" ref="T78:X78" si="118">SUM(T73:T77)</f>
        <v>5048.6059999999998</v>
      </c>
      <c r="U78" s="25">
        <f t="shared" si="118"/>
        <v>5948.2120000000004</v>
      </c>
      <c r="V78" s="25">
        <f t="shared" si="118"/>
        <v>5832.6840000000002</v>
      </c>
      <c r="W78" s="25">
        <f t="shared" si="118"/>
        <v>6002.9920000000002</v>
      </c>
      <c r="X78" s="25">
        <f t="shared" si="118"/>
        <v>6364</v>
      </c>
      <c r="Y78" s="25">
        <f>SUM(Y73:Y77)</f>
        <v>7302</v>
      </c>
      <c r="Z78" s="25">
        <f t="shared" ref="Z78:AA78" si="119">SUM(Z73:Z77)</f>
        <v>8393</v>
      </c>
      <c r="AA78" s="25">
        <f t="shared" si="119"/>
        <v>10190</v>
      </c>
    </row>
    <row r="80" spans="2:27" x14ac:dyDescent="0.2">
      <c r="B80" s="1" t="s">
        <v>67</v>
      </c>
      <c r="T80" s="25">
        <f t="shared" ref="T80:X80" si="120">T71+T78</f>
        <v>14326.028999999999</v>
      </c>
      <c r="U80" s="25">
        <f t="shared" si="120"/>
        <v>24145.003000000001</v>
      </c>
      <c r="V80" s="25">
        <f t="shared" si="120"/>
        <v>30813.555</v>
      </c>
      <c r="W80" s="25">
        <f t="shared" si="120"/>
        <v>28461.457999999999</v>
      </c>
      <c r="X80" s="25">
        <f t="shared" si="120"/>
        <v>28349</v>
      </c>
      <c r="Y80" s="25">
        <f>Y71+Y78</f>
        <v>29747</v>
      </c>
      <c r="Z80" s="25">
        <f t="shared" ref="Z80:AA80" si="121">Z71+Z78</f>
        <v>31749</v>
      </c>
      <c r="AA80" s="25">
        <f t="shared" si="121"/>
        <v>35767</v>
      </c>
    </row>
    <row r="83" spans="1:27" x14ac:dyDescent="0.2">
      <c r="A83" s="23" t="s">
        <v>9</v>
      </c>
      <c r="B83" s="22" t="s">
        <v>68</v>
      </c>
    </row>
    <row r="84" spans="1:27" x14ac:dyDescent="0.2">
      <c r="B84" s="2" t="s">
        <v>26</v>
      </c>
      <c r="T84" s="3">
        <f>T28</f>
        <v>3059.8080000000014</v>
      </c>
      <c r="U84" s="3">
        <f>U28</f>
        <v>3272.2160000000013</v>
      </c>
      <c r="V84" s="3">
        <f>V28</f>
        <v>90.508000000000919</v>
      </c>
      <c r="W84" s="3">
        <f>W28</f>
        <v>3283</v>
      </c>
      <c r="X84" s="3">
        <f>X28</f>
        <v>3498</v>
      </c>
      <c r="Y84" s="3">
        <f>Y28</f>
        <v>4474</v>
      </c>
      <c r="Z84" s="3">
        <f t="shared" ref="Z84:AA84" si="122">Z28</f>
        <v>4864</v>
      </c>
      <c r="AA84" s="3">
        <f t="shared" si="122"/>
        <v>5494</v>
      </c>
    </row>
    <row r="85" spans="1:27" x14ac:dyDescent="0.2">
      <c r="B85" s="2" t="s">
        <v>71</v>
      </c>
      <c r="T85" s="3">
        <v>819.65499999999997</v>
      </c>
      <c r="U85" s="3">
        <v>867.303</v>
      </c>
      <c r="V85" s="3">
        <v>870.75800000000004</v>
      </c>
      <c r="W85" s="3">
        <v>868</v>
      </c>
      <c r="X85" s="3">
        <v>887</v>
      </c>
      <c r="Y85" s="3">
        <v>964</v>
      </c>
      <c r="Z85" s="3">
        <v>1104</v>
      </c>
      <c r="AA85" s="3">
        <v>1247</v>
      </c>
    </row>
    <row r="86" spans="1:27" x14ac:dyDescent="0.2">
      <c r="B86" s="2" t="s">
        <v>72</v>
      </c>
      <c r="T86" s="3">
        <v>0</v>
      </c>
      <c r="U86" s="3">
        <v>0</v>
      </c>
      <c r="V86" s="3">
        <v>0</v>
      </c>
      <c r="W86" s="3">
        <v>0</v>
      </c>
      <c r="X86" s="3">
        <v>218</v>
      </c>
      <c r="Y86" s="3">
        <v>0</v>
      </c>
      <c r="Z86" s="3">
        <v>0</v>
      </c>
      <c r="AA86" s="3">
        <v>0</v>
      </c>
    </row>
    <row r="87" spans="1:27" x14ac:dyDescent="0.2">
      <c r="B87" s="2" t="s">
        <v>73</v>
      </c>
      <c r="T87" s="3">
        <v>0</v>
      </c>
      <c r="U87" s="3">
        <v>0</v>
      </c>
      <c r="V87" s="3">
        <v>312.233</v>
      </c>
      <c r="W87" s="3">
        <v>242</v>
      </c>
      <c r="X87" s="3">
        <v>0</v>
      </c>
      <c r="Y87" s="3">
        <v>0</v>
      </c>
      <c r="Z87" s="3">
        <v>0</v>
      </c>
      <c r="AA87" s="3">
        <v>0</v>
      </c>
    </row>
    <row r="88" spans="1:27" x14ac:dyDescent="0.2">
      <c r="B88" s="2" t="s">
        <v>74</v>
      </c>
      <c r="T88" s="3">
        <v>17.652999999999999</v>
      </c>
      <c r="U88" s="3">
        <v>16.053999999999998</v>
      </c>
      <c r="V88" s="3">
        <v>83.793999999999997</v>
      </c>
      <c r="W88" s="3">
        <v>9</v>
      </c>
      <c r="X88" s="3">
        <v>23</v>
      </c>
      <c r="Y88" s="3">
        <v>61</v>
      </c>
      <c r="Z88" s="3">
        <v>10</v>
      </c>
      <c r="AA88" s="3">
        <v>21</v>
      </c>
    </row>
    <row r="89" spans="1:27" x14ac:dyDescent="0.2">
      <c r="B89" s="2" t="s">
        <v>75</v>
      </c>
      <c r="T89" s="3">
        <v>-88.593999999999994</v>
      </c>
      <c r="U89" s="3">
        <v>-6.2329999999999997</v>
      </c>
      <c r="V89" s="3">
        <v>-230.69</v>
      </c>
      <c r="W89" s="3">
        <v>-44</v>
      </c>
      <c r="X89" s="3">
        <v>64</v>
      </c>
      <c r="Y89" s="3">
        <v>-7</v>
      </c>
      <c r="Z89" s="3">
        <v>28</v>
      </c>
      <c r="AA89" s="3">
        <v>112</v>
      </c>
    </row>
    <row r="90" spans="1:27" x14ac:dyDescent="0.2">
      <c r="B90" s="2" t="s">
        <v>76</v>
      </c>
      <c r="T90" s="3">
        <v>103.557</v>
      </c>
      <c r="U90" s="3">
        <v>124.95699999999999</v>
      </c>
      <c r="V90" s="3">
        <v>58.518999999999998</v>
      </c>
      <c r="W90" s="3">
        <v>189</v>
      </c>
      <c r="X90" s="3">
        <v>122</v>
      </c>
      <c r="Y90" s="3">
        <v>160</v>
      </c>
      <c r="Z90" s="3">
        <v>183</v>
      </c>
      <c r="AA90" s="3">
        <v>214</v>
      </c>
    </row>
    <row r="91" spans="1:27" x14ac:dyDescent="0.2">
      <c r="B91" s="2" t="s">
        <v>100</v>
      </c>
      <c r="T91" s="3">
        <v>36.122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1:27" x14ac:dyDescent="0.2">
      <c r="B92" s="30" t="s">
        <v>69</v>
      </c>
    </row>
    <row r="93" spans="1:27" x14ac:dyDescent="0.2">
      <c r="B93" s="2" t="s">
        <v>77</v>
      </c>
      <c r="T93" s="3">
        <v>-23.532</v>
      </c>
      <c r="U93" s="3">
        <v>-42.997999999999998</v>
      </c>
      <c r="V93" s="3">
        <v>-71.090999999999994</v>
      </c>
      <c r="W93" s="3">
        <v>-61</v>
      </c>
      <c r="X93" s="3">
        <v>-51</v>
      </c>
      <c r="Y93" s="3">
        <v>37</v>
      </c>
      <c r="Z93" s="3">
        <v>-26</v>
      </c>
      <c r="AA93" s="3">
        <v>-41</v>
      </c>
    </row>
    <row r="94" spans="1:27" x14ac:dyDescent="0.2">
      <c r="B94" s="2" t="s">
        <v>78</v>
      </c>
      <c r="T94" s="3">
        <v>-465.42899999999997</v>
      </c>
      <c r="U94" s="3">
        <v>-296.541</v>
      </c>
      <c r="V94" s="3">
        <v>588.75599999999997</v>
      </c>
      <c r="W94" s="3">
        <v>-1658</v>
      </c>
      <c r="X94" s="3">
        <v>58</v>
      </c>
      <c r="Y94" s="3">
        <v>-145</v>
      </c>
      <c r="Z94" s="3">
        <v>-539</v>
      </c>
      <c r="AA94" s="3">
        <v>-724</v>
      </c>
    </row>
    <row r="95" spans="1:27" x14ac:dyDescent="0.2">
      <c r="B95" s="2" t="s">
        <v>79</v>
      </c>
      <c r="T95" s="3">
        <v>15.452</v>
      </c>
      <c r="U95" s="3">
        <v>-34.177</v>
      </c>
      <c r="V95" s="3">
        <v>10.707000000000001</v>
      </c>
      <c r="W95" s="3">
        <v>-78</v>
      </c>
      <c r="X95" s="3">
        <v>-5</v>
      </c>
      <c r="Y95" s="3">
        <v>60</v>
      </c>
      <c r="Z95" s="3">
        <v>-10</v>
      </c>
      <c r="AA95" s="3">
        <v>61</v>
      </c>
    </row>
    <row r="96" spans="1:27" x14ac:dyDescent="0.2">
      <c r="B96" s="2" t="s">
        <v>80</v>
      </c>
      <c r="T96" s="3">
        <v>220.89</v>
      </c>
      <c r="U96" s="3">
        <v>-17.084</v>
      </c>
      <c r="V96" s="3">
        <v>-57.45</v>
      </c>
      <c r="W96" s="3">
        <v>33</v>
      </c>
      <c r="X96" s="3">
        <v>-73</v>
      </c>
      <c r="Y96" s="3">
        <v>-40</v>
      </c>
      <c r="Z96" s="3">
        <v>-31</v>
      </c>
      <c r="AA96" s="3">
        <v>-468</v>
      </c>
    </row>
    <row r="97" spans="2:27" x14ac:dyDescent="0.2">
      <c r="B97" s="2" t="s">
        <v>81</v>
      </c>
      <c r="T97" s="3">
        <v>198.21199999999999</v>
      </c>
      <c r="U97" s="3">
        <v>29.338000000000001</v>
      </c>
      <c r="V97" s="3">
        <v>2111.1889999999999</v>
      </c>
      <c r="W97" s="3">
        <v>-338</v>
      </c>
      <c r="X97" s="3">
        <v>-600</v>
      </c>
      <c r="Y97" s="3">
        <v>64</v>
      </c>
      <c r="Z97" s="3">
        <v>448</v>
      </c>
      <c r="AA97" s="3">
        <v>239</v>
      </c>
    </row>
    <row r="98" spans="2:27" x14ac:dyDescent="0.2">
      <c r="B98" s="2" t="s">
        <v>82</v>
      </c>
      <c r="T98" s="3">
        <v>169.41800000000001</v>
      </c>
      <c r="U98" s="3">
        <v>345.745</v>
      </c>
      <c r="V98" s="3">
        <v>584.50199999999995</v>
      </c>
      <c r="W98" s="3">
        <v>659</v>
      </c>
      <c r="X98" s="3">
        <v>-23</v>
      </c>
      <c r="Y98" s="3">
        <v>443</v>
      </c>
      <c r="Z98" s="3">
        <v>228</v>
      </c>
      <c r="AA98" s="3">
        <v>628</v>
      </c>
    </row>
    <row r="99" spans="2:27" x14ac:dyDescent="0.2">
      <c r="B99" s="2" t="s">
        <v>83</v>
      </c>
      <c r="T99" s="3">
        <v>40.965000000000003</v>
      </c>
      <c r="U99" s="3">
        <v>-128.34200000000001</v>
      </c>
      <c r="V99" s="3">
        <v>52.790999999999997</v>
      </c>
      <c r="W99" s="3">
        <v>100</v>
      </c>
      <c r="X99" s="3">
        <v>-126</v>
      </c>
      <c r="Y99" s="3">
        <v>46</v>
      </c>
      <c r="Z99" s="3">
        <v>-31</v>
      </c>
      <c r="AA99" s="3">
        <v>174</v>
      </c>
    </row>
    <row r="100" spans="2:27" x14ac:dyDescent="0.2">
      <c r="B100" s="2" t="s">
        <v>84</v>
      </c>
      <c r="T100" s="3">
        <v>0</v>
      </c>
      <c r="U100" s="3">
        <v>29.617000000000001</v>
      </c>
      <c r="V100" s="3">
        <v>200.24299999999999</v>
      </c>
      <c r="W100" s="3">
        <v>-129</v>
      </c>
      <c r="X100" s="3">
        <v>-1</v>
      </c>
      <c r="Y100" s="3">
        <v>-18</v>
      </c>
      <c r="Z100" s="3">
        <v>-12</v>
      </c>
      <c r="AA100" s="3">
        <v>4</v>
      </c>
    </row>
    <row r="101" spans="2:27" x14ac:dyDescent="0.2">
      <c r="B101" s="2" t="s">
        <v>85</v>
      </c>
      <c r="T101" s="3">
        <v>-15.708</v>
      </c>
      <c r="U101" s="3">
        <v>-93.292000000000002</v>
      </c>
      <c r="V101" s="3">
        <v>-42.841999999999999</v>
      </c>
      <c r="W101" s="3">
        <v>-18</v>
      </c>
      <c r="X101" s="3">
        <v>93</v>
      </c>
      <c r="Y101" s="3">
        <v>-42</v>
      </c>
      <c r="Z101" s="3">
        <v>-100</v>
      </c>
      <c r="AA101" s="3">
        <v>-87</v>
      </c>
    </row>
    <row r="102" spans="2:27" x14ac:dyDescent="0.2">
      <c r="B102" s="2" t="s">
        <v>70</v>
      </c>
      <c r="T102" s="3">
        <f t="shared" ref="T102:V102" si="123">SUM(T93:T101)</f>
        <v>140.26800000000003</v>
      </c>
      <c r="U102" s="3">
        <f t="shared" si="123"/>
        <v>-207.73399999999998</v>
      </c>
      <c r="V102" s="3">
        <f t="shared" si="123"/>
        <v>3376.8049999999998</v>
      </c>
      <c r="W102" s="3">
        <f>SUM(W93:W101)</f>
        <v>-1490</v>
      </c>
      <c r="X102" s="3">
        <f t="shared" ref="X102:AA102" si="124">SUM(X93:X101)</f>
        <v>-728</v>
      </c>
      <c r="Y102" s="3">
        <f t="shared" si="124"/>
        <v>405</v>
      </c>
      <c r="Z102" s="3">
        <f t="shared" si="124"/>
        <v>-73</v>
      </c>
      <c r="AA102" s="3">
        <f t="shared" si="124"/>
        <v>-214</v>
      </c>
    </row>
    <row r="103" spans="2:27" x14ac:dyDescent="0.2">
      <c r="B103" s="1" t="s">
        <v>86</v>
      </c>
      <c r="T103" s="25">
        <f t="shared" ref="T103:V103" si="125">SUM(T84:T91)+T102</f>
        <v>4088.469000000001</v>
      </c>
      <c r="U103" s="25">
        <f t="shared" si="125"/>
        <v>4066.5630000000015</v>
      </c>
      <c r="V103" s="25">
        <f t="shared" si="125"/>
        <v>4561.9270000000006</v>
      </c>
      <c r="W103" s="25">
        <f>SUM(W84:W91)+W102</f>
        <v>3057</v>
      </c>
      <c r="X103" s="25">
        <f t="shared" ref="X103:AA103" si="126">SUM(X84:X91)+X102</f>
        <v>4084</v>
      </c>
      <c r="Y103" s="25">
        <f t="shared" si="126"/>
        <v>6057</v>
      </c>
      <c r="Z103" s="25">
        <f t="shared" si="126"/>
        <v>6116</v>
      </c>
      <c r="AA103" s="25">
        <f t="shared" si="126"/>
        <v>6874</v>
      </c>
    </row>
    <row r="104" spans="2:27" x14ac:dyDescent="0.2">
      <c r="B104" s="2" t="s">
        <v>87</v>
      </c>
      <c r="T104" s="3">
        <v>-1125.1389999999999</v>
      </c>
      <c r="U104" s="3">
        <v>-1223.116</v>
      </c>
      <c r="V104" s="3">
        <v>-568.02099999999996</v>
      </c>
      <c r="W104" s="3">
        <v>-1045</v>
      </c>
      <c r="X104" s="3">
        <v>-1457</v>
      </c>
      <c r="Y104" s="3">
        <v>-1722</v>
      </c>
      <c r="Z104" s="3">
        <v>-1918</v>
      </c>
      <c r="AA104" s="3">
        <v>-1957</v>
      </c>
    </row>
    <row r="105" spans="2:27" x14ac:dyDescent="0.2">
      <c r="B105" s="2" t="s">
        <v>88</v>
      </c>
      <c r="T105" s="3">
        <v>-161.625</v>
      </c>
      <c r="U105" s="3">
        <f>-230.156-28.838</f>
        <v>-258.99400000000003</v>
      </c>
      <c r="V105" s="3">
        <v>-29.1</v>
      </c>
      <c r="W105" s="3">
        <v>-22</v>
      </c>
      <c r="X105" s="3">
        <v>-31</v>
      </c>
      <c r="Y105" s="3">
        <v>-28</v>
      </c>
      <c r="Z105" s="3">
        <f>-551-35</f>
        <v>-586</v>
      </c>
      <c r="AA105" s="3">
        <f>-12-38</f>
        <v>-50</v>
      </c>
    </row>
    <row r="106" spans="2:27" x14ac:dyDescent="0.2">
      <c r="B106" s="2" t="s">
        <v>89</v>
      </c>
      <c r="T106" s="3">
        <f>636.56+26.652</f>
        <v>663.21199999999999</v>
      </c>
      <c r="U106" s="3">
        <f>12.72+7.419</f>
        <v>20.138999999999999</v>
      </c>
      <c r="V106" s="3">
        <v>18.524000000000001</v>
      </c>
      <c r="W106" s="3">
        <v>21</v>
      </c>
      <c r="X106" s="3">
        <v>18</v>
      </c>
      <c r="Y106" s="3">
        <v>33</v>
      </c>
      <c r="Z106" s="3">
        <v>27</v>
      </c>
      <c r="AA106" s="3">
        <v>26</v>
      </c>
    </row>
    <row r="107" spans="2:27" x14ac:dyDescent="0.2">
      <c r="B107" s="1" t="s">
        <v>90</v>
      </c>
      <c r="T107" s="25">
        <f t="shared" ref="T107:X107" si="127">SUM(T104:T106)</f>
        <v>-623.55199999999991</v>
      </c>
      <c r="U107" s="25">
        <f t="shared" si="127"/>
        <v>-1461.9710000000002</v>
      </c>
      <c r="V107" s="25">
        <f t="shared" si="127"/>
        <v>-578.59699999999998</v>
      </c>
      <c r="W107" s="25">
        <f t="shared" si="127"/>
        <v>-1046</v>
      </c>
      <c r="X107" s="25">
        <f t="shared" si="127"/>
        <v>-1470</v>
      </c>
      <c r="Y107" s="25">
        <f>SUM(Y104:Y106)</f>
        <v>-1717</v>
      </c>
      <c r="Z107" s="25">
        <f t="shared" ref="Z107:AA107" si="128">SUM(Z104:Z106)</f>
        <v>-2477</v>
      </c>
      <c r="AA107" s="25">
        <f t="shared" si="128"/>
        <v>-1981</v>
      </c>
    </row>
    <row r="108" spans="2:27" x14ac:dyDescent="0.2">
      <c r="B108" s="2" t="s">
        <v>106</v>
      </c>
      <c r="T108" s="3">
        <v>0</v>
      </c>
      <c r="U108" s="3">
        <v>0</v>
      </c>
      <c r="V108" s="3">
        <v>-1000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</row>
    <row r="109" spans="2:27" x14ac:dyDescent="0.2">
      <c r="B109" s="2" t="s">
        <v>107</v>
      </c>
      <c r="T109" s="3">
        <v>0</v>
      </c>
      <c r="U109" s="3">
        <v>0</v>
      </c>
      <c r="V109" s="3">
        <v>5986.8729999999996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</row>
    <row r="110" spans="2:27" x14ac:dyDescent="0.2">
      <c r="B110" s="2" t="s">
        <v>108</v>
      </c>
      <c r="T110" s="3">
        <v>0</v>
      </c>
      <c r="U110" s="3">
        <v>0</v>
      </c>
      <c r="V110" s="3">
        <v>-42.377000000000002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</row>
    <row r="111" spans="2:27" x14ac:dyDescent="0.2">
      <c r="B111" s="2" t="s">
        <v>91</v>
      </c>
      <c r="T111" s="3">
        <v>-2406.9969999999998</v>
      </c>
      <c r="U111" s="3">
        <v>-1551.992</v>
      </c>
      <c r="V111" s="3">
        <v>-201.5</v>
      </c>
      <c r="W111" s="3">
        <v>-2176</v>
      </c>
      <c r="X111" s="3">
        <v>-2255</v>
      </c>
      <c r="Y111" s="3">
        <v>-2484</v>
      </c>
      <c r="Z111" s="3">
        <v>-2513</v>
      </c>
      <c r="AA111" s="3">
        <v>-2522</v>
      </c>
    </row>
    <row r="112" spans="2:27" x14ac:dyDescent="0.2">
      <c r="B112" s="2" t="s">
        <v>92</v>
      </c>
      <c r="T112" s="3">
        <v>255.24100000000001</v>
      </c>
      <c r="U112" s="3">
        <v>232.10599999999999</v>
      </c>
      <c r="V112" s="3">
        <v>211.18899999999999</v>
      </c>
      <c r="W112" s="3">
        <v>229</v>
      </c>
      <c r="X112" s="3">
        <v>321</v>
      </c>
      <c r="Y112" s="3">
        <v>285</v>
      </c>
      <c r="Z112" s="3">
        <v>366</v>
      </c>
      <c r="AA112" s="3">
        <v>311</v>
      </c>
    </row>
    <row r="113" spans="2:27" x14ac:dyDescent="0.2">
      <c r="B113" s="2" t="s">
        <v>93</v>
      </c>
      <c r="T113" s="3">
        <v>-922.596</v>
      </c>
      <c r="U113" s="3">
        <v>-1071.5619999999999</v>
      </c>
      <c r="V113" s="3">
        <v>-278.25599999999997</v>
      </c>
      <c r="W113" s="3">
        <v>-1252</v>
      </c>
      <c r="X113" s="3">
        <v>-1339</v>
      </c>
      <c r="Y113" s="3">
        <v>-1484</v>
      </c>
      <c r="Z113" s="3">
        <v>-1648</v>
      </c>
      <c r="AA113" s="3">
        <v>-1842</v>
      </c>
    </row>
    <row r="114" spans="2:27" x14ac:dyDescent="0.2">
      <c r="B114" s="2" t="s">
        <v>94</v>
      </c>
      <c r="T114" s="3">
        <v>0</v>
      </c>
      <c r="U114" s="3">
        <v>0</v>
      </c>
      <c r="V114" s="3">
        <v>-1418.3579999999999</v>
      </c>
      <c r="W114" s="3">
        <v>-2976</v>
      </c>
      <c r="X114" s="3">
        <v>0</v>
      </c>
      <c r="Y114" s="3">
        <v>-500</v>
      </c>
      <c r="Z114" s="3">
        <v>0</v>
      </c>
      <c r="AA114" s="3">
        <v>0</v>
      </c>
    </row>
    <row r="115" spans="2:27" x14ac:dyDescent="0.2">
      <c r="B115" s="2" t="s">
        <v>85</v>
      </c>
      <c r="T115" s="3">
        <f>-16.014-7.115</f>
        <v>-23.128999999999998</v>
      </c>
      <c r="U115" s="3">
        <v>-23.422999999999998</v>
      </c>
      <c r="V115" s="3">
        <v>-29.309000000000001</v>
      </c>
      <c r="W115" s="3">
        <v>-25</v>
      </c>
      <c r="X115" s="3">
        <v>-33</v>
      </c>
      <c r="Y115" s="3">
        <v>-32</v>
      </c>
      <c r="Z115" s="3">
        <v>-43</v>
      </c>
      <c r="AA115" s="3">
        <v>-65</v>
      </c>
    </row>
    <row r="116" spans="2:27" x14ac:dyDescent="0.2">
      <c r="B116" s="1" t="s">
        <v>95</v>
      </c>
      <c r="T116" s="25">
        <f t="shared" ref="T116:X116" si="129">SUM(T108:T115)</f>
        <v>-3097.4809999999998</v>
      </c>
      <c r="U116" s="25">
        <f t="shared" si="129"/>
        <v>-2414.8709999999996</v>
      </c>
      <c r="V116" s="25">
        <f>SUM(V108:V115)</f>
        <v>3228.2619999999988</v>
      </c>
      <c r="W116" s="25">
        <f t="shared" si="129"/>
        <v>-6200</v>
      </c>
      <c r="X116" s="25">
        <f t="shared" si="129"/>
        <v>-3306</v>
      </c>
      <c r="Y116" s="25">
        <f>SUM(Y108:Y115)</f>
        <v>-4215</v>
      </c>
      <c r="Z116" s="25">
        <f t="shared" ref="Z116:AA116" si="130">SUM(Z108:Z115)</f>
        <v>-3838</v>
      </c>
      <c r="AA116" s="25">
        <f t="shared" si="130"/>
        <v>-4118</v>
      </c>
    </row>
    <row r="118" spans="2:27" x14ac:dyDescent="0.2">
      <c r="B118" s="2" t="s">
        <v>96</v>
      </c>
      <c r="T118" s="3">
        <v>-95.674000000000007</v>
      </c>
      <c r="U118" s="3">
        <v>-3.1749999999999998</v>
      </c>
      <c r="V118" s="3">
        <v>41.264000000000003</v>
      </c>
      <c r="W118" s="3">
        <v>-54</v>
      </c>
      <c r="X118" s="3">
        <v>-58</v>
      </c>
      <c r="Y118" s="3">
        <v>-2</v>
      </c>
      <c r="Z118" s="3">
        <v>-66</v>
      </c>
      <c r="AA118" s="3">
        <v>120</v>
      </c>
    </row>
    <row r="119" spans="2:27" x14ac:dyDescent="0.2">
      <c r="B119" s="1" t="s">
        <v>97</v>
      </c>
      <c r="T119" s="25">
        <f t="shared" ref="T119:AA119" si="131">T103+T107+T116+T118</f>
        <v>271.76200000000154</v>
      </c>
      <c r="U119" s="25">
        <f t="shared" si="131"/>
        <v>186.54600000000181</v>
      </c>
      <c r="V119" s="25">
        <f t="shared" si="131"/>
        <v>7252.8559999999998</v>
      </c>
      <c r="W119" s="25">
        <f t="shared" si="131"/>
        <v>-4243</v>
      </c>
      <c r="X119" s="25">
        <f t="shared" si="131"/>
        <v>-750</v>
      </c>
      <c r="Y119" s="25">
        <f t="shared" si="131"/>
        <v>123</v>
      </c>
      <c r="Z119" s="25">
        <f t="shared" si="131"/>
        <v>-265</v>
      </c>
      <c r="AA119" s="25">
        <f t="shared" si="131"/>
        <v>895</v>
      </c>
    </row>
    <row r="120" spans="2:27" x14ac:dyDescent="0.2">
      <c r="B120" s="2" t="s">
        <v>98</v>
      </c>
      <c r="T120" s="3">
        <f>T121-T119</f>
        <v>2758.8359999999971</v>
      </c>
      <c r="U120" s="3">
        <f>U121-U119</f>
        <v>3030.5979999999986</v>
      </c>
      <c r="V120" s="3">
        <f>V121-V119</f>
        <v>3217.1440000000002</v>
      </c>
      <c r="W120" s="3">
        <f>W121-W119</f>
        <v>10470</v>
      </c>
      <c r="X120" s="3">
        <f>X121-X119</f>
        <v>6227</v>
      </c>
      <c r="Y120" s="3">
        <v>5477</v>
      </c>
      <c r="Z120" s="3">
        <f>+Y121</f>
        <v>5600</v>
      </c>
      <c r="AA120" s="3">
        <f>+Z121</f>
        <v>5335</v>
      </c>
    </row>
    <row r="121" spans="2:27" x14ac:dyDescent="0.2">
      <c r="B121" s="2" t="s">
        <v>99</v>
      </c>
      <c r="T121" s="3">
        <f>U120</f>
        <v>3030.5979999999986</v>
      </c>
      <c r="U121" s="3">
        <f>V120</f>
        <v>3217.1440000000002</v>
      </c>
      <c r="V121" s="3">
        <f>W120</f>
        <v>10470</v>
      </c>
      <c r="W121" s="3">
        <f>X120</f>
        <v>6227</v>
      </c>
      <c r="X121" s="3">
        <f>Y120</f>
        <v>5477</v>
      </c>
      <c r="Y121" s="3">
        <f>Y120+Y119</f>
        <v>5600</v>
      </c>
      <c r="Z121" s="3">
        <f>+Z119+Z120</f>
        <v>5335</v>
      </c>
      <c r="AA121" s="3">
        <f>+AA119+AA120</f>
        <v>6230</v>
      </c>
    </row>
    <row r="123" spans="2:27" x14ac:dyDescent="0.2">
      <c r="B123" s="1" t="s">
        <v>220</v>
      </c>
      <c r="T123" s="25">
        <f>+T103+T104</f>
        <v>2963.3300000000008</v>
      </c>
      <c r="U123" s="25">
        <f t="shared" ref="U123:AA123" si="132">+U103+U104</f>
        <v>2843.4470000000015</v>
      </c>
      <c r="V123" s="25">
        <f t="shared" si="132"/>
        <v>3993.9060000000009</v>
      </c>
      <c r="W123" s="25">
        <f t="shared" si="132"/>
        <v>2012</v>
      </c>
      <c r="X123" s="25">
        <f t="shared" si="132"/>
        <v>2627</v>
      </c>
      <c r="Y123" s="25">
        <f t="shared" si="132"/>
        <v>4335</v>
      </c>
      <c r="Z123" s="25">
        <f t="shared" si="132"/>
        <v>4198</v>
      </c>
      <c r="AA123" s="25">
        <f t="shared" si="132"/>
        <v>4917</v>
      </c>
    </row>
  </sheetData>
  <hyperlinks>
    <hyperlink ref="A1" location="Main!A1" display="Main" xr:uid="{E509D1BA-74CF-4045-92A3-FB2564A5955D}"/>
  </hyperlink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7377-8BA4-49C4-8B0D-C42F50F40ABA}">
  <dimension ref="A1:K53"/>
  <sheetViews>
    <sheetView zoomScale="200" zoomScaleNormal="200" workbookViewId="0">
      <pane xSplit="2" ySplit="2" topLeftCell="C28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2.75" x14ac:dyDescent="0.2"/>
  <cols>
    <col min="1" max="1" width="4.7109375" style="2" bestFit="1" customWidth="1"/>
    <col min="2" max="2" width="20" style="2" customWidth="1"/>
    <col min="3" max="6" width="9.5703125" style="2" bestFit="1" customWidth="1"/>
    <col min="7" max="8" width="10.7109375" style="2" bestFit="1" customWidth="1"/>
    <col min="9" max="9" width="9.140625" style="2"/>
    <col min="10" max="11" width="9.42578125" style="2" bestFit="1" customWidth="1"/>
    <col min="12" max="16384" width="9.140625" style="2"/>
  </cols>
  <sheetData>
    <row r="1" spans="1:11" x14ac:dyDescent="0.2">
      <c r="A1" s="5" t="s">
        <v>7</v>
      </c>
    </row>
    <row r="2" spans="1:11" x14ac:dyDescent="0.2">
      <c r="B2" s="1" t="s">
        <v>147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101</v>
      </c>
      <c r="K2" s="4" t="s">
        <v>148</v>
      </c>
    </row>
    <row r="3" spans="1:11" x14ac:dyDescent="0.2">
      <c r="A3" s="23" t="s">
        <v>9</v>
      </c>
      <c r="B3" s="30" t="s">
        <v>149</v>
      </c>
    </row>
    <row r="4" spans="1:11" x14ac:dyDescent="0.2">
      <c r="B4" s="2" t="s">
        <v>150</v>
      </c>
      <c r="C4" s="27">
        <f>Model!T28/Model!T78</f>
        <v>0.60606987354529185</v>
      </c>
      <c r="D4" s="27">
        <f>Model!U28/Model!U78</f>
        <v>0.550117581552238</v>
      </c>
      <c r="E4" s="27">
        <f>Model!V28/Model!V78</f>
        <v>1.5517384449423442E-2</v>
      </c>
      <c r="F4" s="27">
        <f>Model!W28/Model!W78</f>
        <v>0.54689394888415643</v>
      </c>
      <c r="G4" s="27">
        <f>Model!X28/Model!X78</f>
        <v>0.549654305468259</v>
      </c>
      <c r="H4" s="27">
        <f>Model!Y28/Model!Y78</f>
        <v>0.6127088468912627</v>
      </c>
      <c r="K4" s="31">
        <f>AVERAGE(F4:H4,C4:D4)</f>
        <v>0.57308891126824169</v>
      </c>
    </row>
    <row r="5" spans="1:11" x14ac:dyDescent="0.2">
      <c r="B5" s="2" t="s">
        <v>151</v>
      </c>
      <c r="C5" s="27">
        <f>Model!T23/Model!T58</f>
        <v>0.29444258419412678</v>
      </c>
      <c r="D5" s="27">
        <f>Model!U23/Model!U58</f>
        <v>0.18290459520754673</v>
      </c>
      <c r="E5" s="27">
        <f>Model!V23/Model!V58</f>
        <v>1.889648337985184E-2</v>
      </c>
      <c r="F5" s="27">
        <f>Model!W23/Model!W58</f>
        <v>0.16706803987343163</v>
      </c>
      <c r="G5" s="27">
        <f>Model!X23/Model!X58</f>
        <v>0.17143461850506192</v>
      </c>
      <c r="H5" s="27">
        <f>Model!Y23/Model!Y58</f>
        <v>0.19487679429858473</v>
      </c>
      <c r="K5" s="31">
        <f t="shared" ref="K5:K12" si="0">AVERAGE(F5:H5,C5:D5)</f>
        <v>0.20214532641575036</v>
      </c>
    </row>
    <row r="6" spans="1:11" x14ac:dyDescent="0.2">
      <c r="B6" s="2" t="s">
        <v>152</v>
      </c>
      <c r="C6" s="27">
        <f>Model!T23/(Model!T57+Model!T47+Model!T48+Model!T49+Model!T50-Model!T60)</f>
        <v>0.48755897280717458</v>
      </c>
      <c r="D6" s="27">
        <f>Model!U23/(Model!U57+Model!U47+Model!U48+Model!U49+Model!U50-Model!U60)</f>
        <v>0.24190983919866321</v>
      </c>
      <c r="E6" s="27">
        <f>Model!V23/(Model!V57+Model!V47+Model!V48+Model!V49+Model!V50-Model!V60)</f>
        <v>3.7515824938950552E-2</v>
      </c>
      <c r="F6" s="27">
        <f>Model!W23/(Model!W57+Model!W47+Model!W48+Model!W49+Model!W50-Model!W60)</f>
        <v>0.26759687203737059</v>
      </c>
      <c r="G6" s="27">
        <f>Model!X23/(Model!X57+Model!X47+Model!X48+Model!X49+Model!X50-Model!X60)</f>
        <v>0.25474368382430024</v>
      </c>
      <c r="H6" s="27">
        <f>Model!Y23/(Model!Y57+Model!Y47+Model!Y48+Model!Y49+Model!Y50-Model!Y60)</f>
        <v>0.28577766822775452</v>
      </c>
      <c r="K6" s="31">
        <f t="shared" si="0"/>
        <v>0.30751740721905263</v>
      </c>
    </row>
    <row r="7" spans="1:11" x14ac:dyDescent="0.2">
      <c r="B7" s="2" t="s">
        <v>153</v>
      </c>
      <c r="C7" s="27">
        <f>(Model!T23*(1-Model!T42))/(Model!T78+Model!T69+Model!T68+Model!T66+Model!T62+Model!T63-Model!T46)</f>
        <v>0.55166818655698691</v>
      </c>
      <c r="D7" s="27">
        <f>(Model!U23*(1-Model!U42))/(Model!U78+Model!U69+Model!U68+Model!U66+Model!U62+Model!U63-Model!U46)</f>
        <v>0.21796044331360612</v>
      </c>
      <c r="E7" s="27">
        <f>(Model!V23*(1-Model!V42))/(Model!V78+Model!V69+Model!V68+Model!V66+Model!V62+Model!V63-Model!V46)</f>
        <v>4.9464888592549487E-2</v>
      </c>
      <c r="F7" s="27">
        <f>(Model!W23*(1-Model!W42))/(Model!W78+Model!W69+Model!W68+Model!W66+Model!W62+Model!W63-Model!W46)</f>
        <v>0.26690037562102642</v>
      </c>
      <c r="G7" s="27">
        <f>(Model!X23*(1-Model!X42))/(Model!X78+Model!X69+Model!X68+Model!X66+Model!X62+Model!X63-Model!X46)</f>
        <v>0.25202849950632877</v>
      </c>
      <c r="H7" s="27">
        <f>(Model!Y23*(1-Model!Y42))/(Model!Y78+Model!Y69+Model!Y68+Model!Y66+Model!Y62+Model!Y63-Model!Y46)</f>
        <v>0.28655957361126133</v>
      </c>
      <c r="K7" s="31">
        <f t="shared" si="0"/>
        <v>0.31502341572184195</v>
      </c>
    </row>
    <row r="9" spans="1:11" x14ac:dyDescent="0.2">
      <c r="B9" s="2" t="s">
        <v>154</v>
      </c>
      <c r="C9" s="27">
        <f>(Model!T28+Model!T113+Model!T111)/Model!T28</f>
        <v>-8.8170564950480021E-2</v>
      </c>
      <c r="D9" s="27">
        <f>(Model!U28+Model!U113+Model!U111)/Model!U28</f>
        <v>0.19823324621602031</v>
      </c>
      <c r="E9" s="27">
        <f>(Model!V28+Model!V113+Model!V111)/Model!V28</f>
        <v>-4.3007027003137299</v>
      </c>
      <c r="F9" s="27">
        <f>(Model!W28+Model!W113+Model!W111)/Model!W28</f>
        <v>-4.41669204995431E-2</v>
      </c>
      <c r="G9" s="27">
        <f>(Model!X28+Model!X113+Model!X111)/Model!X28</f>
        <v>-2.7444253859348199E-2</v>
      </c>
      <c r="H9" s="27">
        <f>(Model!Y28+Model!Y113+Model!Y111)/Model!Y28</f>
        <v>0.11309789897183728</v>
      </c>
      <c r="K9" s="31">
        <f t="shared" si="0"/>
        <v>3.0309881175697252E-2</v>
      </c>
    </row>
    <row r="10" spans="1:11" x14ac:dyDescent="0.2">
      <c r="B10" s="2" t="s">
        <v>186</v>
      </c>
      <c r="C10" s="31">
        <f t="shared" ref="C10:G10" si="1">C9*C6</f>
        <v>-4.298835007908431E-2</v>
      </c>
      <c r="D10" s="31">
        <f t="shared" si="1"/>
        <v>4.795457271594649E-2</v>
      </c>
      <c r="E10" s="31">
        <f t="shared" si="1"/>
        <v>-0.16134440961944183</v>
      </c>
      <c r="F10" s="31">
        <f t="shared" si="1"/>
        <v>-1.1818929773200955E-2</v>
      </c>
      <c r="G10" s="31">
        <f t="shared" si="1"/>
        <v>-6.9912503279396286E-3</v>
      </c>
      <c r="H10" s="31">
        <f>H9*H6</f>
        <v>3.2320853849629815E-2</v>
      </c>
      <c r="K10" s="31">
        <f t="shared" si="0"/>
        <v>3.695379277070282E-3</v>
      </c>
    </row>
    <row r="11" spans="1:11" x14ac:dyDescent="0.2">
      <c r="B11" s="2" t="s">
        <v>155</v>
      </c>
      <c r="C11" s="27">
        <f>(-Model!T104-Model!T102)/(Model!T23*(1-Model!T42))</f>
        <v>0.31844183021581496</v>
      </c>
      <c r="D11" s="27">
        <f>(-Model!U104-Model!U102)/(Model!U23*(1-Model!U42))</f>
        <v>0.43627975561935822</v>
      </c>
      <c r="E11" s="27">
        <f>(-Model!V104-Model!V102)/(Model!V23*(1-Model!V42))</f>
        <v>-4.759537725577724</v>
      </c>
      <c r="F11" s="27">
        <f>(-Model!W104-Model!W102)/(Model!W23*(1-Model!W42))</f>
        <v>0.71418674348594369</v>
      </c>
      <c r="G11" s="27">
        <f>(-Model!X104-Model!X102)/(Model!X23*(1-Model!X42))</f>
        <v>0.5958525388993593</v>
      </c>
      <c r="H11" s="27">
        <f>(-Model!Y104-Model!Y102)/(Model!Y23*(1-Model!Y42))</f>
        <v>0.3029999331425493</v>
      </c>
      <c r="K11" s="31">
        <f t="shared" si="0"/>
        <v>0.47355216027260505</v>
      </c>
    </row>
    <row r="12" spans="1:11" x14ac:dyDescent="0.2">
      <c r="B12" s="2" t="s">
        <v>187</v>
      </c>
      <c r="C12" s="31">
        <f t="shared" ref="C12:G12" si="2">C11*C7</f>
        <v>0.17567422699904656</v>
      </c>
      <c r="D12" s="31">
        <f t="shared" si="2"/>
        <v>9.509172894354706E-2</v>
      </c>
      <c r="E12" s="31">
        <f t="shared" si="2"/>
        <v>-0.2354300033477385</v>
      </c>
      <c r="F12" s="31">
        <f t="shared" si="2"/>
        <v>0.19061671009995601</v>
      </c>
      <c r="G12" s="31">
        <f t="shared" si="2"/>
        <v>0.15017182130584192</v>
      </c>
      <c r="H12" s="31">
        <f>H11*H7</f>
        <v>8.6827531645569625E-2</v>
      </c>
      <c r="K12" s="31">
        <f t="shared" si="0"/>
        <v>0.13967640379879223</v>
      </c>
    </row>
    <row r="13" spans="1:11" x14ac:dyDescent="0.2">
      <c r="K13" s="31"/>
    </row>
    <row r="14" spans="1:11" x14ac:dyDescent="0.2">
      <c r="A14" s="23" t="s">
        <v>9</v>
      </c>
      <c r="B14" s="30" t="s">
        <v>156</v>
      </c>
    </row>
    <row r="15" spans="1:11" x14ac:dyDescent="0.2">
      <c r="B15" s="2" t="s">
        <v>157</v>
      </c>
      <c r="C15" s="27">
        <f>C31/Model!T78</f>
        <v>0.11045207330498763</v>
      </c>
      <c r="D15" s="27">
        <f>D31/Model!U78</f>
        <v>1.5296761446969274</v>
      </c>
      <c r="E15" s="27">
        <f>E31/Model!V78</f>
        <v>1.0454463159670575</v>
      </c>
      <c r="F15" s="27">
        <f>F31/Model!W78</f>
        <v>1.2153850946328095</v>
      </c>
      <c r="G15" s="27">
        <f>G31/Model!X78</f>
        <v>1.2862979258328096</v>
      </c>
      <c r="H15" s="27">
        <f>H31/Model!Y78</f>
        <v>1.0772391125718981</v>
      </c>
    </row>
    <row r="16" spans="1:11" x14ac:dyDescent="0.2">
      <c r="B16" s="2" t="s">
        <v>158</v>
      </c>
      <c r="C16" s="27">
        <f>C31/(Model!T23+Model!T85)</f>
        <v>0.11068793659514942</v>
      </c>
      <c r="D16" s="27">
        <f>D31/(Model!U23+Model!U85)</f>
        <v>1.7221118058269698</v>
      </c>
      <c r="E16" s="27">
        <f>E31/(Model!V23+Model!V85)</f>
        <v>4.196592490430314</v>
      </c>
      <c r="F16" s="27">
        <f>F31/(Model!W23+Model!W85)</f>
        <v>1.2975185843855592</v>
      </c>
      <c r="G16" s="27">
        <f>G31/(Model!X23+Model!X85)</f>
        <v>1.4243953366974074</v>
      </c>
      <c r="H16" s="27">
        <f>H31/(Model!Y23+Model!Y85)</f>
        <v>1.1634373613370803</v>
      </c>
    </row>
    <row r="17" spans="1:11" x14ac:dyDescent="0.2">
      <c r="B17" s="2" t="s">
        <v>159</v>
      </c>
    </row>
    <row r="19" spans="1:11" x14ac:dyDescent="0.2">
      <c r="A19" s="23" t="s">
        <v>9</v>
      </c>
      <c r="B19" s="30" t="s">
        <v>160</v>
      </c>
    </row>
    <row r="20" spans="1:11" x14ac:dyDescent="0.2">
      <c r="B20" s="2" t="s">
        <v>161</v>
      </c>
      <c r="C20" s="32">
        <f>Model!T47/Model!T19*360</f>
        <v>3.1988169020069157</v>
      </c>
      <c r="D20" s="32">
        <f>Model!U47/Model!U19*360</f>
        <v>3.3332684517103339</v>
      </c>
      <c r="E20" s="32">
        <f>Model!V47/Model!V19*360</f>
        <v>5.16569810498802</v>
      </c>
      <c r="F20" s="32">
        <f>Model!W47/Model!W19*360</f>
        <v>3.838193202883625</v>
      </c>
      <c r="G20" s="32">
        <f>Model!X47/Model!X19*360</f>
        <v>4.0587952579301509</v>
      </c>
      <c r="H20" s="32">
        <f>Model!Y47/Model!Y19*360</f>
        <v>3.5125514137632106</v>
      </c>
      <c r="K20" s="32">
        <f>AVERAGE(C20:H20)</f>
        <v>3.8512205555470431</v>
      </c>
    </row>
    <row r="21" spans="1:11" x14ac:dyDescent="0.2">
      <c r="B21" s="2" t="s">
        <v>162</v>
      </c>
      <c r="C21" s="33">
        <f>Model!T60/Model!T19*360</f>
        <v>24.424424396685144</v>
      </c>
      <c r="D21" s="33">
        <f>Model!U60/Model!U19*360</f>
        <v>23.063032336936978</v>
      </c>
      <c r="E21" s="33">
        <f>Model!V60/Model!V19*360</f>
        <v>54.031892211469646</v>
      </c>
      <c r="F21" s="33">
        <f>Model!W60/Model!W19*360</f>
        <v>33.111302162718843</v>
      </c>
      <c r="G21" s="33">
        <f>Model!X60/Model!X19*360</f>
        <v>27.351810317206024</v>
      </c>
      <c r="H21" s="33">
        <f>Model!Y60/Model!Y19*360</f>
        <v>25.643617315602118</v>
      </c>
      <c r="K21" s="32">
        <f>AVERAGE(C21:H21)</f>
        <v>31.271013123436457</v>
      </c>
    </row>
    <row r="22" spans="1:11" x14ac:dyDescent="0.2">
      <c r="B22" s="2" t="s">
        <v>163</v>
      </c>
      <c r="C22" s="27">
        <f>Model!T48/Model!T58</f>
        <v>0.31963030369406631</v>
      </c>
      <c r="D22" s="27">
        <f>Model!U48/Model!U58</f>
        <v>0.20180540047975973</v>
      </c>
      <c r="E22" s="27">
        <f>Model!V48/Model!V58</f>
        <v>0.14076261999423373</v>
      </c>
      <c r="F22" s="27">
        <f>Model!W48/Model!W58</f>
        <v>0.2094612651256306</v>
      </c>
      <c r="G22" s="27">
        <f>Model!X48/Model!X58</f>
        <v>0.20526297223887968</v>
      </c>
      <c r="H22" s="27">
        <f>Model!Y48/Model!Y58</f>
        <v>0.20052442263085354</v>
      </c>
      <c r="K22" s="31">
        <f>AVERAGE(C22:H22)</f>
        <v>0.21290783069390393</v>
      </c>
    </row>
    <row r="23" spans="1:11" x14ac:dyDescent="0.2">
      <c r="B23" s="2" t="s">
        <v>164</v>
      </c>
      <c r="C23" s="32">
        <f>Model!T20/Model!T48</f>
        <v>6.0779594731027267</v>
      </c>
      <c r="D23" s="32">
        <f>Model!U20/Model!U48</f>
        <v>6.1252368349330295</v>
      </c>
      <c r="E23" s="32">
        <f>Model!V20/Model!V48</f>
        <v>5.656343964745683</v>
      </c>
      <c r="F23" s="32">
        <f>Model!W20/Model!W48</f>
        <v>5.8229598127876647</v>
      </c>
      <c r="G23" s="32">
        <f>Model!X20/Model!X48</f>
        <v>6.2122357793435299</v>
      </c>
      <c r="H23" s="32">
        <f>Model!Y20/Model!Y48</f>
        <v>6.362279966471081</v>
      </c>
      <c r="K23" s="32">
        <f>AVERAGE(C23:H23)</f>
        <v>6.0428359718972864</v>
      </c>
    </row>
    <row r="24" spans="1:11" x14ac:dyDescent="0.2">
      <c r="B24" s="2" t="s">
        <v>165</v>
      </c>
      <c r="C24" s="32">
        <f t="shared" ref="C24:G24" si="3">360/C23</f>
        <v>59.230404808247961</v>
      </c>
      <c r="D24" s="32">
        <f t="shared" si="3"/>
        <v>58.77323762354343</v>
      </c>
      <c r="E24" s="32">
        <f t="shared" si="3"/>
        <v>63.645351528084817</v>
      </c>
      <c r="F24" s="32">
        <f t="shared" si="3"/>
        <v>61.824228841389647</v>
      </c>
      <c r="G24" s="32">
        <f t="shared" si="3"/>
        <v>57.950150764889763</v>
      </c>
      <c r="H24" s="32">
        <f>360/H23</f>
        <v>56.583489236120265</v>
      </c>
      <c r="K24" s="32">
        <f t="shared" ref="K24:K25" si="4">AVERAGE(C24:H24)</f>
        <v>59.667810467045975</v>
      </c>
    </row>
    <row r="25" spans="1:11" x14ac:dyDescent="0.2">
      <c r="B25" s="2" t="s">
        <v>166</v>
      </c>
      <c r="C25" s="32">
        <f t="shared" ref="C25:G25" si="5">C20+C24-C21</f>
        <v>38.004797313569739</v>
      </c>
      <c r="D25" s="32">
        <f t="shared" si="5"/>
        <v>39.043473738316784</v>
      </c>
      <c r="E25" s="32">
        <f t="shared" si="5"/>
        <v>14.779157421603195</v>
      </c>
      <c r="F25" s="32">
        <f t="shared" si="5"/>
        <v>32.551119881554428</v>
      </c>
      <c r="G25" s="32">
        <f t="shared" si="5"/>
        <v>34.657135705613889</v>
      </c>
      <c r="H25" s="32">
        <f>H20+H24-H21</f>
        <v>34.452423334281363</v>
      </c>
      <c r="K25" s="32">
        <f t="shared" si="4"/>
        <v>32.248017899156565</v>
      </c>
    </row>
    <row r="27" spans="1:11" x14ac:dyDescent="0.2">
      <c r="A27" s="23" t="s">
        <v>9</v>
      </c>
      <c r="B27" s="30" t="s">
        <v>167</v>
      </c>
    </row>
    <row r="28" spans="1:11" x14ac:dyDescent="0.2">
      <c r="B28" s="2" t="s">
        <v>1</v>
      </c>
      <c r="C28" s="34">
        <v>44.6</v>
      </c>
      <c r="D28" s="34">
        <v>61.06</v>
      </c>
      <c r="E28" s="34">
        <v>66.81</v>
      </c>
      <c r="F28" s="34">
        <v>75.5</v>
      </c>
      <c r="G28" s="34">
        <v>79</v>
      </c>
      <c r="H28" s="34">
        <v>97.6</v>
      </c>
    </row>
    <row r="29" spans="1:11" x14ac:dyDescent="0.2">
      <c r="B29" s="2" t="s">
        <v>27</v>
      </c>
      <c r="C29" s="34">
        <f>Model!T31</f>
        <v>1241.153</v>
      </c>
      <c r="D29" s="34">
        <f>Model!U31</f>
        <v>1208.163</v>
      </c>
      <c r="E29" s="34">
        <f>Model!V31</f>
        <v>1199.9269999999999</v>
      </c>
      <c r="F29" s="34">
        <f>Model!W31</f>
        <v>1200</v>
      </c>
      <c r="G29" s="34">
        <f>Model!X31</f>
        <v>1166</v>
      </c>
      <c r="H29" s="34">
        <f>Model!Y31</f>
        <v>1146</v>
      </c>
    </row>
    <row r="30" spans="1:11" x14ac:dyDescent="0.2">
      <c r="B30" s="2" t="s">
        <v>2</v>
      </c>
      <c r="C30" s="34">
        <f t="shared" ref="C30:G30" si="6">C29*C28</f>
        <v>55355.423800000004</v>
      </c>
      <c r="D30" s="34">
        <f t="shared" si="6"/>
        <v>73770.432780000003</v>
      </c>
      <c r="E30" s="34">
        <f t="shared" si="6"/>
        <v>80167.122869999992</v>
      </c>
      <c r="F30" s="34">
        <f t="shared" si="6"/>
        <v>90600</v>
      </c>
      <c r="G30" s="34">
        <f t="shared" si="6"/>
        <v>92114</v>
      </c>
      <c r="H30" s="34">
        <f>H29*H28</f>
        <v>111849.59999999999</v>
      </c>
    </row>
    <row r="31" spans="1:11" x14ac:dyDescent="0.2">
      <c r="B31" s="2" t="s">
        <v>168</v>
      </c>
      <c r="C31" s="34">
        <f>Model!T69+Model!T68+Model!T66+Model!T62+Model!T63-Model!T46</f>
        <v>557.62900000000036</v>
      </c>
      <c r="D31" s="34">
        <f>Model!U69+Model!U68+Model!U66+Model!U62+Model!U63-Model!U46</f>
        <v>9098.8379999999997</v>
      </c>
      <c r="E31" s="34">
        <f>Model!V69+Model!V68+Model!V66+Model!V62+Model!V63-Model!V46</f>
        <v>6097.7580000000016</v>
      </c>
      <c r="F31" s="34">
        <f>Model!W69+Model!W68+Model!W66+Model!W62+Model!W63-Model!W46</f>
        <v>7295.9469999999992</v>
      </c>
      <c r="G31" s="34">
        <f>Model!X69+Model!X68+Model!X66+Model!X62+Model!X63-Model!X46</f>
        <v>8186</v>
      </c>
      <c r="H31" s="34">
        <f>Model!Y69+Model!Y68+Model!Y66+Model!Y62+Model!Y63-Model!Y46</f>
        <v>7866</v>
      </c>
    </row>
    <row r="32" spans="1:11" x14ac:dyDescent="0.2">
      <c r="B32" s="2" t="s">
        <v>5</v>
      </c>
      <c r="C32" s="34">
        <f t="shared" ref="C32:F32" si="7">C30+C31</f>
        <v>55913.052800000005</v>
      </c>
      <c r="D32" s="34">
        <f t="shared" si="7"/>
        <v>82869.270780000006</v>
      </c>
      <c r="E32" s="34">
        <f t="shared" si="7"/>
        <v>86264.880869999994</v>
      </c>
      <c r="F32" s="34">
        <f t="shared" si="7"/>
        <v>97895.947</v>
      </c>
      <c r="G32" s="34">
        <f>G30+G31</f>
        <v>100300</v>
      </c>
      <c r="H32" s="34">
        <f>H30+H31</f>
        <v>119715.59999999999</v>
      </c>
    </row>
    <row r="33" spans="1:11" x14ac:dyDescent="0.2">
      <c r="B33" s="30" t="s">
        <v>169</v>
      </c>
    </row>
    <row r="34" spans="1:11" x14ac:dyDescent="0.2">
      <c r="B34" s="2" t="s">
        <v>170</v>
      </c>
      <c r="C34" s="34">
        <f>C30/Model!T28</f>
        <v>18.091142908313195</v>
      </c>
      <c r="D34" s="34">
        <f>D30/Model!U28</f>
        <v>22.544487521606147</v>
      </c>
      <c r="E34" s="34">
        <f>E30/Model!V28</f>
        <v>885.74626408714346</v>
      </c>
      <c r="F34" s="34">
        <f>F30/Model!W28</f>
        <v>27.596710325921414</v>
      </c>
      <c r="G34" s="34">
        <f>G30/Model!X28</f>
        <v>26.333333333333332</v>
      </c>
      <c r="H34" s="34">
        <f>H30/Model!Y28</f>
        <v>24.999910594546265</v>
      </c>
      <c r="K34" s="34">
        <f>AVERAGE(F34:H34,C34:D34)</f>
        <v>23.913116936744071</v>
      </c>
    </row>
    <row r="35" spans="1:11" x14ac:dyDescent="0.2">
      <c r="B35" s="2" t="s">
        <v>188</v>
      </c>
      <c r="D35" s="32">
        <f>D34/((Model!U28/Model!T28-1)*100)</f>
        <v>3.2476085304937077</v>
      </c>
      <c r="E35" s="32">
        <f>E34/((Model!V28/Model!U28-1)*100)</f>
        <v>-9.1094251807085289</v>
      </c>
      <c r="F35" s="32">
        <f>F34/((Model!W28/Model!V28-1)*100)</f>
        <v>7.8237410091505991E-3</v>
      </c>
      <c r="G35" s="32">
        <f>G34/((Model!X28/Model!W28-1)*100)</f>
        <v>4.0210387596899251</v>
      </c>
      <c r="H35" s="32">
        <f>H34/((Model!Y28/Model!X28-1)*100)</f>
        <v>0.8960008940545372</v>
      </c>
      <c r="K35" s="34">
        <f>AVERAGE(F35:H35,D35)</f>
        <v>2.0431179813118301</v>
      </c>
    </row>
    <row r="36" spans="1:11" x14ac:dyDescent="0.2">
      <c r="B36" s="2" t="s">
        <v>171</v>
      </c>
      <c r="C36" s="32">
        <f>C30/Model!T78</f>
        <v>10.96449669473118</v>
      </c>
      <c r="D36" s="32">
        <f>D30/Model!U78</f>
        <v>12.402118952720581</v>
      </c>
      <c r="E36" s="32">
        <f>E30/Model!V78</f>
        <v>13.744465304480748</v>
      </c>
      <c r="F36" s="32">
        <f>F30/Model!W78</f>
        <v>15.092473886355338</v>
      </c>
      <c r="G36" s="32">
        <f>G30/Model!X78</f>
        <v>14.474230043997485</v>
      </c>
      <c r="H36" s="32">
        <f>H30/Model!Y78</f>
        <v>15.317666392769103</v>
      </c>
      <c r="K36" s="34">
        <f>AVERAGE(F36:H36,C36:D36)</f>
        <v>13.650197194114739</v>
      </c>
    </row>
    <row r="37" spans="1:11" x14ac:dyDescent="0.2">
      <c r="B37" s="30" t="s">
        <v>172</v>
      </c>
    </row>
    <row r="38" spans="1:11" x14ac:dyDescent="0.2">
      <c r="B38" s="2" t="s">
        <v>173</v>
      </c>
      <c r="C38" s="32">
        <f>Ratios!C32/Model!T19</f>
        <v>1.4346636771047312</v>
      </c>
      <c r="D38" s="32">
        <f>Ratios!D32/Model!U19</f>
        <v>1.9864628515952731</v>
      </c>
      <c r="E38" s="32">
        <f>Ratios!E32/Model!V19</f>
        <v>2.6842854301895009</v>
      </c>
      <c r="F38" s="32">
        <f>Ratios!F32/Model!W19</f>
        <v>2.0163943769309989</v>
      </c>
      <c r="G38" s="32">
        <f>Ratios!G32/Model!X19</f>
        <v>2.0085709708426784</v>
      </c>
      <c r="H38" s="32">
        <f>Ratios!H32/Model!Y19</f>
        <v>2.2080823357987347</v>
      </c>
      <c r="K38" s="34">
        <f>AVERAGE(F38:H38,C38:D38)</f>
        <v>1.9308348424544832</v>
      </c>
    </row>
    <row r="39" spans="1:11" x14ac:dyDescent="0.2">
      <c r="B39" s="2" t="s">
        <v>174</v>
      </c>
      <c r="C39" s="32">
        <f>C32/(Model!T23+Model!T85)</f>
        <v>11.098598607977056</v>
      </c>
      <c r="D39" s="32">
        <f>D32/(Model!U23+Model!U85)</f>
        <v>15.684436798469205</v>
      </c>
      <c r="E39" s="32">
        <f>E32/(Model!V23+Model!V85)</f>
        <v>59.369124069355905</v>
      </c>
      <c r="F39" s="32">
        <f>F32/(Model!W23+Model!W85)</f>
        <v>17.409914102792104</v>
      </c>
      <c r="G39" s="32">
        <f>G32/(Model!X23+Model!X85)</f>
        <v>17.45258395684705</v>
      </c>
      <c r="H39" s="32">
        <f>H32/(Model!Y23+Model!Y85)</f>
        <v>17.706788936547845</v>
      </c>
      <c r="K39" s="34">
        <f t="shared" ref="K39:K40" si="8">AVERAGE(F39:H39,C39:D39)</f>
        <v>15.870464480526653</v>
      </c>
    </row>
    <row r="40" spans="1:11" x14ac:dyDescent="0.2">
      <c r="B40" s="2" t="s">
        <v>175</v>
      </c>
      <c r="C40" s="32">
        <f>C32/Model!T23</f>
        <v>13.255214448461697</v>
      </c>
      <c r="D40" s="32">
        <f>D32/Model!U23</f>
        <v>18.764700491278536</v>
      </c>
      <c r="E40" s="32">
        <f>E32/Model!V23</f>
        <v>148.15322303475349</v>
      </c>
      <c r="F40" s="32">
        <f>F32/Model!W23</f>
        <v>20.588001472134597</v>
      </c>
      <c r="G40" s="32">
        <f>G32/Model!X23</f>
        <v>20.637860082304528</v>
      </c>
      <c r="H40" s="32">
        <f>H32/Model!Y23</f>
        <v>20.651302397791959</v>
      </c>
      <c r="K40" s="34">
        <f t="shared" si="8"/>
        <v>18.779415778394259</v>
      </c>
    </row>
    <row r="42" spans="1:11" x14ac:dyDescent="0.2">
      <c r="A42" s="23" t="s">
        <v>9</v>
      </c>
      <c r="B42" s="30" t="s">
        <v>176</v>
      </c>
    </row>
    <row r="43" spans="1:11" x14ac:dyDescent="0.2">
      <c r="B43" s="2" t="s">
        <v>177</v>
      </c>
      <c r="J43" s="35">
        <v>4.2770000000000002E-2</v>
      </c>
    </row>
    <row r="44" spans="1:11" x14ac:dyDescent="0.2">
      <c r="B44" s="2" t="s">
        <v>178</v>
      </c>
      <c r="J44" s="31">
        <v>0</v>
      </c>
    </row>
    <row r="45" spans="1:11" x14ac:dyDescent="0.2">
      <c r="B45" s="2" t="s">
        <v>179</v>
      </c>
      <c r="J45" s="35">
        <v>9.1999999999999998E-3</v>
      </c>
    </row>
    <row r="46" spans="1:11" x14ac:dyDescent="0.2">
      <c r="B46" s="1" t="s">
        <v>180</v>
      </c>
      <c r="J46" s="36">
        <f>SUM(J43:J45)</f>
        <v>5.1970000000000002E-2</v>
      </c>
    </row>
    <row r="47" spans="1:11" x14ac:dyDescent="0.2">
      <c r="B47" s="2" t="s">
        <v>177</v>
      </c>
      <c r="J47" s="35">
        <v>4.2770000000000002E-2</v>
      </c>
    </row>
    <row r="48" spans="1:11" x14ac:dyDescent="0.2">
      <c r="B48" s="2" t="s">
        <v>181</v>
      </c>
      <c r="J48" s="35">
        <v>0.88</v>
      </c>
    </row>
    <row r="49" spans="2:10" x14ac:dyDescent="0.2">
      <c r="B49" s="2" t="s">
        <v>182</v>
      </c>
      <c r="J49" s="35">
        <v>4.6100000000000002E-2</v>
      </c>
    </row>
    <row r="50" spans="2:10" x14ac:dyDescent="0.2">
      <c r="B50" s="1" t="s">
        <v>183</v>
      </c>
      <c r="J50" s="35">
        <f>J47+J49*J48</f>
        <v>8.3337999999999995E-2</v>
      </c>
    </row>
    <row r="51" spans="2:10" x14ac:dyDescent="0.2">
      <c r="B51" s="2" t="s">
        <v>184</v>
      </c>
      <c r="J51" s="27">
        <f>Main!I5/(Main!I7+Main!I5)</f>
        <v>0.98212108676142762</v>
      </c>
    </row>
    <row r="52" spans="2:10" x14ac:dyDescent="0.2">
      <c r="B52" s="2" t="s">
        <v>185</v>
      </c>
      <c r="J52" s="31">
        <f>1-J51</f>
        <v>1.787891323857238E-2</v>
      </c>
    </row>
    <row r="53" spans="2:10" x14ac:dyDescent="0.2">
      <c r="B53" s="1" t="s">
        <v>176</v>
      </c>
      <c r="J53" s="35">
        <f>(J51*J50)+(J52*J49*(1-27%))</f>
        <v>8.2449686195741514E-2</v>
      </c>
    </row>
  </sheetData>
  <hyperlinks>
    <hyperlink ref="A1" location="Main!A1" display="Main" xr:uid="{C377B96E-0E67-4DA4-B18E-912187541FB1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C9EC-DA42-4194-8DF3-F5F4BCFC7060}">
  <dimension ref="A1:V81"/>
  <sheetViews>
    <sheetView showGridLines="0" workbookViewId="0">
      <selection activeCell="A2" sqref="A2"/>
    </sheetView>
  </sheetViews>
  <sheetFormatPr defaultRowHeight="12.75" x14ac:dyDescent="0.2"/>
  <cols>
    <col min="1" max="1" width="4.7109375" style="2" bestFit="1" customWidth="1"/>
    <col min="2" max="2" width="9.140625" style="2"/>
    <col min="3" max="20" width="9.28515625" style="2" bestFit="1" customWidth="1"/>
    <col min="21" max="21" width="9" style="2" bestFit="1" customWidth="1"/>
    <col min="22" max="22" width="10.140625" style="2" bestFit="1" customWidth="1"/>
    <col min="23" max="16384" width="9.140625" style="2"/>
  </cols>
  <sheetData>
    <row r="1" spans="1:22" x14ac:dyDescent="0.2">
      <c r="A1" s="5" t="s">
        <v>7</v>
      </c>
    </row>
    <row r="3" spans="1:22" x14ac:dyDescent="0.2">
      <c r="A3" s="37" t="s">
        <v>9</v>
      </c>
      <c r="B3" s="38" t="s">
        <v>197</v>
      </c>
      <c r="C3" s="38"/>
      <c r="D3" s="38"/>
      <c r="E3" s="38"/>
      <c r="F3" s="38"/>
      <c r="G3" s="38"/>
      <c r="H3" s="38"/>
      <c r="I3" s="38"/>
      <c r="J3" s="38"/>
      <c r="K3" s="38" t="s">
        <v>198</v>
      </c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</row>
    <row r="4" spans="1:22" x14ac:dyDescent="0.2">
      <c r="B4" s="2" t="s">
        <v>19</v>
      </c>
      <c r="D4" s="39">
        <v>2</v>
      </c>
      <c r="F4" s="2" t="s">
        <v>71</v>
      </c>
      <c r="H4" s="39">
        <v>2</v>
      </c>
      <c r="K4" s="1" t="s">
        <v>199</v>
      </c>
      <c r="O4" s="1" t="s">
        <v>200</v>
      </c>
      <c r="S4" s="1" t="s">
        <v>201</v>
      </c>
    </row>
    <row r="5" spans="1:22" x14ac:dyDescent="0.2">
      <c r="B5" s="2" t="s">
        <v>202</v>
      </c>
      <c r="D5" s="39">
        <v>2</v>
      </c>
      <c r="F5" s="2" t="s">
        <v>203</v>
      </c>
      <c r="H5" s="39">
        <v>2</v>
      </c>
      <c r="K5" s="2" t="s">
        <v>176</v>
      </c>
      <c r="M5" s="40">
        <f>Q5+1%</f>
        <v>9.2449686195741509E-2</v>
      </c>
      <c r="O5" s="2" t="s">
        <v>176</v>
      </c>
      <c r="Q5" s="40">
        <f>Ratios!J53</f>
        <v>8.2449686195741514E-2</v>
      </c>
      <c r="S5" s="2" t="s">
        <v>176</v>
      </c>
      <c r="U5" s="40">
        <f>Q5-1%</f>
        <v>7.2449686195741519E-2</v>
      </c>
    </row>
    <row r="6" spans="1:22" x14ac:dyDescent="0.2">
      <c r="B6" s="2" t="s">
        <v>204</v>
      </c>
      <c r="D6" s="39">
        <v>2</v>
      </c>
      <c r="F6" s="2" t="s">
        <v>205</v>
      </c>
      <c r="H6" s="39">
        <v>2</v>
      </c>
      <c r="K6" s="2" t="s">
        <v>206</v>
      </c>
      <c r="M6" s="40">
        <f>Q6-0.5%</f>
        <v>0.02</v>
      </c>
      <c r="O6" s="2" t="s">
        <v>206</v>
      </c>
      <c r="Q6" s="40">
        <v>2.5000000000000001E-2</v>
      </c>
      <c r="S6" s="2" t="s">
        <v>206</v>
      </c>
      <c r="U6" s="41">
        <f>Q6+0.5%</f>
        <v>3.0000000000000002E-2</v>
      </c>
    </row>
    <row r="7" spans="1:22" x14ac:dyDescent="0.2">
      <c r="B7" s="2" t="s">
        <v>176</v>
      </c>
      <c r="D7" s="39">
        <v>2</v>
      </c>
      <c r="F7" s="2" t="s">
        <v>206</v>
      </c>
      <c r="H7" s="39">
        <v>2</v>
      </c>
    </row>
    <row r="9" spans="1:22" x14ac:dyDescent="0.2">
      <c r="B9" s="2" t="s">
        <v>176</v>
      </c>
      <c r="D9" s="42">
        <f>CHOOSE(D7,M5,Q5,U5)</f>
        <v>8.2449686195741514E-2</v>
      </c>
      <c r="F9" s="2" t="s">
        <v>207</v>
      </c>
      <c r="H9" s="39">
        <f>Main!I3</f>
        <v>141.19</v>
      </c>
    </row>
    <row r="10" spans="1:22" x14ac:dyDescent="0.2">
      <c r="B10" s="2" t="s">
        <v>206</v>
      </c>
      <c r="D10" s="42">
        <f>CHOOSE(H7,M6,Q6,U6)</f>
        <v>2.5000000000000001E-2</v>
      </c>
      <c r="F10" s="2" t="s">
        <v>208</v>
      </c>
      <c r="H10" s="43">
        <f ca="1">V67</f>
        <v>95.964498002028392</v>
      </c>
      <c r="K10" s="2" t="s">
        <v>208</v>
      </c>
      <c r="M10" s="39">
        <v>42.6</v>
      </c>
      <c r="O10" s="2" t="s">
        <v>208</v>
      </c>
      <c r="Q10" s="39">
        <v>91.8</v>
      </c>
      <c r="S10" s="2" t="s">
        <v>208</v>
      </c>
      <c r="U10" s="39">
        <v>194.18</v>
      </c>
    </row>
    <row r="11" spans="1:22" x14ac:dyDescent="0.2">
      <c r="F11" s="2" t="s">
        <v>209</v>
      </c>
      <c r="H11" s="44">
        <f ca="1">H10/H9-1</f>
        <v>-0.32031660881062118</v>
      </c>
      <c r="K11" s="2" t="s">
        <v>209</v>
      </c>
      <c r="M11" s="44">
        <f>M10/H9-1</f>
        <v>-0.69827891493731853</v>
      </c>
      <c r="O11" s="2" t="s">
        <v>209</v>
      </c>
      <c r="Q11" s="44">
        <f>Q10/H9-1</f>
        <v>-0.34981230965365817</v>
      </c>
      <c r="S11" s="2" t="s">
        <v>209</v>
      </c>
      <c r="U11" s="44">
        <f>U10/H9-1</f>
        <v>0.37530986613782846</v>
      </c>
    </row>
    <row r="15" spans="1:22" ht="8.1" customHeight="1" x14ac:dyDescent="0.2">
      <c r="G15" s="45" t="s">
        <v>210</v>
      </c>
      <c r="H15" s="45" t="s">
        <v>210</v>
      </c>
      <c r="I15" s="45" t="s">
        <v>210</v>
      </c>
      <c r="J15" s="45" t="s">
        <v>210</v>
      </c>
      <c r="K15" s="45" t="s">
        <v>210</v>
      </c>
      <c r="L15" s="45" t="s">
        <v>210</v>
      </c>
      <c r="M15" s="45" t="s">
        <v>211</v>
      </c>
      <c r="N15" s="45" t="s">
        <v>211</v>
      </c>
      <c r="O15" s="45" t="s">
        <v>211</v>
      </c>
      <c r="P15" s="45" t="s">
        <v>211</v>
      </c>
      <c r="Q15" s="45" t="s">
        <v>211</v>
      </c>
      <c r="R15" s="45" t="s">
        <v>211</v>
      </c>
      <c r="S15" s="45" t="s">
        <v>211</v>
      </c>
      <c r="T15" s="45" t="s">
        <v>211</v>
      </c>
      <c r="U15" s="45" t="s">
        <v>211</v>
      </c>
      <c r="V15" s="45" t="s">
        <v>211</v>
      </c>
    </row>
    <row r="16" spans="1:22" x14ac:dyDescent="0.2">
      <c r="A16" s="37" t="s">
        <v>9</v>
      </c>
      <c r="B16" s="38" t="s">
        <v>212</v>
      </c>
      <c r="C16" s="38"/>
      <c r="D16" s="38"/>
      <c r="E16" s="38"/>
      <c r="F16" s="38"/>
      <c r="G16" s="38" t="s">
        <v>13</v>
      </c>
      <c r="H16" s="38" t="s">
        <v>14</v>
      </c>
      <c r="I16" s="38" t="s">
        <v>15</v>
      </c>
      <c r="J16" s="38" t="s">
        <v>16</v>
      </c>
      <c r="K16" s="38" t="s">
        <v>17</v>
      </c>
      <c r="L16" s="38" t="s">
        <v>18</v>
      </c>
      <c r="M16" s="38" t="s">
        <v>101</v>
      </c>
      <c r="N16" s="38" t="s">
        <v>189</v>
      </c>
      <c r="O16" s="38" t="s">
        <v>190</v>
      </c>
      <c r="P16" s="38" t="s">
        <v>192</v>
      </c>
      <c r="Q16" s="38" t="s">
        <v>191</v>
      </c>
      <c r="R16" s="38" t="s">
        <v>193</v>
      </c>
      <c r="S16" s="38" t="s">
        <v>194</v>
      </c>
      <c r="T16" s="38" t="s">
        <v>195</v>
      </c>
      <c r="U16" s="38" t="s">
        <v>196</v>
      </c>
      <c r="V16" s="38" t="s">
        <v>196</v>
      </c>
    </row>
    <row r="17" spans="1:22" x14ac:dyDescent="0.2">
      <c r="A17" s="37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</row>
    <row r="18" spans="1:22" x14ac:dyDescent="0.2">
      <c r="B18" s="2" t="s">
        <v>213</v>
      </c>
      <c r="G18" s="47">
        <f>Model!T19</f>
        <v>38972.934000000001</v>
      </c>
      <c r="H18" s="47">
        <f>Model!U19</f>
        <v>41717</v>
      </c>
      <c r="I18" s="47">
        <f>Model!V19</f>
        <v>32137</v>
      </c>
      <c r="J18" s="47">
        <f>Model!W19</f>
        <v>48550</v>
      </c>
      <c r="K18" s="47">
        <f>Model!X19</f>
        <v>49936</v>
      </c>
      <c r="L18" s="47">
        <f>Model!Y19</f>
        <v>54217</v>
      </c>
      <c r="M18" s="47">
        <f ca="1">L18*(1+M19)</f>
        <v>56360.000000000007</v>
      </c>
      <c r="N18" s="47">
        <f ca="1">M18*(1+N19)</f>
        <v>60372</v>
      </c>
      <c r="O18" s="47">
        <f t="shared" ref="O18:R18" ca="1" si="0">N18*(1+O19)</f>
        <v>67561.726326782067</v>
      </c>
      <c r="P18" s="47">
        <f t="shared" ca="1" si="0"/>
        <v>72689.688502004035</v>
      </c>
      <c r="Q18" s="47">
        <f t="shared" ca="1" si="0"/>
        <v>78217.754645778827</v>
      </c>
      <c r="R18" s="47">
        <f t="shared" ca="1" si="0"/>
        <v>84100.99530780605</v>
      </c>
      <c r="S18" s="47">
        <f t="shared" ref="S18" ca="1" si="1">R18*(1+S19)</f>
        <v>88764.145562906357</v>
      </c>
      <c r="T18" s="47">
        <f t="shared" ref="T18" ca="1" si="2">S18*(1+T19)</f>
        <v>93121.739014807288</v>
      </c>
      <c r="U18" s="47">
        <f t="shared" ref="U18:V18" ca="1" si="3">T18*(1+U19)</f>
        <v>96791.931816297627</v>
      </c>
      <c r="V18" s="47">
        <f t="shared" ca="1" si="3"/>
        <v>100561.60632917778</v>
      </c>
    </row>
    <row r="19" spans="1:22" x14ac:dyDescent="0.2">
      <c r="B19" s="2" t="s">
        <v>214</v>
      </c>
      <c r="H19" s="27">
        <f>H18/G18-1</f>
        <v>7.0409530881098137E-2</v>
      </c>
      <c r="I19" s="27">
        <f t="shared" ref="I19:L19" si="4">I18/H18-1</f>
        <v>-0.22964259174916701</v>
      </c>
      <c r="J19" s="27">
        <f t="shared" si="4"/>
        <v>0.51071973115100966</v>
      </c>
      <c r="K19" s="27">
        <f t="shared" si="4"/>
        <v>2.854788877445924E-2</v>
      </c>
      <c r="L19" s="27">
        <f t="shared" si="4"/>
        <v>8.5729734059596385E-2</v>
      </c>
      <c r="M19" s="27" cm="1">
        <f t="array" aca="1" ref="M19" ca="1">OFFSET(M19,$D$4,,)</f>
        <v>3.9526347824483166E-2</v>
      </c>
      <c r="N19" s="27" cm="1">
        <f t="array" aca="1" ref="N19" ca="1">OFFSET(N19,$D$4,,)</f>
        <v>7.1185237757274589E-2</v>
      </c>
      <c r="O19" s="27" cm="1">
        <f t="array" aca="1" ref="O19" ca="1">OFFSET(O19,$D$4,,)</f>
        <v>0.11909041156135403</v>
      </c>
      <c r="P19" s="27" cm="1">
        <f t="array" aca="1" ref="P19" ca="1">OFFSET(P19,$D$4,,)</f>
        <v>7.5900401810621076E-2</v>
      </c>
      <c r="Q19" s="27" cm="1">
        <f t="array" aca="1" ref="Q19" ca="1">OFFSET(Q19,$D$4,,)</f>
        <v>7.6050210940474594E-2</v>
      </c>
      <c r="R19" s="27" cm="1">
        <f t="array" aca="1" ref="R19" ca="1">OFFSET(R19,$D$4,,)</f>
        <v>7.5216179353017498E-2</v>
      </c>
      <c r="S19" s="27" cm="1">
        <f t="array" aca="1" ref="S19" ca="1">OFFSET(S19,$D$4,,)</f>
        <v>5.544702815981406E-2</v>
      </c>
      <c r="T19" s="27" cm="1">
        <f t="array" aca="1" ref="T19" ca="1">OFFSET(T19,$D$4,,)</f>
        <v>4.9091819948998916E-2</v>
      </c>
      <c r="U19" s="27" cm="1">
        <f t="array" aca="1" ref="U19" ca="1">OFFSET(U19,$D$4,,)</f>
        <v>3.9412846455828543E-2</v>
      </c>
      <c r="V19" s="27" cm="1">
        <f t="array" aca="1" ref="V19" ca="1">OFFSET(V19,$D$4,,)</f>
        <v>3.8946164645568437E-2</v>
      </c>
    </row>
    <row r="20" spans="1:22" x14ac:dyDescent="0.2">
      <c r="B20" s="48" t="s">
        <v>215</v>
      </c>
      <c r="H20" s="27"/>
      <c r="I20" s="27"/>
      <c r="J20" s="27"/>
      <c r="K20" s="27"/>
      <c r="L20" s="27"/>
      <c r="M20" s="49">
        <f>M21-1%</f>
        <v>2.9526347824483164E-2</v>
      </c>
      <c r="N20" s="49">
        <f t="shared" ref="N20:V20" si="5">N21-1%</f>
        <v>6.1185237757274587E-2</v>
      </c>
      <c r="O20" s="49">
        <f t="shared" si="5"/>
        <v>0.10909041156135403</v>
      </c>
      <c r="P20" s="49">
        <f t="shared" si="5"/>
        <v>6.5900401810621081E-2</v>
      </c>
      <c r="Q20" s="49">
        <f t="shared" si="5"/>
        <v>6.6050210940474599E-2</v>
      </c>
      <c r="R20" s="49">
        <f t="shared" si="5"/>
        <v>6.5216179353017503E-2</v>
      </c>
      <c r="S20" s="49">
        <f t="shared" si="5"/>
        <v>4.5447028159814058E-2</v>
      </c>
      <c r="T20" s="49">
        <f t="shared" si="5"/>
        <v>3.9091819948998914E-2</v>
      </c>
      <c r="U20" s="49">
        <f t="shared" si="5"/>
        <v>2.9412846455828541E-2</v>
      </c>
      <c r="V20" s="49">
        <f t="shared" si="5"/>
        <v>2.8946164645568435E-2</v>
      </c>
    </row>
    <row r="21" spans="1:22" x14ac:dyDescent="0.2">
      <c r="B21" s="48" t="s">
        <v>200</v>
      </c>
      <c r="H21" s="27"/>
      <c r="I21" s="27"/>
      <c r="J21" s="27"/>
      <c r="K21" s="27"/>
      <c r="L21" s="27"/>
      <c r="M21" s="49">
        <f>Model!Z38</f>
        <v>3.9526347824483166E-2</v>
      </c>
      <c r="N21" s="49">
        <f>Model!AA38</f>
        <v>7.1185237757274589E-2</v>
      </c>
      <c r="O21" s="49">
        <f>Model!AB38</f>
        <v>0.11909041156135403</v>
      </c>
      <c r="P21" s="49">
        <f>Model!AC38</f>
        <v>7.5900401810621076E-2</v>
      </c>
      <c r="Q21" s="49">
        <f>Model!AD38</f>
        <v>7.6050210940474594E-2</v>
      </c>
      <c r="R21" s="49">
        <f>Model!AE38</f>
        <v>7.5216179353017498E-2</v>
      </c>
      <c r="S21" s="49">
        <f>Model!AF38</f>
        <v>5.544702815981406E-2</v>
      </c>
      <c r="T21" s="49">
        <f>Model!AG38</f>
        <v>4.9091819948998916E-2</v>
      </c>
      <c r="U21" s="49">
        <f>Model!AH38</f>
        <v>3.9412846455828543E-2</v>
      </c>
      <c r="V21" s="49">
        <f>Model!AI38</f>
        <v>3.8946164645568437E-2</v>
      </c>
    </row>
    <row r="22" spans="1:22" x14ac:dyDescent="0.2">
      <c r="B22" s="48" t="s">
        <v>216</v>
      </c>
      <c r="H22" s="27"/>
      <c r="I22" s="27"/>
      <c r="J22" s="27"/>
      <c r="K22" s="27"/>
      <c r="L22" s="27"/>
      <c r="M22" s="49">
        <f>M21+2%</f>
        <v>5.952634782448317E-2</v>
      </c>
      <c r="N22" s="49">
        <f t="shared" ref="N22:V22" si="6">N21+2%</f>
        <v>9.1185237757274593E-2</v>
      </c>
      <c r="O22" s="49">
        <f t="shared" si="6"/>
        <v>0.13909041156135402</v>
      </c>
      <c r="P22" s="49">
        <f t="shared" si="6"/>
        <v>9.590040181062108E-2</v>
      </c>
      <c r="Q22" s="49">
        <f t="shared" si="6"/>
        <v>9.6050210940474598E-2</v>
      </c>
      <c r="R22" s="49">
        <f t="shared" si="6"/>
        <v>9.5216179353017502E-2</v>
      </c>
      <c r="S22" s="49">
        <f t="shared" si="6"/>
        <v>7.5447028159814064E-2</v>
      </c>
      <c r="T22" s="49">
        <f t="shared" si="6"/>
        <v>6.909181994899892E-2</v>
      </c>
      <c r="U22" s="49">
        <f t="shared" si="6"/>
        <v>5.9412846455828547E-2</v>
      </c>
      <c r="V22" s="49">
        <f t="shared" si="6"/>
        <v>5.8946164645568441E-2</v>
      </c>
    </row>
    <row r="24" spans="1:22" x14ac:dyDescent="0.2">
      <c r="B24" s="2" t="s">
        <v>202</v>
      </c>
      <c r="G24" s="47">
        <f>Model!T23</f>
        <v>4218.1930000000011</v>
      </c>
      <c r="H24" s="47">
        <f>Model!U23</f>
        <v>4416.2320000000009</v>
      </c>
      <c r="I24" s="47">
        <f>Model!V23</f>
        <v>582.26800000000094</v>
      </c>
      <c r="J24" s="47">
        <f>Model!W23</f>
        <v>4755</v>
      </c>
      <c r="K24" s="47">
        <f>Model!X23</f>
        <v>4860</v>
      </c>
      <c r="L24" s="47">
        <f>Model!Y23</f>
        <v>5797</v>
      </c>
      <c r="M24" s="47">
        <f ca="1">M25*M18</f>
        <v>6199.6000000000013</v>
      </c>
      <c r="N24" s="47">
        <f ca="1">N25*N18</f>
        <v>6791.85</v>
      </c>
      <c r="O24" s="47">
        <f t="shared" ref="O24:V24" ca="1" si="7">O25*O18</f>
        <v>7769.5985275799385</v>
      </c>
      <c r="P24" s="47">
        <f t="shared" ca="1" si="7"/>
        <v>8541.0383989854745</v>
      </c>
      <c r="Q24" s="47">
        <f t="shared" ca="1" si="7"/>
        <v>9386.1305574934595</v>
      </c>
      <c r="R24" s="47">
        <f t="shared" ca="1" si="7"/>
        <v>10302.37192520624</v>
      </c>
      <c r="S24" s="47">
        <f t="shared" ca="1" si="7"/>
        <v>11095.518195363295</v>
      </c>
      <c r="T24" s="47">
        <f t="shared" ca="1" si="7"/>
        <v>11873.021724387929</v>
      </c>
      <c r="U24" s="47">
        <f t="shared" ca="1" si="7"/>
        <v>12582.951136118692</v>
      </c>
      <c r="V24" s="47">
        <f t="shared" ca="1" si="7"/>
        <v>13073.008822793112</v>
      </c>
    </row>
    <row r="25" spans="1:22" x14ac:dyDescent="0.2">
      <c r="B25" s="2" t="s">
        <v>217</v>
      </c>
      <c r="G25" s="27">
        <f>G24/G18</f>
        <v>0.10823390920478301</v>
      </c>
      <c r="H25" s="27">
        <f t="shared" ref="H25:L25" si="8">H24/H18</f>
        <v>0.10586168708200495</v>
      </c>
      <c r="I25" s="27">
        <f t="shared" si="8"/>
        <v>1.8118306002427139E-2</v>
      </c>
      <c r="J25" s="27">
        <f t="shared" si="8"/>
        <v>9.794026776519052E-2</v>
      </c>
      <c r="K25" s="27">
        <f t="shared" si="8"/>
        <v>9.7324575456584433E-2</v>
      </c>
      <c r="L25" s="27">
        <f t="shared" si="8"/>
        <v>0.10692218307910803</v>
      </c>
      <c r="M25" s="27" cm="1">
        <f t="array" aca="1" ref="M25" ca="1">OFFSET(M25,$D$5,,)</f>
        <v>0.11</v>
      </c>
      <c r="N25" s="27" cm="1">
        <f t="array" aca="1" ref="N25" ca="1">OFFSET(N25,$D$5,,)</f>
        <v>0.1125</v>
      </c>
      <c r="O25" s="27" cm="1">
        <f t="array" aca="1" ref="O25" ca="1">OFFSET(O25,$D$5,,)</f>
        <v>0.115</v>
      </c>
      <c r="P25" s="27" cm="1">
        <f t="array" aca="1" ref="P25" ca="1">OFFSET(P25,$D$5,,)</f>
        <v>0.11749999999999999</v>
      </c>
      <c r="Q25" s="27" cm="1">
        <f t="array" aca="1" ref="Q25" ca="1">OFFSET(Q25,$D$5,,)</f>
        <v>0.12</v>
      </c>
      <c r="R25" s="27" cm="1">
        <f t="array" aca="1" ref="R25" ca="1">OFFSET(R25,$D$5,,)</f>
        <v>0.1225</v>
      </c>
      <c r="S25" s="27" cm="1">
        <f t="array" aca="1" ref="S25" ca="1">OFFSET(S25,$D$5,,)</f>
        <v>0.125</v>
      </c>
      <c r="T25" s="27" cm="1">
        <f t="array" aca="1" ref="T25" ca="1">OFFSET(T25,$D$5,,)</f>
        <v>0.1275</v>
      </c>
      <c r="U25" s="27" cm="1">
        <f t="array" aca="1" ref="U25" ca="1">OFFSET(U25,$D$5,,)</f>
        <v>0.13</v>
      </c>
      <c r="V25" s="27" cm="1">
        <f t="array" aca="1" ref="V25" ca="1">OFFSET(V25,$D$5,,)</f>
        <v>0.13</v>
      </c>
    </row>
    <row r="26" spans="1:22" x14ac:dyDescent="0.2">
      <c r="B26" s="48" t="s">
        <v>215</v>
      </c>
      <c r="M26" s="49">
        <f>M27-1%</f>
        <v>0.1</v>
      </c>
      <c r="N26" s="49">
        <f t="shared" ref="N26:V26" si="9">N27-1%</f>
        <v>0.10250000000000001</v>
      </c>
      <c r="O26" s="49">
        <f t="shared" si="9"/>
        <v>0.10500000000000001</v>
      </c>
      <c r="P26" s="49">
        <f t="shared" si="9"/>
        <v>0.1075</v>
      </c>
      <c r="Q26" s="49">
        <f t="shared" si="9"/>
        <v>0.11</v>
      </c>
      <c r="R26" s="49">
        <f t="shared" si="9"/>
        <v>0.1125</v>
      </c>
      <c r="S26" s="49">
        <f t="shared" si="9"/>
        <v>0.115</v>
      </c>
      <c r="T26" s="49">
        <f t="shared" si="9"/>
        <v>0.11750000000000001</v>
      </c>
      <c r="U26" s="49">
        <f t="shared" si="9"/>
        <v>0.12000000000000001</v>
      </c>
      <c r="V26" s="49">
        <f t="shared" si="9"/>
        <v>0.12000000000000001</v>
      </c>
    </row>
    <row r="27" spans="1:22" x14ac:dyDescent="0.2">
      <c r="B27" s="48" t="s">
        <v>200</v>
      </c>
      <c r="M27" s="49">
        <v>0.11</v>
      </c>
      <c r="N27" s="49">
        <v>0.1125</v>
      </c>
      <c r="O27" s="49">
        <v>0.115</v>
      </c>
      <c r="P27" s="49">
        <v>0.11749999999999999</v>
      </c>
      <c r="Q27" s="49">
        <v>0.12</v>
      </c>
      <c r="R27" s="49">
        <v>0.1225</v>
      </c>
      <c r="S27" s="49">
        <v>0.125</v>
      </c>
      <c r="T27" s="49">
        <v>0.1275</v>
      </c>
      <c r="U27" s="49">
        <v>0.13</v>
      </c>
      <c r="V27" s="49">
        <v>0.13</v>
      </c>
    </row>
    <row r="28" spans="1:22" x14ac:dyDescent="0.2">
      <c r="B28" s="48" t="s">
        <v>216</v>
      </c>
      <c r="M28" s="49">
        <f>M27+1%</f>
        <v>0.12</v>
      </c>
      <c r="N28" s="49">
        <f t="shared" ref="N28:U28" si="10">N27+1%</f>
        <v>0.1225</v>
      </c>
      <c r="O28" s="49">
        <f t="shared" si="10"/>
        <v>0.125</v>
      </c>
      <c r="P28" s="49">
        <f t="shared" si="10"/>
        <v>0.1275</v>
      </c>
      <c r="Q28" s="49">
        <f t="shared" si="10"/>
        <v>0.13</v>
      </c>
      <c r="R28" s="49">
        <f t="shared" si="10"/>
        <v>0.13250000000000001</v>
      </c>
      <c r="S28" s="49">
        <f t="shared" si="10"/>
        <v>0.13500000000000001</v>
      </c>
      <c r="T28" s="49">
        <f t="shared" si="10"/>
        <v>0.13750000000000001</v>
      </c>
      <c r="U28" s="49">
        <f t="shared" si="10"/>
        <v>0.14000000000000001</v>
      </c>
      <c r="V28" s="49">
        <f t="shared" ref="V28" si="11">V27+1%</f>
        <v>0.14000000000000001</v>
      </c>
    </row>
    <row r="30" spans="1:22" x14ac:dyDescent="0.2">
      <c r="B30" s="2" t="s">
        <v>204</v>
      </c>
      <c r="G30" s="47">
        <f>Model!T27</f>
        <v>1113.413</v>
      </c>
      <c r="H30" s="47">
        <f>Model!U27</f>
        <v>1133.99</v>
      </c>
      <c r="I30" s="47">
        <f>Model!V27</f>
        <v>-1.2070000000000001</v>
      </c>
      <c r="J30" s="47">
        <f>Model!W27</f>
        <v>1115</v>
      </c>
      <c r="K30" s="47">
        <f>Model!X27</f>
        <v>1138</v>
      </c>
      <c r="L30" s="47">
        <f>Model!Y27</f>
        <v>1493</v>
      </c>
      <c r="M30" s="47">
        <f ca="1">M31*M24</f>
        <v>1611.8960000000004</v>
      </c>
      <c r="N30" s="47">
        <f ca="1">N31*N24</f>
        <v>1765.8810000000001</v>
      </c>
      <c r="O30" s="47">
        <f t="shared" ref="O30:U30" ca="1" si="12">O31*O24</f>
        <v>2020.0956171707842</v>
      </c>
      <c r="P30" s="47">
        <f t="shared" ca="1" si="12"/>
        <v>2220.6699837362235</v>
      </c>
      <c r="Q30" s="47">
        <f t="shared" ca="1" si="12"/>
        <v>2440.3939449482996</v>
      </c>
      <c r="R30" s="47">
        <f t="shared" ca="1" si="12"/>
        <v>2678.6167005536226</v>
      </c>
      <c r="S30" s="47">
        <f t="shared" ca="1" si="12"/>
        <v>2884.8347307944568</v>
      </c>
      <c r="T30" s="47">
        <f t="shared" ca="1" si="12"/>
        <v>3086.9856483408616</v>
      </c>
      <c r="U30" s="47">
        <f t="shared" ca="1" si="12"/>
        <v>2516.5902272237386</v>
      </c>
      <c r="V30" s="47">
        <f t="shared" ref="V30" ca="1" si="13">V31*V24</f>
        <v>2614.6017645586226</v>
      </c>
    </row>
    <row r="31" spans="1:22" x14ac:dyDescent="0.2">
      <c r="B31" s="2" t="s">
        <v>218</v>
      </c>
      <c r="G31" s="27">
        <f t="shared" ref="G31:L31" si="14">G30/G24</f>
        <v>0.26395496839523458</v>
      </c>
      <c r="H31" s="27">
        <f t="shared" si="14"/>
        <v>0.25677772363408441</v>
      </c>
      <c r="I31" s="27">
        <f t="shared" si="14"/>
        <v>-2.0729286170629302E-3</v>
      </c>
      <c r="J31" s="27">
        <f t="shared" si="14"/>
        <v>0.23449001051524712</v>
      </c>
      <c r="K31" s="27">
        <f t="shared" si="14"/>
        <v>0.23415637860082306</v>
      </c>
      <c r="L31" s="27">
        <f t="shared" si="14"/>
        <v>0.25754700707262379</v>
      </c>
      <c r="M31" s="27" cm="1">
        <f t="array" aca="1" ref="M31" ca="1">OFFSET(M31,$D$6,,)</f>
        <v>0.26</v>
      </c>
      <c r="N31" s="27" cm="1">
        <f t="array" aca="1" ref="N31" ca="1">OFFSET(N31,$D$6,,)</f>
        <v>0.26</v>
      </c>
      <c r="O31" s="27" cm="1">
        <f t="array" aca="1" ref="O31" ca="1">OFFSET(O31,$D$6,,)</f>
        <v>0.26</v>
      </c>
      <c r="P31" s="27" cm="1">
        <f t="array" aca="1" ref="P31" ca="1">OFFSET(P31,$D$6,,)</f>
        <v>0.26</v>
      </c>
      <c r="Q31" s="27" cm="1">
        <f t="array" aca="1" ref="Q31" ca="1">OFFSET(Q31,$D$6,,)</f>
        <v>0.26</v>
      </c>
      <c r="R31" s="27" cm="1">
        <f t="array" aca="1" ref="R31" ca="1">OFFSET(R31,$D$6,,)</f>
        <v>0.26</v>
      </c>
      <c r="S31" s="27" cm="1">
        <f t="array" aca="1" ref="S31" ca="1">OFFSET(S31,$D$6,,)</f>
        <v>0.26</v>
      </c>
      <c r="T31" s="27" cm="1">
        <f t="array" aca="1" ref="T31" ca="1">OFFSET(T31,$D$6,,)</f>
        <v>0.26</v>
      </c>
      <c r="U31" s="27" cm="1">
        <f t="array" aca="1" ref="U31" ca="1">OFFSET(U31,$D$6,,)</f>
        <v>0.2</v>
      </c>
      <c r="V31" s="27" cm="1">
        <f t="array" aca="1" ref="V31" ca="1">OFFSET(V31,$D$6,,)</f>
        <v>0.2</v>
      </c>
    </row>
    <row r="32" spans="1:22" x14ac:dyDescent="0.2">
      <c r="B32" s="48" t="s">
        <v>215</v>
      </c>
      <c r="M32" s="49">
        <f>M33+2%</f>
        <v>0.28000000000000003</v>
      </c>
      <c r="N32" s="49">
        <f>N33+2%</f>
        <v>0.28000000000000003</v>
      </c>
      <c r="O32" s="49">
        <v>0.15</v>
      </c>
      <c r="P32" s="49">
        <v>0.17</v>
      </c>
      <c r="Q32" s="49">
        <v>0.19</v>
      </c>
      <c r="R32" s="49">
        <v>0.2</v>
      </c>
      <c r="S32" s="49">
        <v>0.2</v>
      </c>
      <c r="T32" s="49">
        <v>0.2</v>
      </c>
      <c r="U32" s="49">
        <v>0.2</v>
      </c>
      <c r="V32" s="49">
        <v>0.2</v>
      </c>
    </row>
    <row r="33" spans="2:22" x14ac:dyDescent="0.2">
      <c r="B33" s="48" t="s">
        <v>200</v>
      </c>
      <c r="M33" s="49">
        <v>0.26</v>
      </c>
      <c r="N33" s="49">
        <v>0.26</v>
      </c>
      <c r="O33" s="49">
        <v>0.26</v>
      </c>
      <c r="P33" s="49">
        <v>0.26</v>
      </c>
      <c r="Q33" s="49">
        <v>0.26</v>
      </c>
      <c r="R33" s="49">
        <v>0.26</v>
      </c>
      <c r="S33" s="49">
        <v>0.26</v>
      </c>
      <c r="T33" s="49">
        <v>0.26</v>
      </c>
      <c r="U33" s="49">
        <v>0.2</v>
      </c>
      <c r="V33" s="49">
        <v>0.2</v>
      </c>
    </row>
    <row r="34" spans="2:22" x14ac:dyDescent="0.2">
      <c r="B34" s="48" t="s">
        <v>216</v>
      </c>
      <c r="M34" s="49">
        <f>M33-2%</f>
        <v>0.24000000000000002</v>
      </c>
      <c r="N34" s="49">
        <f t="shared" ref="N34:T34" si="15">N33-2%</f>
        <v>0.24000000000000002</v>
      </c>
      <c r="O34" s="49">
        <f t="shared" si="15"/>
        <v>0.24000000000000002</v>
      </c>
      <c r="P34" s="49">
        <f t="shared" si="15"/>
        <v>0.24000000000000002</v>
      </c>
      <c r="Q34" s="49">
        <f t="shared" si="15"/>
        <v>0.24000000000000002</v>
      </c>
      <c r="R34" s="49">
        <f t="shared" si="15"/>
        <v>0.24000000000000002</v>
      </c>
      <c r="S34" s="49">
        <f t="shared" si="15"/>
        <v>0.24000000000000002</v>
      </c>
      <c r="T34" s="49">
        <f t="shared" si="15"/>
        <v>0.24000000000000002</v>
      </c>
      <c r="U34" s="49">
        <v>0.2</v>
      </c>
      <c r="V34" s="49">
        <v>0.2</v>
      </c>
    </row>
    <row r="36" spans="2:22" x14ac:dyDescent="0.2">
      <c r="B36" s="50" t="s">
        <v>219</v>
      </c>
      <c r="C36" s="51"/>
      <c r="D36" s="51"/>
      <c r="E36" s="51"/>
      <c r="F36" s="51"/>
      <c r="G36" s="52">
        <f t="shared" ref="G36:P36" si="16">G24-G30</f>
        <v>3104.7800000000011</v>
      </c>
      <c r="H36" s="52">
        <f t="shared" si="16"/>
        <v>3282.2420000000011</v>
      </c>
      <c r="I36" s="52">
        <f t="shared" si="16"/>
        <v>583.47500000000093</v>
      </c>
      <c r="J36" s="52">
        <f t="shared" si="16"/>
        <v>3640</v>
      </c>
      <c r="K36" s="52">
        <f t="shared" si="16"/>
        <v>3722</v>
      </c>
      <c r="L36" s="52">
        <f t="shared" si="16"/>
        <v>4304</v>
      </c>
      <c r="M36" s="52">
        <f t="shared" ca="1" si="16"/>
        <v>4587.7040000000006</v>
      </c>
      <c r="N36" s="52">
        <f t="shared" ca="1" si="16"/>
        <v>5025.9690000000001</v>
      </c>
      <c r="O36" s="52">
        <f t="shared" ca="1" si="16"/>
        <v>5749.5029104091545</v>
      </c>
      <c r="P36" s="52">
        <f t="shared" ca="1" si="16"/>
        <v>6320.3684152492515</v>
      </c>
      <c r="Q36" s="52">
        <f ca="1">Q24-Q30</f>
        <v>6945.7366125451599</v>
      </c>
      <c r="R36" s="52">
        <f ca="1">R24-R30</f>
        <v>7623.7552246526175</v>
      </c>
      <c r="S36" s="52">
        <f t="shared" ref="S36:V36" ca="1" si="17">S24-S30</f>
        <v>8210.6834645688377</v>
      </c>
      <c r="T36" s="52">
        <f t="shared" ca="1" si="17"/>
        <v>8786.0360760470667</v>
      </c>
      <c r="U36" s="52">
        <f t="shared" ca="1" si="17"/>
        <v>10066.360908894954</v>
      </c>
      <c r="V36" s="53">
        <f t="shared" ca="1" si="17"/>
        <v>10458.40705823449</v>
      </c>
    </row>
    <row r="38" spans="2:22" x14ac:dyDescent="0.2">
      <c r="B38" s="2" t="s">
        <v>71</v>
      </c>
      <c r="G38" s="47">
        <f>Model!T85</f>
        <v>819.65499999999997</v>
      </c>
      <c r="H38" s="47">
        <f>Model!U85</f>
        <v>867.303</v>
      </c>
      <c r="I38" s="47">
        <f>Model!V85</f>
        <v>870.75800000000004</v>
      </c>
      <c r="J38" s="47">
        <f>Model!W85</f>
        <v>868</v>
      </c>
      <c r="K38" s="47">
        <f>Model!X85</f>
        <v>887</v>
      </c>
      <c r="L38" s="47">
        <f>Model!Y85</f>
        <v>964</v>
      </c>
      <c r="M38" s="47">
        <f ca="1">M39*M18</f>
        <v>1014.48</v>
      </c>
      <c r="N38" s="47">
        <f ca="1">N39*N18</f>
        <v>1064.96208</v>
      </c>
      <c r="O38" s="47">
        <f t="shared" ref="O38:U38" ca="1" si="18">O39*O18</f>
        <v>1167.953075356347</v>
      </c>
      <c r="P38" s="47">
        <f t="shared" ca="1" si="18"/>
        <v>1231.469159410407</v>
      </c>
      <c r="Q38" s="47">
        <f t="shared" ca="1" si="18"/>
        <v>1298.6201957752521</v>
      </c>
      <c r="R38" s="47">
        <f t="shared" ca="1" si="18"/>
        <v>1368.3714964254916</v>
      </c>
      <c r="S38" s="47">
        <f t="shared" ca="1" si="18"/>
        <v>1415.358756734465</v>
      </c>
      <c r="T38" s="47">
        <f t="shared" ca="1" si="18"/>
        <v>1455.144468103646</v>
      </c>
      <c r="U38" s="47">
        <f t="shared" ca="1" si="18"/>
        <v>1482.2459365241423</v>
      </c>
      <c r="V38" s="47">
        <f t="shared" ref="V38" ca="1" si="19">V39*V18</f>
        <v>1509.1742561969713</v>
      </c>
    </row>
    <row r="39" spans="2:22" x14ac:dyDescent="0.2">
      <c r="B39" s="2" t="s">
        <v>217</v>
      </c>
      <c r="G39" s="54">
        <f t="shared" ref="G39:K39" si="20">G38/G18</f>
        <v>2.1031390656910766E-2</v>
      </c>
      <c r="H39" s="54">
        <f t="shared" si="20"/>
        <v>2.0790157489752378E-2</v>
      </c>
      <c r="I39" s="54">
        <f t="shared" si="20"/>
        <v>2.7095186233935961E-2</v>
      </c>
      <c r="J39" s="54">
        <f t="shared" si="20"/>
        <v>1.7878475798146241E-2</v>
      </c>
      <c r="K39" s="54">
        <f t="shared" si="20"/>
        <v>1.7762736302467157E-2</v>
      </c>
      <c r="L39" s="54">
        <f>L38/L18</f>
        <v>1.7780400981242044E-2</v>
      </c>
      <c r="M39" s="55" cm="1">
        <f t="array" aca="1" ref="M39" ca="1">OFFSET(M39,$H$4,,)</f>
        <v>1.7999999999999999E-2</v>
      </c>
      <c r="N39" s="55" cm="1">
        <f t="array" aca="1" ref="N39" ca="1">OFFSET(N39,$H$4,,)</f>
        <v>1.7639999999999999E-2</v>
      </c>
      <c r="O39" s="55" cm="1">
        <f t="array" aca="1" ref="O39" ca="1">OFFSET(O39,$H$4,,)</f>
        <v>1.7287199999999999E-2</v>
      </c>
      <c r="P39" s="55" cm="1">
        <f t="array" aca="1" ref="P39" ca="1">OFFSET(P39,$H$4,,)</f>
        <v>1.6941455999999997E-2</v>
      </c>
      <c r="Q39" s="55" cm="1">
        <f t="array" aca="1" ref="Q39" ca="1">OFFSET(Q39,$H$4,,)</f>
        <v>1.6602626879999995E-2</v>
      </c>
      <c r="R39" s="55" cm="1">
        <f t="array" aca="1" ref="R39" ca="1">OFFSET(R39,$H$4,,)</f>
        <v>1.6270574342399997E-2</v>
      </c>
      <c r="S39" s="55" cm="1">
        <f t="array" aca="1" ref="S39" ca="1">OFFSET(S39,$H$4,,)</f>
        <v>1.5945162855551996E-2</v>
      </c>
      <c r="T39" s="55" cm="1">
        <f t="array" aca="1" ref="T39" ca="1">OFFSET(T39,$H$4,,)</f>
        <v>1.5626259598440956E-2</v>
      </c>
      <c r="U39" s="55" cm="1">
        <f t="array" aca="1" ref="U39" ca="1">OFFSET(U39,$H$4,,)</f>
        <v>1.5313734406472138E-2</v>
      </c>
      <c r="V39" s="55" cm="1">
        <f t="array" aca="1" ref="V39" ca="1">OFFSET(V39,$H$4,,)</f>
        <v>1.5007459718342695E-2</v>
      </c>
    </row>
    <row r="40" spans="2:22" x14ac:dyDescent="0.2">
      <c r="B40" s="48" t="s">
        <v>215</v>
      </c>
      <c r="M40" s="49">
        <f>M41-0.2%</f>
        <v>1.6E-2</v>
      </c>
      <c r="N40" s="49">
        <f t="shared" ref="N40:V40" si="21">N41-0.2%</f>
        <v>1.5640000000000001E-2</v>
      </c>
      <c r="O40" s="49">
        <f t="shared" si="21"/>
        <v>1.5287199999999999E-2</v>
      </c>
      <c r="P40" s="49">
        <f t="shared" si="21"/>
        <v>1.4941455999999997E-2</v>
      </c>
      <c r="Q40" s="49">
        <f t="shared" si="21"/>
        <v>1.4602626879999995E-2</v>
      </c>
      <c r="R40" s="49">
        <f t="shared" si="21"/>
        <v>1.4270574342399997E-2</v>
      </c>
      <c r="S40" s="49">
        <f t="shared" si="21"/>
        <v>1.3945162855551996E-2</v>
      </c>
      <c r="T40" s="49">
        <f t="shared" si="21"/>
        <v>1.3626259598440956E-2</v>
      </c>
      <c r="U40" s="49">
        <f t="shared" si="21"/>
        <v>1.3313734406472138E-2</v>
      </c>
      <c r="V40" s="49">
        <f t="shared" si="21"/>
        <v>1.3007459718342695E-2</v>
      </c>
    </row>
    <row r="41" spans="2:22" x14ac:dyDescent="0.2">
      <c r="B41" s="48" t="s">
        <v>200</v>
      </c>
      <c r="M41" s="49">
        <v>1.7999999999999999E-2</v>
      </c>
      <c r="N41" s="49">
        <f>M41*0.98</f>
        <v>1.7639999999999999E-2</v>
      </c>
      <c r="O41" s="49">
        <f t="shared" ref="O41:U41" si="22">N41*0.98</f>
        <v>1.7287199999999999E-2</v>
      </c>
      <c r="P41" s="49">
        <f t="shared" si="22"/>
        <v>1.6941455999999997E-2</v>
      </c>
      <c r="Q41" s="49">
        <f t="shared" si="22"/>
        <v>1.6602626879999995E-2</v>
      </c>
      <c r="R41" s="49">
        <f t="shared" si="22"/>
        <v>1.6270574342399997E-2</v>
      </c>
      <c r="S41" s="49">
        <f t="shared" si="22"/>
        <v>1.5945162855551996E-2</v>
      </c>
      <c r="T41" s="49">
        <f t="shared" si="22"/>
        <v>1.5626259598440956E-2</v>
      </c>
      <c r="U41" s="49">
        <f t="shared" si="22"/>
        <v>1.5313734406472138E-2</v>
      </c>
      <c r="V41" s="49">
        <f t="shared" ref="V41" si="23">U41*0.98</f>
        <v>1.5007459718342695E-2</v>
      </c>
    </row>
    <row r="42" spans="2:22" x14ac:dyDescent="0.2">
      <c r="B42" s="48" t="s">
        <v>216</v>
      </c>
      <c r="M42" s="49">
        <f>M41+0.2%</f>
        <v>1.9999999999999997E-2</v>
      </c>
      <c r="N42" s="49">
        <f t="shared" ref="N42:U42" si="24">N41+0.2%</f>
        <v>1.9639999999999998E-2</v>
      </c>
      <c r="O42" s="49">
        <f t="shared" si="24"/>
        <v>1.9287199999999997E-2</v>
      </c>
      <c r="P42" s="49">
        <f t="shared" si="24"/>
        <v>1.8941455999999995E-2</v>
      </c>
      <c r="Q42" s="49">
        <f t="shared" si="24"/>
        <v>1.8602626879999994E-2</v>
      </c>
      <c r="R42" s="49">
        <f t="shared" si="24"/>
        <v>1.8270574342399995E-2</v>
      </c>
      <c r="S42" s="49">
        <f t="shared" si="24"/>
        <v>1.7945162855551998E-2</v>
      </c>
      <c r="T42" s="49">
        <f t="shared" si="24"/>
        <v>1.7626259598440955E-2</v>
      </c>
      <c r="U42" s="49">
        <f t="shared" si="24"/>
        <v>1.7313734406472138E-2</v>
      </c>
      <c r="V42" s="49">
        <f t="shared" ref="V42" si="25">V41+0.2%</f>
        <v>1.7007459718342693E-2</v>
      </c>
    </row>
    <row r="44" spans="2:22" x14ac:dyDescent="0.2">
      <c r="B44" s="2" t="s">
        <v>87</v>
      </c>
      <c r="G44" s="47">
        <f>-Model!T104</f>
        <v>1125.1389999999999</v>
      </c>
      <c r="H44" s="47">
        <f>-Model!U104</f>
        <v>1223.116</v>
      </c>
      <c r="I44" s="47">
        <f>-Model!V104</f>
        <v>568.02099999999996</v>
      </c>
      <c r="J44" s="47">
        <f>-Model!W104</f>
        <v>1045</v>
      </c>
      <c r="K44" s="47">
        <f>-Model!X104</f>
        <v>1457</v>
      </c>
      <c r="L44" s="47">
        <f>-Model!Y104</f>
        <v>1722</v>
      </c>
      <c r="M44" s="47">
        <f ca="1">M45*M18</f>
        <v>1803.5200000000002</v>
      </c>
      <c r="N44" s="47">
        <f ca="1">N45*N18</f>
        <v>1893.2659200000001</v>
      </c>
      <c r="O44" s="47">
        <f t="shared" ref="O44:U44" ca="1" si="26">O45*O18</f>
        <v>2076.3610228557277</v>
      </c>
      <c r="P44" s="47">
        <f t="shared" ca="1" si="26"/>
        <v>2189.2785056185016</v>
      </c>
      <c r="Q44" s="47">
        <f t="shared" ca="1" si="26"/>
        <v>2308.6581258226706</v>
      </c>
      <c r="R44" s="47">
        <f t="shared" ca="1" si="26"/>
        <v>2432.6604380897629</v>
      </c>
      <c r="S44" s="47">
        <f t="shared" ca="1" si="26"/>
        <v>2516.1933453057154</v>
      </c>
      <c r="T44" s="47">
        <f t="shared" ca="1" si="26"/>
        <v>2586.9234988509261</v>
      </c>
      <c r="U44" s="47">
        <f t="shared" ca="1" si="26"/>
        <v>2635.1038871540304</v>
      </c>
      <c r="V44" s="47">
        <f t="shared" ref="V44" ca="1" si="27">V45*V18</f>
        <v>2682.9764554612821</v>
      </c>
    </row>
    <row r="45" spans="2:22" x14ac:dyDescent="0.2">
      <c r="B45" s="2" t="s">
        <v>217</v>
      </c>
      <c r="G45" s="54">
        <f t="shared" ref="G45:L45" si="28">G44/G18</f>
        <v>2.8869753557686981E-2</v>
      </c>
      <c r="H45" s="54">
        <f t="shared" si="28"/>
        <v>2.9319366205623608E-2</v>
      </c>
      <c r="I45" s="54">
        <f t="shared" si="28"/>
        <v>1.7674985219528892E-2</v>
      </c>
      <c r="J45" s="54">
        <f t="shared" si="28"/>
        <v>2.1524201853759011E-2</v>
      </c>
      <c r="K45" s="54">
        <f t="shared" si="28"/>
        <v>2.9177347004165331E-2</v>
      </c>
      <c r="L45" s="54">
        <f t="shared" si="28"/>
        <v>3.17612556947083E-2</v>
      </c>
      <c r="M45" s="55" cm="1">
        <f t="array" aca="1" ref="M45" ca="1">OFFSET(M45,$H$5,,)</f>
        <v>3.2000000000000001E-2</v>
      </c>
      <c r="N45" s="55" cm="1">
        <f t="array" aca="1" ref="N45" ca="1">OFFSET(N45,$H$5,,)</f>
        <v>3.1359999999999999E-2</v>
      </c>
      <c r="O45" s="55" cm="1">
        <f t="array" aca="1" ref="O45" ca="1">OFFSET(O45,$H$5,,)</f>
        <v>3.0732799999999998E-2</v>
      </c>
      <c r="P45" s="55" cm="1">
        <f t="array" aca="1" ref="P45" ca="1">OFFSET(P45,$H$5,,)</f>
        <v>3.0118143999999996E-2</v>
      </c>
      <c r="Q45" s="55" cm="1">
        <f t="array" aca="1" ref="Q45" ca="1">OFFSET(Q45,$H$5,,)</f>
        <v>2.9515781119999994E-2</v>
      </c>
      <c r="R45" s="55" cm="1">
        <f t="array" aca="1" ref="R45" ca="1">OFFSET(R45,$H$5,,)</f>
        <v>2.8925465497599993E-2</v>
      </c>
      <c r="S45" s="55" cm="1">
        <f t="array" aca="1" ref="S45" ca="1">OFFSET(S45,$H$5,,)</f>
        <v>2.8346956187647994E-2</v>
      </c>
      <c r="T45" s="55" cm="1">
        <f t="array" aca="1" ref="T45" ca="1">OFFSET(T45,$H$5,,)</f>
        <v>2.7780017063895032E-2</v>
      </c>
      <c r="U45" s="55" cm="1">
        <f t="array" aca="1" ref="U45" ca="1">OFFSET(U45,$H$5,,)</f>
        <v>2.7224416722617131E-2</v>
      </c>
      <c r="V45" s="55" cm="1">
        <f t="array" aca="1" ref="V45" ca="1">OFFSET(V45,$H$5,,)</f>
        <v>2.6679928388164787E-2</v>
      </c>
    </row>
    <row r="46" spans="2:22" x14ac:dyDescent="0.2">
      <c r="B46" s="48" t="s">
        <v>215</v>
      </c>
      <c r="M46" s="49">
        <f>M47+0.5%</f>
        <v>3.6999999999999998E-2</v>
      </c>
      <c r="N46" s="49">
        <f t="shared" ref="N46:V46" si="29">N47+0.5%</f>
        <v>3.6359999999999996E-2</v>
      </c>
      <c r="O46" s="49">
        <f t="shared" si="29"/>
        <v>3.5732799999999995E-2</v>
      </c>
      <c r="P46" s="49">
        <f t="shared" si="29"/>
        <v>3.5118143999999997E-2</v>
      </c>
      <c r="Q46" s="49">
        <f t="shared" si="29"/>
        <v>3.4515781119999991E-2</v>
      </c>
      <c r="R46" s="49">
        <f t="shared" si="29"/>
        <v>3.3925465497599991E-2</v>
      </c>
      <c r="S46" s="49">
        <f t="shared" si="29"/>
        <v>3.3346956187647991E-2</v>
      </c>
      <c r="T46" s="49">
        <f t="shared" si="29"/>
        <v>3.278001706389503E-2</v>
      </c>
      <c r="U46" s="49">
        <f t="shared" si="29"/>
        <v>3.2224416722617132E-2</v>
      </c>
      <c r="V46" s="49">
        <f t="shared" si="29"/>
        <v>3.1679928388164788E-2</v>
      </c>
    </row>
    <row r="47" spans="2:22" x14ac:dyDescent="0.2">
      <c r="B47" s="48" t="s">
        <v>200</v>
      </c>
      <c r="M47" s="49">
        <v>3.2000000000000001E-2</v>
      </c>
      <c r="N47" s="49">
        <f>M47*0.98</f>
        <v>3.1359999999999999E-2</v>
      </c>
      <c r="O47" s="49">
        <f t="shared" ref="O47:U47" si="30">N47*0.98</f>
        <v>3.0732799999999998E-2</v>
      </c>
      <c r="P47" s="49">
        <f t="shared" si="30"/>
        <v>3.0118143999999996E-2</v>
      </c>
      <c r="Q47" s="49">
        <f t="shared" si="30"/>
        <v>2.9515781119999994E-2</v>
      </c>
      <c r="R47" s="49">
        <f t="shared" si="30"/>
        <v>2.8925465497599993E-2</v>
      </c>
      <c r="S47" s="49">
        <f t="shared" si="30"/>
        <v>2.8346956187647994E-2</v>
      </c>
      <c r="T47" s="49">
        <f t="shared" si="30"/>
        <v>2.7780017063895032E-2</v>
      </c>
      <c r="U47" s="49">
        <f t="shared" si="30"/>
        <v>2.7224416722617131E-2</v>
      </c>
      <c r="V47" s="49">
        <f t="shared" ref="V47" si="31">U47*0.98</f>
        <v>2.6679928388164787E-2</v>
      </c>
    </row>
    <row r="48" spans="2:22" x14ac:dyDescent="0.2">
      <c r="B48" s="48" t="s">
        <v>216</v>
      </c>
      <c r="M48" s="49">
        <f>M47-0.5%</f>
        <v>2.7E-2</v>
      </c>
      <c r="N48" s="49">
        <f t="shared" ref="N48:V48" si="32">N47-0.5%</f>
        <v>2.6359999999999998E-2</v>
      </c>
      <c r="O48" s="49">
        <f t="shared" si="32"/>
        <v>2.5732799999999997E-2</v>
      </c>
      <c r="P48" s="49">
        <f t="shared" si="32"/>
        <v>2.5118143999999995E-2</v>
      </c>
      <c r="Q48" s="49">
        <f t="shared" si="32"/>
        <v>2.4515781119999993E-2</v>
      </c>
      <c r="R48" s="49">
        <f t="shared" si="32"/>
        <v>2.3925465497599992E-2</v>
      </c>
      <c r="S48" s="49">
        <f t="shared" si="32"/>
        <v>2.3346956187647993E-2</v>
      </c>
      <c r="T48" s="49">
        <f t="shared" si="32"/>
        <v>2.2780017063895031E-2</v>
      </c>
      <c r="U48" s="49">
        <f t="shared" si="32"/>
        <v>2.222441672261713E-2</v>
      </c>
      <c r="V48" s="49">
        <f t="shared" si="32"/>
        <v>2.1679928388164786E-2</v>
      </c>
    </row>
    <row r="50" spans="2:22" x14ac:dyDescent="0.2">
      <c r="B50" s="2" t="s">
        <v>69</v>
      </c>
      <c r="G50" s="24">
        <f>Model!T102</f>
        <v>140.26800000000003</v>
      </c>
      <c r="H50" s="24">
        <f>Model!U102</f>
        <v>-207.73399999999998</v>
      </c>
      <c r="I50" s="24">
        <f>Model!V102</f>
        <v>3376.8049999999998</v>
      </c>
      <c r="J50" s="24">
        <f>Model!W102</f>
        <v>-1490</v>
      </c>
      <c r="K50" s="24">
        <f>Model!X102</f>
        <v>-728</v>
      </c>
      <c r="L50" s="24">
        <f>Model!Y102</f>
        <v>405</v>
      </c>
      <c r="M50" s="24">
        <f ca="1">M51*M18</f>
        <v>-441.62767996037445</v>
      </c>
      <c r="N50" s="24">
        <f ca="1">N51*N18</f>
        <v>-482.976</v>
      </c>
      <c r="O50" s="24">
        <f t="shared" ref="O50:U50" ca="1" si="33">O51*O18</f>
        <v>-540.49381061425652</v>
      </c>
      <c r="P50" s="24">
        <f t="shared" ca="1" si="33"/>
        <v>-581.51750801603225</v>
      </c>
      <c r="Q50" s="24">
        <f t="shared" ca="1" si="33"/>
        <v>-625.7420371662306</v>
      </c>
      <c r="R50" s="24">
        <f t="shared" ca="1" si="33"/>
        <v>-672.80796246244836</v>
      </c>
      <c r="S50" s="24">
        <f t="shared" ca="1" si="33"/>
        <v>-710.11316450325091</v>
      </c>
      <c r="T50" s="24">
        <f t="shared" ca="1" si="33"/>
        <v>-744.97391211845832</v>
      </c>
      <c r="U50" s="24">
        <f t="shared" ca="1" si="33"/>
        <v>-774.33545453038107</v>
      </c>
      <c r="V50" s="24">
        <f t="shared" ref="V50" ca="1" si="34">V51*V18</f>
        <v>-804.49285063342222</v>
      </c>
    </row>
    <row r="51" spans="2:22" x14ac:dyDescent="0.2">
      <c r="B51" s="2" t="s">
        <v>217</v>
      </c>
      <c r="G51" s="54">
        <f t="shared" ref="G51:K51" si="35">G50/G18</f>
        <v>3.5991131691547789E-3</v>
      </c>
      <c r="H51" s="54">
        <f t="shared" si="35"/>
        <v>-4.9796006424239515E-3</v>
      </c>
      <c r="I51" s="54">
        <f t="shared" si="35"/>
        <v>0.10507530261069795</v>
      </c>
      <c r="J51" s="54">
        <f t="shared" si="35"/>
        <v>-3.0690010298661172E-2</v>
      </c>
      <c r="K51" s="54">
        <f t="shared" si="35"/>
        <v>-1.4578660685677668E-2</v>
      </c>
      <c r="L51" s="54">
        <f>L50/L18</f>
        <v>7.4699817400446355E-3</v>
      </c>
      <c r="M51" s="55" cm="1">
        <f t="array" aca="1" ref="M51" ca="1">OFFSET(M51,$H$6,,)</f>
        <v>-7.835835343512676E-3</v>
      </c>
      <c r="N51" s="55" cm="1">
        <f t="array" aca="1" ref="N51" ca="1">OFFSET(N51,$H$6,,)</f>
        <v>-8.0000000000000002E-3</v>
      </c>
      <c r="O51" s="55" cm="1">
        <f t="array" aca="1" ref="O51" ca="1">OFFSET(O51,$H$6,,)</f>
        <v>-8.0000000000000002E-3</v>
      </c>
      <c r="P51" s="55" cm="1">
        <f t="array" aca="1" ref="P51" ca="1">OFFSET(P51,$H$6,,)</f>
        <v>-8.0000000000000002E-3</v>
      </c>
      <c r="Q51" s="55" cm="1">
        <f t="array" aca="1" ref="Q51" ca="1">OFFSET(Q51,$H$6,,)</f>
        <v>-8.0000000000000002E-3</v>
      </c>
      <c r="R51" s="55" cm="1">
        <f t="array" aca="1" ref="R51" ca="1">OFFSET(R51,$H$6,,)</f>
        <v>-8.0000000000000002E-3</v>
      </c>
      <c r="S51" s="55" cm="1">
        <f t="array" aca="1" ref="S51" ca="1">OFFSET(S51,$H$6,,)</f>
        <v>-8.0000000000000002E-3</v>
      </c>
      <c r="T51" s="55" cm="1">
        <f t="array" aca="1" ref="T51" ca="1">OFFSET(T51,$H$6,,)</f>
        <v>-8.0000000000000002E-3</v>
      </c>
      <c r="U51" s="55" cm="1">
        <f t="array" aca="1" ref="U51" ca="1">OFFSET(U51,$H$6,,)</f>
        <v>-8.0000000000000002E-3</v>
      </c>
      <c r="V51" s="55" cm="1">
        <f t="array" aca="1" ref="V51" ca="1">OFFSET(V51,$H$6,,)</f>
        <v>-8.0000000000000002E-3</v>
      </c>
    </row>
    <row r="52" spans="2:22" x14ac:dyDescent="0.2">
      <c r="B52" s="48" t="s">
        <v>215</v>
      </c>
      <c r="M52" s="49">
        <f>M53-0.5%</f>
        <v>-1.2835835343512677E-2</v>
      </c>
      <c r="N52" s="49">
        <v>-0.02</v>
      </c>
      <c r="O52" s="49">
        <v>-0.02</v>
      </c>
      <c r="P52" s="49">
        <v>-0.02</v>
      </c>
      <c r="Q52" s="49">
        <v>-0.02</v>
      </c>
      <c r="R52" s="49">
        <v>-0.02</v>
      </c>
      <c r="S52" s="49">
        <v>-0.02</v>
      </c>
      <c r="T52" s="49">
        <v>-0.02</v>
      </c>
      <c r="U52" s="49">
        <v>-0.02</v>
      </c>
      <c r="V52" s="49">
        <v>-0.02</v>
      </c>
    </row>
    <row r="53" spans="2:22" x14ac:dyDescent="0.2">
      <c r="B53" s="48" t="s">
        <v>200</v>
      </c>
      <c r="M53" s="49">
        <f>AVERAGE(J51:L51,G51:H51)</f>
        <v>-7.835835343512676E-3</v>
      </c>
      <c r="N53" s="49">
        <v>-8.0000000000000002E-3</v>
      </c>
      <c r="O53" s="49">
        <v>-8.0000000000000002E-3</v>
      </c>
      <c r="P53" s="49">
        <v>-8.0000000000000002E-3</v>
      </c>
      <c r="Q53" s="49">
        <v>-8.0000000000000002E-3</v>
      </c>
      <c r="R53" s="49">
        <v>-8.0000000000000002E-3</v>
      </c>
      <c r="S53" s="49">
        <v>-8.0000000000000002E-3</v>
      </c>
      <c r="T53" s="49">
        <v>-8.0000000000000002E-3</v>
      </c>
      <c r="U53" s="49">
        <v>-8.0000000000000002E-3</v>
      </c>
      <c r="V53" s="49">
        <v>-8.0000000000000002E-3</v>
      </c>
    </row>
    <row r="54" spans="2:22" x14ac:dyDescent="0.2">
      <c r="B54" s="48" t="s">
        <v>216</v>
      </c>
      <c r="M54" s="49">
        <f>M53+0.5%</f>
        <v>-2.8358353435126759E-3</v>
      </c>
      <c r="N54" s="49">
        <f t="shared" ref="N54:U54" si="36">N53+0.5%</f>
        <v>-3.0000000000000001E-3</v>
      </c>
      <c r="O54" s="49">
        <f t="shared" si="36"/>
        <v>-3.0000000000000001E-3</v>
      </c>
      <c r="P54" s="49">
        <f t="shared" si="36"/>
        <v>-3.0000000000000001E-3</v>
      </c>
      <c r="Q54" s="49">
        <f t="shared" si="36"/>
        <v>-3.0000000000000001E-3</v>
      </c>
      <c r="R54" s="49">
        <f t="shared" si="36"/>
        <v>-3.0000000000000001E-3</v>
      </c>
      <c r="S54" s="49">
        <f t="shared" si="36"/>
        <v>-3.0000000000000001E-3</v>
      </c>
      <c r="T54" s="49">
        <f t="shared" si="36"/>
        <v>-3.0000000000000001E-3</v>
      </c>
      <c r="U54" s="49">
        <f t="shared" si="36"/>
        <v>-3.0000000000000001E-3</v>
      </c>
      <c r="V54" s="49">
        <f t="shared" ref="V54" si="37">V53+0.5%</f>
        <v>-3.0000000000000001E-3</v>
      </c>
    </row>
    <row r="56" spans="2:22" x14ac:dyDescent="0.2">
      <c r="B56" s="56" t="s">
        <v>220</v>
      </c>
      <c r="C56" s="56"/>
      <c r="D56" s="56"/>
      <c r="E56" s="56"/>
      <c r="F56" s="56"/>
      <c r="G56" s="57">
        <f>G36+G38-G44+G50</f>
        <v>2939.5640000000012</v>
      </c>
      <c r="H56" s="57">
        <f t="shared" ref="H56:V56" si="38">H36+H38-H44+H50</f>
        <v>2718.6950000000011</v>
      </c>
      <c r="I56" s="57">
        <f t="shared" si="38"/>
        <v>4263.0170000000007</v>
      </c>
      <c r="J56" s="57">
        <f t="shared" si="38"/>
        <v>1973</v>
      </c>
      <c r="K56" s="57">
        <f t="shared" si="38"/>
        <v>2424</v>
      </c>
      <c r="L56" s="57">
        <f t="shared" si="38"/>
        <v>3951</v>
      </c>
      <c r="M56" s="57">
        <f t="shared" ca="1" si="38"/>
        <v>3357.0363200396264</v>
      </c>
      <c r="N56" s="57">
        <f t="shared" ca="1" si="38"/>
        <v>3714.6891600000004</v>
      </c>
      <c r="O56" s="57">
        <f t="shared" ca="1" si="38"/>
        <v>4300.6011522955177</v>
      </c>
      <c r="P56" s="57">
        <f t="shared" ca="1" si="38"/>
        <v>4781.0415610251248</v>
      </c>
      <c r="Q56" s="57">
        <f t="shared" ca="1" si="38"/>
        <v>5309.956645331511</v>
      </c>
      <c r="R56" s="57">
        <f t="shared" ca="1" si="38"/>
        <v>5886.6583205258994</v>
      </c>
      <c r="S56" s="57">
        <f t="shared" ca="1" si="38"/>
        <v>6399.735711494337</v>
      </c>
      <c r="T56" s="57">
        <f t="shared" ca="1" si="38"/>
        <v>6909.2831331813286</v>
      </c>
      <c r="U56" s="57">
        <f t="shared" ca="1" si="38"/>
        <v>8139.1675037346868</v>
      </c>
      <c r="V56" s="57">
        <f t="shared" ca="1" si="38"/>
        <v>8480.1120083367568</v>
      </c>
    </row>
    <row r="57" spans="2:22" x14ac:dyDescent="0.2">
      <c r="B57" s="2" t="s">
        <v>221</v>
      </c>
      <c r="M57" s="2">
        <v>1</v>
      </c>
      <c r="N57" s="2">
        <f>M57+1</f>
        <v>2</v>
      </c>
      <c r="O57" s="2">
        <f>N57+1</f>
        <v>3</v>
      </c>
      <c r="P57" s="2">
        <f t="shared" ref="P57:R57" si="39">O57+1</f>
        <v>4</v>
      </c>
      <c r="Q57" s="2">
        <f t="shared" si="39"/>
        <v>5</v>
      </c>
      <c r="R57" s="2">
        <f t="shared" si="39"/>
        <v>6</v>
      </c>
      <c r="S57" s="2">
        <f t="shared" ref="S57" si="40">R57+1</f>
        <v>7</v>
      </c>
      <c r="T57" s="2">
        <f t="shared" ref="T57" si="41">S57+1</f>
        <v>8</v>
      </c>
      <c r="U57" s="2">
        <f t="shared" ref="U57:V57" si="42">T57+1</f>
        <v>9</v>
      </c>
      <c r="V57" s="2">
        <f t="shared" si="42"/>
        <v>10</v>
      </c>
    </row>
    <row r="58" spans="2:22" x14ac:dyDescent="0.2">
      <c r="B58" s="2" t="s">
        <v>222</v>
      </c>
      <c r="M58" s="47">
        <f ca="1">M56/(1+$D$9)^M57</f>
        <v>3101.3324340624981</v>
      </c>
      <c r="N58" s="47">
        <f ca="1">N56/(1+$D$9)^N57</f>
        <v>3170.348763815924</v>
      </c>
      <c r="O58" s="47">
        <f t="shared" ref="O58:T58" ca="1" si="43">O56/(1+$D$9)^O57</f>
        <v>3390.8299489904002</v>
      </c>
      <c r="P58" s="47">
        <f t="shared" ca="1" si="43"/>
        <v>3482.5041570391954</v>
      </c>
      <c r="Q58" s="47">
        <f t="shared" ca="1" si="43"/>
        <v>3573.1593190170051</v>
      </c>
      <c r="R58" s="47">
        <f t="shared" ca="1" si="43"/>
        <v>3659.506438335608</v>
      </c>
      <c r="S58" s="47">
        <f t="shared" ca="1" si="43"/>
        <v>3675.4287428757116</v>
      </c>
      <c r="T58" s="47">
        <f t="shared" ca="1" si="43"/>
        <v>3665.8208660051469</v>
      </c>
      <c r="U58" s="47">
        <f ca="1">U56/(1+$D$9)^U57</f>
        <v>3989.4269441666916</v>
      </c>
      <c r="V58" s="47">
        <f ca="1">V56/(1+$D$9)^V57</f>
        <v>3839.9396593021024</v>
      </c>
    </row>
    <row r="59" spans="2:22" x14ac:dyDescent="0.2">
      <c r="B59" s="2" t="s">
        <v>223</v>
      </c>
      <c r="N59" s="47"/>
      <c r="O59" s="47"/>
      <c r="P59" s="47"/>
      <c r="Q59" s="47"/>
      <c r="V59" s="47">
        <f ca="1">SUM(M58:V58)</f>
        <v>35548.297273610282</v>
      </c>
    </row>
    <row r="60" spans="2:22" x14ac:dyDescent="0.2">
      <c r="B60" s="2" t="s">
        <v>224</v>
      </c>
      <c r="N60" s="47"/>
      <c r="O60" s="47"/>
      <c r="P60" s="47"/>
      <c r="Q60" s="47"/>
      <c r="V60" s="47">
        <f ca="1">(V56*(1+D10))/(D9-D10)</f>
        <v>151299.60464761395</v>
      </c>
    </row>
    <row r="61" spans="2:22" x14ac:dyDescent="0.2">
      <c r="B61" s="17" t="s">
        <v>225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58"/>
      <c r="O61" s="58"/>
      <c r="P61" s="58"/>
      <c r="Q61" s="58"/>
      <c r="R61" s="58"/>
      <c r="S61" s="58"/>
      <c r="T61" s="58"/>
      <c r="U61" s="58"/>
      <c r="V61" s="58">
        <f ca="1">V60/(1+D9)^V57</f>
        <v>68511.046994655437</v>
      </c>
    </row>
    <row r="62" spans="2:22" x14ac:dyDescent="0.2">
      <c r="B62" s="51" t="s">
        <v>226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2"/>
      <c r="O62" s="52"/>
      <c r="P62" s="52"/>
      <c r="Q62" s="52"/>
      <c r="R62" s="52"/>
      <c r="S62" s="52"/>
      <c r="T62" s="52"/>
      <c r="U62" s="52"/>
      <c r="V62" s="52">
        <f ca="1">V59+V61</f>
        <v>104059.34426826572</v>
      </c>
    </row>
    <row r="63" spans="2:22" x14ac:dyDescent="0.2">
      <c r="B63" s="2" t="s">
        <v>227</v>
      </c>
      <c r="N63" s="47"/>
      <c r="O63" s="47"/>
      <c r="P63" s="47"/>
      <c r="Q63" s="47"/>
      <c r="V63" s="47">
        <f>Main!I6</f>
        <v>6004</v>
      </c>
    </row>
    <row r="64" spans="2:22" x14ac:dyDescent="0.2">
      <c r="B64" s="17" t="s">
        <v>228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58"/>
      <c r="O64" s="58"/>
      <c r="P64" s="58"/>
      <c r="Q64" s="58"/>
      <c r="R64" s="58"/>
      <c r="S64" s="58"/>
      <c r="T64" s="58"/>
      <c r="U64" s="58"/>
      <c r="V64" s="58">
        <f>Main!I7</f>
        <v>2871</v>
      </c>
    </row>
    <row r="65" spans="1:22" x14ac:dyDescent="0.2">
      <c r="B65" s="2" t="s">
        <v>229</v>
      </c>
      <c r="N65" s="47"/>
      <c r="O65" s="47"/>
      <c r="P65" s="47"/>
      <c r="Q65" s="47"/>
      <c r="V65" s="47">
        <f ca="1">V62+V63-V64</f>
        <v>107192.34426826572</v>
      </c>
    </row>
    <row r="66" spans="1:22" x14ac:dyDescent="0.2">
      <c r="B66" s="17" t="s">
        <v>230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58"/>
      <c r="O66" s="58"/>
      <c r="P66" s="58"/>
      <c r="Q66" s="58"/>
      <c r="R66" s="58"/>
      <c r="S66" s="58"/>
      <c r="T66" s="58"/>
      <c r="U66" s="58"/>
      <c r="V66" s="58">
        <f>Main!I4</f>
        <v>1117</v>
      </c>
    </row>
    <row r="67" spans="1:22" x14ac:dyDescent="0.2">
      <c r="B67" s="2" t="s">
        <v>207</v>
      </c>
      <c r="V67" s="32">
        <f ca="1">V65/V66</f>
        <v>95.964498002028392</v>
      </c>
    </row>
    <row r="71" spans="1:22" x14ac:dyDescent="0.2">
      <c r="A71" s="37" t="s">
        <v>9</v>
      </c>
      <c r="B71" s="38" t="s">
        <v>233</v>
      </c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</row>
    <row r="73" spans="1:22" x14ac:dyDescent="0.2">
      <c r="C73" s="63" t="s">
        <v>206</v>
      </c>
      <c r="D73" s="63"/>
      <c r="E73" s="63"/>
      <c r="F73" s="63"/>
      <c r="G73" s="63"/>
      <c r="H73" s="63"/>
      <c r="I73" s="63"/>
      <c r="J73" s="63"/>
    </row>
    <row r="74" spans="1:22" ht="14.45" customHeight="1" x14ac:dyDescent="0.2">
      <c r="B74" s="64" t="s">
        <v>176</v>
      </c>
      <c r="C74" s="59">
        <f ca="1">V67</f>
        <v>95.964498002028392</v>
      </c>
      <c r="D74" s="60">
        <f t="shared" ref="D74:E74" si="44">E74-0.5%</f>
        <v>9.9999999999999985E-3</v>
      </c>
      <c r="E74" s="60">
        <f t="shared" si="44"/>
        <v>1.4999999999999999E-2</v>
      </c>
      <c r="F74" s="60">
        <f>G74-0.5%</f>
        <v>0.02</v>
      </c>
      <c r="G74" s="60">
        <v>2.5000000000000001E-2</v>
      </c>
      <c r="H74" s="60">
        <f>G74+0.5%</f>
        <v>3.0000000000000002E-2</v>
      </c>
      <c r="I74" s="60">
        <f t="shared" ref="I74:J74" si="45">H74+0.5%</f>
        <v>3.5000000000000003E-2</v>
      </c>
      <c r="J74" s="60">
        <f t="shared" si="45"/>
        <v>0.04</v>
      </c>
    </row>
    <row r="75" spans="1:22" x14ac:dyDescent="0.2">
      <c r="B75" s="64"/>
      <c r="C75" s="61">
        <f t="shared" ref="C75:C76" si="46">C76-1%</f>
        <v>4.8759739939255253E-2</v>
      </c>
      <c r="D75" s="33">
        <f t="dataTable" ref="D75:J81" dt2D="1" dtr="1" r1="D10" r2="D9" ca="1"/>
        <v>163.9661036608957</v>
      </c>
      <c r="E75" s="33">
        <v>182.86578179743682</v>
      </c>
      <c r="F75" s="33">
        <v>208.33703470358998</v>
      </c>
      <c r="G75" s="33">
        <v>244.52862923438775</v>
      </c>
      <c r="H75" s="33">
        <v>300.01238594226669</v>
      </c>
      <c r="I75" s="33">
        <v>395.81940235768479</v>
      </c>
      <c r="J75" s="33">
        <v>600.99840593230556</v>
      </c>
    </row>
    <row r="76" spans="1:22" x14ac:dyDescent="0.2">
      <c r="B76" s="64"/>
      <c r="C76" s="61">
        <f t="shared" si="46"/>
        <v>5.8759739939255255E-2</v>
      </c>
      <c r="D76" s="33">
        <v>127.82717999604139</v>
      </c>
      <c r="E76" s="33">
        <v>138.46874591100863</v>
      </c>
      <c r="F76" s="33">
        <v>151.85583228912779</v>
      </c>
      <c r="G76" s="33">
        <v>169.20831840142938</v>
      </c>
      <c r="H76" s="33">
        <v>192.59440779003063</v>
      </c>
      <c r="I76" s="33">
        <v>225.82323512458194</v>
      </c>
      <c r="J76" s="33">
        <v>276.76490253162217</v>
      </c>
    </row>
    <row r="77" spans="1:22" x14ac:dyDescent="0.2">
      <c r="B77" s="64"/>
      <c r="C77" s="61">
        <f>C78-1%</f>
        <v>6.8759739939255257E-2</v>
      </c>
      <c r="D77" s="33">
        <v>104.15831456834916</v>
      </c>
      <c r="E77" s="33">
        <v>110.7631290746002</v>
      </c>
      <c r="F77" s="33">
        <v>118.72250669264788</v>
      </c>
      <c r="G77" s="33">
        <v>128.50076569095427</v>
      </c>
      <c r="H77" s="33">
        <v>140.80181225533593</v>
      </c>
      <c r="I77" s="33">
        <v>156.74656181817539</v>
      </c>
      <c r="J77" s="33">
        <v>178.23543298869163</v>
      </c>
    </row>
    <row r="78" spans="1:22" x14ac:dyDescent="0.2">
      <c r="B78" s="64"/>
      <c r="C78" s="61">
        <v>7.8759739939255252E-2</v>
      </c>
      <c r="D78" s="33">
        <v>87.50721893968128</v>
      </c>
      <c r="E78" s="33">
        <v>91.883599579782768</v>
      </c>
      <c r="F78" s="33">
        <v>97.004772597220466</v>
      </c>
      <c r="G78" s="33">
        <v>103.07854937041</v>
      </c>
      <c r="H78" s="33">
        <v>110.39798019769339</v>
      </c>
      <c r="I78" s="33">
        <v>119.39005141028159</v>
      </c>
      <c r="J78" s="33">
        <v>130.7020740019762</v>
      </c>
    </row>
    <row r="79" spans="1:22" x14ac:dyDescent="0.2">
      <c r="B79" s="64"/>
      <c r="C79" s="61">
        <f>C78+1%</f>
        <v>8.8759739939255247E-2</v>
      </c>
      <c r="D79" s="33">
        <v>75.191600593619341</v>
      </c>
      <c r="E79" s="33">
        <v>78.231129590345276</v>
      </c>
      <c r="F79" s="33">
        <v>81.7127092695507</v>
      </c>
      <c r="G79" s="33">
        <v>85.740335667660901</v>
      </c>
      <c r="H79" s="33">
        <v>90.453401858778008</v>
      </c>
      <c r="I79" s="33">
        <v>96.043158710311729</v>
      </c>
      <c r="J79" s="33">
        <v>102.77930331093873</v>
      </c>
    </row>
    <row r="80" spans="1:22" x14ac:dyDescent="0.2">
      <c r="B80" s="64"/>
      <c r="C80" s="61">
        <f t="shared" ref="C80:C81" si="47">C79+1%</f>
        <v>9.8759739939255242E-2</v>
      </c>
      <c r="D80" s="33">
        <v>65.738690321349964</v>
      </c>
      <c r="E80" s="33">
        <v>67.926161992530723</v>
      </c>
      <c r="F80" s="33">
        <v>70.391373492825693</v>
      </c>
      <c r="G80" s="33">
        <v>73.190806819597398</v>
      </c>
      <c r="H80" s="33">
        <v>76.397372769215721</v>
      </c>
      <c r="I80" s="33">
        <v>80.106852619153145</v>
      </c>
      <c r="J80" s="33">
        <v>84.447628634419445</v>
      </c>
    </row>
    <row r="81" spans="2:10" x14ac:dyDescent="0.2">
      <c r="B81" s="64"/>
      <c r="C81" s="61">
        <f t="shared" si="47"/>
        <v>0.10875973993925524</v>
      </c>
      <c r="D81" s="33">
        <v>58.272819569643964</v>
      </c>
      <c r="E81" s="33">
        <v>59.891589232421687</v>
      </c>
      <c r="F81" s="33">
        <v>61.692735461859677</v>
      </c>
      <c r="G81" s="33">
        <v>63.708918919295762</v>
      </c>
      <c r="H81" s="33">
        <v>65.981094011416147</v>
      </c>
      <c r="I81" s="33">
        <v>68.561319958107305</v>
      </c>
      <c r="J81" s="33">
        <v>71.516798334340862</v>
      </c>
    </row>
  </sheetData>
  <mergeCells count="2">
    <mergeCell ref="C73:J73"/>
    <mergeCell ref="B74:B81"/>
  </mergeCells>
  <dataValidations count="1">
    <dataValidation type="list" allowBlank="1" showInputMessage="1" showErrorMessage="1" sqref="D4:D7 H4:H7" xr:uid="{67CC1E04-F1CF-4976-A8CC-79A4697892C4}">
      <formula1>"1,2,3"</formula1>
    </dataValidation>
  </dataValidations>
  <hyperlinks>
    <hyperlink ref="A1" location="Main!A1" display="Main" xr:uid="{8FB14875-22A9-427D-9411-E1371D02EE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Ratios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2024-06-18T15:57:57Z</dcterms:created>
  <dcterms:modified xsi:type="dcterms:W3CDTF">2026-08-21T09:02:18Z</dcterms:modified>
</cp:coreProperties>
</file>