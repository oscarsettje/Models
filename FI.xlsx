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D9C98563-D505-4DCA-8B04-9C3E745C327F}" xr6:coauthVersionLast="47" xr6:coauthVersionMax="47" xr10:uidLastSave="{00000000-0000-0000-0000-000000000000}"/>
  <bookViews>
    <workbookView xWindow="225" yWindow="3510" windowWidth="38175" windowHeight="15240" xr2:uid="{8871E1AF-CC88-4971-9D46-707769305EE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N13" i="2"/>
  <c r="N16" i="2" s="1"/>
  <c r="N19" i="2" s="1"/>
  <c r="N22" i="2" s="1"/>
  <c r="N24" i="2" s="1"/>
  <c r="N26" i="2" s="1"/>
  <c r="M13" i="2"/>
  <c r="M16" i="2" s="1"/>
  <c r="M19" i="2" s="1"/>
  <c r="M22" i="2" s="1"/>
  <c r="M24" i="2" s="1"/>
  <c r="M26" i="2" s="1"/>
  <c r="L13" i="2"/>
  <c r="L16" i="2" s="1"/>
  <c r="L19" i="2" s="1"/>
  <c r="L22" i="2" s="1"/>
  <c r="L24" i="2" s="1"/>
  <c r="L26" i="2" s="1"/>
  <c r="P10" i="2"/>
  <c r="P13" i="2" s="1"/>
  <c r="P16" i="2" s="1"/>
  <c r="P19" i="2" s="1"/>
  <c r="P22" i="2" s="1"/>
  <c r="P24" i="2" s="1"/>
  <c r="P26" i="2" s="1"/>
  <c r="O10" i="2"/>
  <c r="O13" i="2" s="1"/>
  <c r="O16" i="2" s="1"/>
  <c r="O19" i="2" s="1"/>
  <c r="O22" i="2" s="1"/>
  <c r="O24" i="2" s="1"/>
  <c r="O26" i="2" s="1"/>
  <c r="Q10" i="2"/>
  <c r="Q13" i="2" s="1"/>
  <c r="Q16" i="2" s="1"/>
  <c r="Q19" i="2" s="1"/>
  <c r="Q22" i="2" s="1"/>
  <c r="Q24" i="2" s="1"/>
  <c r="Q26" i="2" s="1"/>
  <c r="I4" i="1"/>
  <c r="I7" i="1" l="1"/>
</calcChain>
</file>

<file path=xl/sharedStrings.xml><?xml version="1.0" encoding="utf-8"?>
<sst xmlns="http://schemas.openxmlformats.org/spreadsheetml/2006/main" count="50" uniqueCount="47">
  <si>
    <t>Fiserv</t>
  </si>
  <si>
    <t>numbers in mio USD</t>
  </si>
  <si>
    <t>Price</t>
  </si>
  <si>
    <t>Shares</t>
  </si>
  <si>
    <t>MC</t>
  </si>
  <si>
    <t>Cash</t>
  </si>
  <si>
    <t>Debt</t>
  </si>
  <si>
    <t>EV</t>
  </si>
  <si>
    <t>Q424</t>
  </si>
  <si>
    <t>Notes</t>
  </si>
  <si>
    <t>payment and financial services technology solution</t>
  </si>
  <si>
    <t>Main</t>
  </si>
  <si>
    <t>Q124</t>
  </si>
  <si>
    <t>Q224</t>
  </si>
  <si>
    <t>Q324</t>
  </si>
  <si>
    <t>Q125</t>
  </si>
  <si>
    <t>Q225</t>
  </si>
  <si>
    <t>Q325</t>
  </si>
  <si>
    <t>Q425</t>
  </si>
  <si>
    <t>FY19</t>
  </si>
  <si>
    <t>FY20</t>
  </si>
  <si>
    <t>FY21</t>
  </si>
  <si>
    <t>FY22</t>
  </si>
  <si>
    <t>FY23</t>
  </si>
  <si>
    <t>FY24</t>
  </si>
  <si>
    <t>Processing &amp; Services</t>
  </si>
  <si>
    <t>Product</t>
  </si>
  <si>
    <t>Revenue</t>
  </si>
  <si>
    <t>Cost of Services</t>
  </si>
  <si>
    <t>Cost of Products</t>
  </si>
  <si>
    <t>Gross Profit</t>
  </si>
  <si>
    <t>SG&amp;A</t>
  </si>
  <si>
    <t>Gain on sale of assets</t>
  </si>
  <si>
    <t>Operating Income</t>
  </si>
  <si>
    <t>Interest Expense</t>
  </si>
  <si>
    <t>Other Expenses</t>
  </si>
  <si>
    <t>Pretax Income</t>
  </si>
  <si>
    <t>Tax Expense</t>
  </si>
  <si>
    <t>Income from subsidaries</t>
  </si>
  <si>
    <t>Net Income</t>
  </si>
  <si>
    <t>Minority Interest</t>
  </si>
  <si>
    <t>Net Income to Company</t>
  </si>
  <si>
    <t>Merchant Segment Revenue</t>
  </si>
  <si>
    <t>Digital Payments</t>
  </si>
  <si>
    <t>Banking</t>
  </si>
  <si>
    <t>Issuing</t>
  </si>
  <si>
    <t>Coporate &amp; 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</si>
</sst>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;\-#,##0.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1" fillId="0" borderId="0" xfId="0" applyFont="1"/>
    <xf numFmtId="164" fontId="1" fillId="0" borderId="0" xfId="0" applyNumberFormat="1" applyFont="1"/>
    <xf numFmtId="37" fontId="1" fillId="0" borderId="0" xfId="0" applyNumberFormat="1" applyFont="1"/>
    <xf numFmtId="0" fontId="1" fillId="0" borderId="0" xfId="0" applyFont="1" applyAlignment="1">
      <alignment horizontal="right"/>
    </xf>
    <xf numFmtId="0" fontId="4" fillId="0" borderId="0" xfId="0" applyFont="1"/>
    <xf numFmtId="0" fontId="5" fillId="0" borderId="0" xfId="1" applyFont="1"/>
    <xf numFmtId="37" fontId="3" fillId="0" borderId="0" xfId="0" applyNumberFormat="1" applyFont="1"/>
    <xf numFmtId="3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5816-0707-4292-AC7B-65F6048AB1A0}">
  <dimension ref="A1:J10"/>
  <sheetViews>
    <sheetView tabSelected="1" zoomScale="200" zoomScaleNormal="200" workbookViewId="0">
      <selection activeCell="I3" sqref="I3"/>
    </sheetView>
  </sheetViews>
  <sheetFormatPr defaultRowHeight="12.75" x14ac:dyDescent="0.2"/>
  <cols>
    <col min="1" max="1" width="3.5703125" style="2" customWidth="1"/>
    <col min="2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  <c r="H2" s="2" t="s">
        <v>2</v>
      </c>
      <c r="I2" s="3">
        <v>62.5</v>
      </c>
    </row>
    <row r="3" spans="1:10" x14ac:dyDescent="0.2">
      <c r="H3" s="2" t="s">
        <v>3</v>
      </c>
      <c r="I3" s="4">
        <v>561.28894400000001</v>
      </c>
      <c r="J3" s="5" t="s">
        <v>8</v>
      </c>
    </row>
    <row r="4" spans="1:10" x14ac:dyDescent="0.2">
      <c r="H4" s="2" t="s">
        <v>4</v>
      </c>
      <c r="I4" s="4">
        <f>+I2*I3</f>
        <v>35080.559000000001</v>
      </c>
    </row>
    <row r="5" spans="1:10" x14ac:dyDescent="0.2">
      <c r="H5" s="2" t="s">
        <v>5</v>
      </c>
      <c r="I5" s="4">
        <v>1236</v>
      </c>
      <c r="J5" s="5" t="s">
        <v>8</v>
      </c>
    </row>
    <row r="6" spans="1:10" x14ac:dyDescent="0.2">
      <c r="H6" s="2" t="s">
        <v>6</v>
      </c>
      <c r="I6" s="4">
        <f>1110+23730</f>
        <v>24840</v>
      </c>
      <c r="J6" s="5" t="s">
        <v>8</v>
      </c>
    </row>
    <row r="7" spans="1:10" x14ac:dyDescent="0.2">
      <c r="H7" s="2" t="s">
        <v>7</v>
      </c>
      <c r="I7" s="4">
        <f>+I4-I5+I6</f>
        <v>58684.559000000001</v>
      </c>
    </row>
    <row r="9" spans="1:10" x14ac:dyDescent="0.2">
      <c r="B9" s="6" t="s">
        <v>9</v>
      </c>
    </row>
    <row r="10" spans="1:10" x14ac:dyDescent="0.2">
      <c r="B10" s="2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DFE3C-6A23-421C-BD95-2A972B5870D4}">
  <dimension ref="A1:U279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2" sqref="D2"/>
    </sheetView>
  </sheetViews>
  <sheetFormatPr defaultRowHeight="12.75" x14ac:dyDescent="0.2"/>
  <cols>
    <col min="1" max="1" width="5.42578125" style="2" bestFit="1" customWidth="1"/>
    <col min="2" max="2" width="26.5703125" style="2" customWidth="1"/>
    <col min="3" max="16384" width="9.140625" style="2"/>
  </cols>
  <sheetData>
    <row r="1" spans="1:21" x14ac:dyDescent="0.2">
      <c r="A1" s="7" t="s">
        <v>11</v>
      </c>
    </row>
    <row r="2" spans="1:21" x14ac:dyDescent="0.2">
      <c r="C2" s="5" t="s">
        <v>12</v>
      </c>
      <c r="D2" s="5" t="s">
        <v>13</v>
      </c>
      <c r="E2" s="5" t="s">
        <v>14</v>
      </c>
      <c r="F2" s="5" t="s">
        <v>8</v>
      </c>
      <c r="G2" s="5" t="s">
        <v>15</v>
      </c>
      <c r="H2" s="5" t="s">
        <v>16</v>
      </c>
      <c r="I2" s="5" t="s">
        <v>17</v>
      </c>
      <c r="J2" s="5" t="s">
        <v>18</v>
      </c>
      <c r="K2" s="5"/>
      <c r="L2" s="5" t="s">
        <v>19</v>
      </c>
      <c r="M2" s="5" t="s">
        <v>20</v>
      </c>
      <c r="N2" s="5" t="s">
        <v>21</v>
      </c>
      <c r="O2" s="5" t="s">
        <v>22</v>
      </c>
      <c r="P2" s="5" t="s">
        <v>23</v>
      </c>
      <c r="Q2" s="5" t="s">
        <v>24</v>
      </c>
    </row>
    <row r="3" spans="1:21" x14ac:dyDescent="0.2">
      <c r="B3" s="2" t="s">
        <v>42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>
        <v>7883</v>
      </c>
      <c r="P3" s="4">
        <v>8722</v>
      </c>
      <c r="Q3" s="4">
        <v>9631</v>
      </c>
      <c r="R3" s="4"/>
      <c r="S3" s="4"/>
      <c r="T3" s="4"/>
      <c r="U3" s="4"/>
    </row>
    <row r="4" spans="1:21" x14ac:dyDescent="0.2">
      <c r="B4" s="2" t="s">
        <v>43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>
        <v>3370</v>
      </c>
      <c r="P4" s="4">
        <v>3655</v>
      </c>
      <c r="Q4" s="4">
        <v>3869</v>
      </c>
      <c r="R4" s="4"/>
      <c r="S4" s="4"/>
      <c r="T4" s="4"/>
      <c r="U4" s="4"/>
    </row>
    <row r="5" spans="1:21" x14ac:dyDescent="0.2">
      <c r="B5" s="2" t="s">
        <v>45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>
        <v>2801</v>
      </c>
      <c r="P5" s="4">
        <v>3011</v>
      </c>
      <c r="Q5" s="4">
        <v>3112</v>
      </c>
      <c r="R5" s="4"/>
      <c r="S5" s="4"/>
      <c r="T5" s="4"/>
      <c r="U5" s="4"/>
    </row>
    <row r="6" spans="1:21" x14ac:dyDescent="0.2">
      <c r="B6" s="2" t="s">
        <v>44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>
        <v>2510</v>
      </c>
      <c r="P6" s="4">
        <v>2435</v>
      </c>
      <c r="Q6" s="4">
        <v>2496</v>
      </c>
      <c r="R6" s="4"/>
      <c r="S6" s="4"/>
      <c r="T6" s="4"/>
      <c r="U6" s="4"/>
    </row>
    <row r="7" spans="1:21" x14ac:dyDescent="0.2">
      <c r="B7" s="2" t="s">
        <v>46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>
        <v>1173</v>
      </c>
      <c r="P7" s="4">
        <v>1270</v>
      </c>
      <c r="Q7" s="4">
        <v>1348</v>
      </c>
      <c r="R7" s="4"/>
      <c r="S7" s="4"/>
      <c r="T7" s="4"/>
      <c r="U7" s="4"/>
    </row>
    <row r="8" spans="1:21" x14ac:dyDescent="0.2">
      <c r="B8" s="2" t="s">
        <v>25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>
        <v>14460</v>
      </c>
      <c r="P8" s="4">
        <v>15630</v>
      </c>
      <c r="Q8" s="4">
        <v>16637</v>
      </c>
      <c r="R8" s="4"/>
      <c r="S8" s="4"/>
      <c r="T8" s="4"/>
      <c r="U8" s="4"/>
    </row>
    <row r="9" spans="1:21" x14ac:dyDescent="0.2">
      <c r="B9" s="2" t="s">
        <v>26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>
        <v>3277</v>
      </c>
      <c r="P9" s="4">
        <v>3463</v>
      </c>
      <c r="Q9" s="4">
        <v>3819</v>
      </c>
      <c r="R9" s="4"/>
      <c r="S9" s="4"/>
      <c r="T9" s="4"/>
      <c r="U9" s="4"/>
    </row>
    <row r="10" spans="1:21" x14ac:dyDescent="0.2">
      <c r="B10" s="1" t="s">
        <v>27</v>
      </c>
      <c r="C10" s="4"/>
      <c r="D10" s="4"/>
      <c r="E10" s="4"/>
      <c r="F10" s="4"/>
      <c r="G10" s="4"/>
      <c r="H10" s="4"/>
      <c r="I10" s="4"/>
      <c r="J10" s="8"/>
      <c r="K10" s="4"/>
      <c r="L10" s="4"/>
      <c r="M10" s="4"/>
      <c r="N10" s="4"/>
      <c r="O10" s="8">
        <f t="shared" ref="O10:P10" si="0">+O8+O9</f>
        <v>17737</v>
      </c>
      <c r="P10" s="8">
        <f t="shared" si="0"/>
        <v>19093</v>
      </c>
      <c r="Q10" s="8">
        <f>+Q8+Q9</f>
        <v>20456</v>
      </c>
      <c r="R10" s="4"/>
      <c r="S10" s="4"/>
      <c r="T10" s="4"/>
      <c r="U10" s="4"/>
    </row>
    <row r="11" spans="1:21" x14ac:dyDescent="0.2">
      <c r="B11" s="2" t="s">
        <v>28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>
        <v>5771</v>
      </c>
      <c r="P11" s="4">
        <v>5332</v>
      </c>
      <c r="Q11" s="4">
        <v>5363</v>
      </c>
      <c r="R11" s="4"/>
      <c r="S11" s="4"/>
      <c r="T11" s="4"/>
      <c r="U11" s="4"/>
    </row>
    <row r="12" spans="1:21" x14ac:dyDescent="0.2">
      <c r="B12" s="2" t="s">
        <v>29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>
        <v>2221</v>
      </c>
      <c r="P12" s="4">
        <v>2338</v>
      </c>
      <c r="Q12" s="4">
        <v>2650</v>
      </c>
      <c r="R12" s="4"/>
      <c r="S12" s="4"/>
      <c r="T12" s="4"/>
      <c r="U12" s="4"/>
    </row>
    <row r="13" spans="1:21" x14ac:dyDescent="0.2">
      <c r="B13" s="2" t="s">
        <v>30</v>
      </c>
      <c r="C13" s="4"/>
      <c r="D13" s="4"/>
      <c r="E13" s="4"/>
      <c r="F13" s="4"/>
      <c r="G13" s="4"/>
      <c r="H13" s="4"/>
      <c r="I13" s="4"/>
      <c r="J13" s="4"/>
      <c r="K13" s="4"/>
      <c r="L13" s="4">
        <f t="shared" ref="L13:P13" si="1">+L10-SUM(L11:L12)</f>
        <v>0</v>
      </c>
      <c r="M13" s="4">
        <f t="shared" si="1"/>
        <v>0</v>
      </c>
      <c r="N13" s="4">
        <f t="shared" si="1"/>
        <v>0</v>
      </c>
      <c r="O13" s="4">
        <f t="shared" si="1"/>
        <v>9745</v>
      </c>
      <c r="P13" s="4">
        <f t="shared" si="1"/>
        <v>11423</v>
      </c>
      <c r="Q13" s="4">
        <f>+Q10-SUM(Q11:Q12)</f>
        <v>12443</v>
      </c>
      <c r="R13" s="4"/>
      <c r="S13" s="4"/>
      <c r="T13" s="4"/>
      <c r="U13" s="4"/>
    </row>
    <row r="14" spans="1:21" x14ac:dyDescent="0.2">
      <c r="B14" s="2" t="s">
        <v>31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>
        <v>6059</v>
      </c>
      <c r="P14" s="4">
        <v>6576</v>
      </c>
      <c r="Q14" s="4">
        <v>6564</v>
      </c>
      <c r="R14" s="4"/>
      <c r="S14" s="4"/>
      <c r="T14" s="4"/>
      <c r="U14" s="4"/>
    </row>
    <row r="15" spans="1:21" x14ac:dyDescent="0.2">
      <c r="B15" s="2" t="s">
        <v>32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>
        <v>54</v>
      </c>
      <c r="P15" s="4">
        <v>167</v>
      </c>
      <c r="Q15" s="4">
        <v>0</v>
      </c>
      <c r="R15" s="4"/>
      <c r="S15" s="4"/>
      <c r="T15" s="4"/>
      <c r="U15" s="4"/>
    </row>
    <row r="16" spans="1:21" x14ac:dyDescent="0.2">
      <c r="B16" s="2" t="s">
        <v>33</v>
      </c>
      <c r="C16" s="4"/>
      <c r="D16" s="4"/>
      <c r="E16" s="4"/>
      <c r="F16" s="4"/>
      <c r="G16" s="4"/>
      <c r="H16" s="4"/>
      <c r="I16" s="4"/>
      <c r="J16" s="4"/>
      <c r="K16" s="4"/>
      <c r="L16" s="4">
        <f t="shared" ref="L16:P16" si="2">+L13-L14+L15</f>
        <v>0</v>
      </c>
      <c r="M16" s="4">
        <f t="shared" si="2"/>
        <v>0</v>
      </c>
      <c r="N16" s="4">
        <f t="shared" si="2"/>
        <v>0</v>
      </c>
      <c r="O16" s="4">
        <f t="shared" si="2"/>
        <v>3740</v>
      </c>
      <c r="P16" s="4">
        <f t="shared" si="2"/>
        <v>5014</v>
      </c>
      <c r="Q16" s="4">
        <f>+Q13-Q14+Q15</f>
        <v>5879</v>
      </c>
      <c r="R16" s="4"/>
      <c r="S16" s="4"/>
      <c r="T16" s="4"/>
      <c r="U16" s="4"/>
    </row>
    <row r="17" spans="2:21" x14ac:dyDescent="0.2">
      <c r="B17" s="2" t="s">
        <v>34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>
        <v>733</v>
      </c>
      <c r="P17" s="4">
        <v>976</v>
      </c>
      <c r="Q17" s="4">
        <v>1195</v>
      </c>
      <c r="R17" s="4"/>
      <c r="S17" s="4"/>
      <c r="T17" s="4"/>
      <c r="U17" s="4"/>
    </row>
    <row r="18" spans="2:21" x14ac:dyDescent="0.2">
      <c r="B18" s="2" t="s">
        <v>35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>
        <v>94</v>
      </c>
      <c r="P18" s="4">
        <v>140</v>
      </c>
      <c r="Q18" s="4">
        <v>178</v>
      </c>
      <c r="R18" s="4"/>
      <c r="S18" s="4"/>
      <c r="T18" s="4"/>
      <c r="U18" s="4"/>
    </row>
    <row r="19" spans="2:21" x14ac:dyDescent="0.2">
      <c r="B19" s="2" t="s">
        <v>36</v>
      </c>
      <c r="C19" s="4"/>
      <c r="D19" s="4"/>
      <c r="E19" s="4"/>
      <c r="F19" s="4"/>
      <c r="G19" s="4"/>
      <c r="H19" s="4"/>
      <c r="I19" s="4"/>
      <c r="J19" s="4"/>
      <c r="K19" s="4"/>
      <c r="L19" s="4">
        <f t="shared" ref="L19:P19" si="3">+L16-L17-L18</f>
        <v>0</v>
      </c>
      <c r="M19" s="4">
        <f t="shared" si="3"/>
        <v>0</v>
      </c>
      <c r="N19" s="4">
        <f t="shared" si="3"/>
        <v>0</v>
      </c>
      <c r="O19" s="4">
        <f t="shared" si="3"/>
        <v>2913</v>
      </c>
      <c r="P19" s="4">
        <f t="shared" si="3"/>
        <v>3898</v>
      </c>
      <c r="Q19" s="4">
        <f>+Q16-Q17-Q18</f>
        <v>4506</v>
      </c>
      <c r="R19" s="4"/>
      <c r="S19" s="4"/>
      <c r="T19" s="4"/>
      <c r="U19" s="4"/>
    </row>
    <row r="20" spans="2:21" x14ac:dyDescent="0.2">
      <c r="B20" s="2" t="s">
        <v>37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>
        <v>551</v>
      </c>
      <c r="P20" s="4">
        <v>754</v>
      </c>
      <c r="Q20" s="4">
        <v>641</v>
      </c>
      <c r="R20" s="4"/>
      <c r="S20" s="4"/>
      <c r="T20" s="4"/>
      <c r="U20" s="4"/>
    </row>
    <row r="21" spans="2:21" x14ac:dyDescent="0.2">
      <c r="B21" s="2" t="s">
        <v>38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>
        <v>220</v>
      </c>
      <c r="P21" s="4">
        <v>-15</v>
      </c>
      <c r="Q21" s="4">
        <v>-685</v>
      </c>
      <c r="R21" s="4"/>
      <c r="S21" s="4"/>
      <c r="T21" s="4"/>
      <c r="U21" s="4"/>
    </row>
    <row r="22" spans="2:21" x14ac:dyDescent="0.2">
      <c r="B22" s="2" t="s">
        <v>39</v>
      </c>
      <c r="C22" s="4"/>
      <c r="D22" s="4"/>
      <c r="E22" s="4"/>
      <c r="F22" s="4"/>
      <c r="G22" s="4"/>
      <c r="H22" s="4"/>
      <c r="I22" s="4"/>
      <c r="J22" s="4"/>
      <c r="K22" s="4"/>
      <c r="L22" s="4">
        <f t="shared" ref="L22:P22" si="4">+L19-L20+L21</f>
        <v>0</v>
      </c>
      <c r="M22" s="4">
        <f t="shared" si="4"/>
        <v>0</v>
      </c>
      <c r="N22" s="4">
        <f t="shared" si="4"/>
        <v>0</v>
      </c>
      <c r="O22" s="4">
        <f t="shared" si="4"/>
        <v>2582</v>
      </c>
      <c r="P22" s="4">
        <f t="shared" si="4"/>
        <v>3129</v>
      </c>
      <c r="Q22" s="4">
        <f>+Q19-Q20+Q21</f>
        <v>3180</v>
      </c>
      <c r="R22" s="4"/>
      <c r="S22" s="4"/>
      <c r="T22" s="4"/>
      <c r="U22" s="4"/>
    </row>
    <row r="23" spans="2:21" x14ac:dyDescent="0.2">
      <c r="B23" s="2" t="s">
        <v>40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>
        <v>52</v>
      </c>
      <c r="P23" s="4">
        <v>61</v>
      </c>
      <c r="Q23" s="4">
        <v>49</v>
      </c>
      <c r="R23" s="4"/>
      <c r="S23" s="4"/>
      <c r="T23" s="4"/>
      <c r="U23" s="4"/>
    </row>
    <row r="24" spans="2:21" x14ac:dyDescent="0.2">
      <c r="B24" s="2" t="s">
        <v>41</v>
      </c>
      <c r="C24" s="4"/>
      <c r="D24" s="4"/>
      <c r="E24" s="4"/>
      <c r="F24" s="4"/>
      <c r="G24" s="4"/>
      <c r="H24" s="4"/>
      <c r="I24" s="4"/>
      <c r="J24" s="4"/>
      <c r="K24" s="4"/>
      <c r="L24" s="4">
        <f t="shared" ref="L24:P24" si="5">+L22-L23</f>
        <v>0</v>
      </c>
      <c r="M24" s="4">
        <f t="shared" si="5"/>
        <v>0</v>
      </c>
      <c r="N24" s="4">
        <f t="shared" si="5"/>
        <v>0</v>
      </c>
      <c r="O24" s="4">
        <f t="shared" si="5"/>
        <v>2530</v>
      </c>
      <c r="P24" s="4">
        <f t="shared" si="5"/>
        <v>3068</v>
      </c>
      <c r="Q24" s="4">
        <f>+Q22-Q23</f>
        <v>3131</v>
      </c>
      <c r="R24" s="4"/>
      <c r="S24" s="4"/>
      <c r="T24" s="4"/>
      <c r="U24" s="4"/>
    </row>
    <row r="25" spans="2:21" x14ac:dyDescent="0.2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</row>
    <row r="26" spans="2:21" x14ac:dyDescent="0.2">
      <c r="C26" s="4"/>
      <c r="D26" s="4"/>
      <c r="E26" s="4"/>
      <c r="F26" s="4"/>
      <c r="G26" s="4"/>
      <c r="H26" s="4"/>
      <c r="I26" s="4"/>
      <c r="J26" s="4"/>
      <c r="K26" s="4"/>
      <c r="L26" s="9" t="e">
        <f t="shared" ref="L26:P26" si="6">+L24/L27</f>
        <v>#DIV/0!</v>
      </c>
      <c r="M26" s="9" t="e">
        <f t="shared" si="6"/>
        <v>#DIV/0!</v>
      </c>
      <c r="N26" s="9" t="e">
        <f t="shared" si="6"/>
        <v>#DIV/0!</v>
      </c>
      <c r="O26" s="9">
        <f t="shared" si="6"/>
        <v>3.9389693289739998</v>
      </c>
      <c r="P26" s="9">
        <f t="shared" si="6"/>
        <v>5.0155304888016996</v>
      </c>
      <c r="Q26" s="9">
        <f>+Q24/Q27</f>
        <v>5.4104026265768095</v>
      </c>
      <c r="R26" s="4"/>
      <c r="S26" s="4"/>
      <c r="T26" s="4"/>
      <c r="U26" s="4"/>
    </row>
    <row r="27" spans="2:21" x14ac:dyDescent="0.2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3">
        <v>642.29999999999995</v>
      </c>
      <c r="P27" s="3">
        <v>611.70000000000005</v>
      </c>
      <c r="Q27" s="3">
        <v>578.70000000000005</v>
      </c>
      <c r="R27" s="4"/>
      <c r="S27" s="4"/>
      <c r="T27" s="4"/>
      <c r="U27" s="4"/>
    </row>
    <row r="28" spans="2:21" x14ac:dyDescent="0.2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</row>
    <row r="29" spans="2:21" x14ac:dyDescent="0.2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</row>
    <row r="30" spans="2:21" x14ac:dyDescent="0.2"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</row>
    <row r="31" spans="2:21" x14ac:dyDescent="0.2"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 spans="2:21" x14ac:dyDescent="0.2"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</row>
    <row r="33" spans="3:21" x14ac:dyDescent="0.2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</row>
    <row r="34" spans="3:21" x14ac:dyDescent="0.2"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</row>
    <row r="35" spans="3:21" x14ac:dyDescent="0.2"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</row>
    <row r="36" spans="3:21" x14ac:dyDescent="0.2"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</row>
    <row r="37" spans="3:21" x14ac:dyDescent="0.2"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</row>
    <row r="38" spans="3:21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</row>
    <row r="39" spans="3:21" x14ac:dyDescent="0.2"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</row>
    <row r="40" spans="3:21" x14ac:dyDescent="0.2"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</row>
    <row r="41" spans="3:21" x14ac:dyDescent="0.2"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</row>
    <row r="42" spans="3:21" x14ac:dyDescent="0.2"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</row>
    <row r="43" spans="3:21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</row>
    <row r="44" spans="3:21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</row>
    <row r="45" spans="3:21" x14ac:dyDescent="0.2"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 spans="3:21" x14ac:dyDescent="0.2"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</row>
    <row r="47" spans="3:21" x14ac:dyDescent="0.2"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</row>
    <row r="48" spans="3:21" x14ac:dyDescent="0.2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</row>
    <row r="49" spans="3:21" x14ac:dyDescent="0.2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</row>
    <row r="50" spans="3:21" x14ac:dyDescent="0.2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</row>
    <row r="51" spans="3:21" x14ac:dyDescent="0.2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</row>
    <row r="52" spans="3:21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</row>
    <row r="53" spans="3:21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</row>
    <row r="54" spans="3:21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</row>
    <row r="55" spans="3:21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</row>
    <row r="56" spans="3:21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</row>
    <row r="57" spans="3:21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</row>
    <row r="58" spans="3:21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</row>
    <row r="59" spans="3:21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</row>
    <row r="60" spans="3:21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</row>
    <row r="61" spans="3:21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</row>
    <row r="62" spans="3:21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</row>
    <row r="63" spans="3:21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</row>
    <row r="64" spans="3:21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</row>
    <row r="65" spans="3:21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</row>
    <row r="66" spans="3:21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</row>
    <row r="67" spans="3:21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</row>
    <row r="68" spans="3:21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</row>
    <row r="69" spans="3:21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</row>
    <row r="70" spans="3:21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</row>
    <row r="71" spans="3:21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</row>
    <row r="72" spans="3:21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</row>
    <row r="73" spans="3:21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</row>
    <row r="74" spans="3:21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</row>
    <row r="75" spans="3:21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</row>
    <row r="76" spans="3:21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</row>
    <row r="77" spans="3:21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</row>
    <row r="78" spans="3:21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</row>
    <row r="79" spans="3:21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</row>
    <row r="80" spans="3:21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</row>
    <row r="81" spans="3:21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</row>
    <row r="82" spans="3:21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</row>
    <row r="83" spans="3:21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</row>
    <row r="84" spans="3:21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</row>
    <row r="85" spans="3:21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</row>
    <row r="86" spans="3:21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</row>
    <row r="87" spans="3:21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</row>
    <row r="88" spans="3:21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</row>
    <row r="89" spans="3:21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</row>
    <row r="90" spans="3:21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</row>
    <row r="91" spans="3:21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</row>
    <row r="92" spans="3:21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</row>
    <row r="93" spans="3:21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</row>
    <row r="94" spans="3:21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</row>
    <row r="95" spans="3:21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</row>
    <row r="96" spans="3:21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</row>
    <row r="97" spans="3:21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</row>
    <row r="98" spans="3:21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</row>
    <row r="99" spans="3:21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</row>
    <row r="100" spans="3:21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</row>
    <row r="101" spans="3:21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</row>
    <row r="102" spans="3:21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</row>
    <row r="103" spans="3:21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</row>
    <row r="104" spans="3:21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</row>
    <row r="105" spans="3:21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</row>
    <row r="106" spans="3:21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</row>
    <row r="107" spans="3:21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</row>
    <row r="108" spans="3:21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</row>
    <row r="109" spans="3:21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</row>
    <row r="110" spans="3:21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</row>
    <row r="111" spans="3:21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</row>
    <row r="112" spans="3:21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</row>
    <row r="113" spans="3:21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</row>
    <row r="114" spans="3:21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</row>
    <row r="115" spans="3:21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</row>
    <row r="116" spans="3:21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</row>
    <row r="117" spans="3:21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</row>
    <row r="118" spans="3:21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</row>
    <row r="119" spans="3:21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</row>
    <row r="120" spans="3:21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</row>
    <row r="121" spans="3:21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</row>
    <row r="122" spans="3:21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</row>
    <row r="123" spans="3:21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</row>
    <row r="124" spans="3:21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</row>
    <row r="125" spans="3:21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</row>
    <row r="126" spans="3:21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</row>
    <row r="127" spans="3:21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</row>
    <row r="128" spans="3:21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</row>
    <row r="129" spans="3:21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</row>
    <row r="130" spans="3:21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</row>
    <row r="131" spans="3:21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</row>
    <row r="132" spans="3:21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</row>
    <row r="133" spans="3:21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</row>
    <row r="134" spans="3:21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</row>
    <row r="135" spans="3:21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</row>
    <row r="136" spans="3:21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</row>
    <row r="137" spans="3:21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</row>
    <row r="138" spans="3:21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</row>
    <row r="139" spans="3:21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</row>
    <row r="140" spans="3:21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</row>
    <row r="141" spans="3:21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</row>
    <row r="142" spans="3:21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</row>
    <row r="143" spans="3:21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</row>
    <row r="144" spans="3:21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</row>
    <row r="145" spans="3:21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</row>
    <row r="146" spans="3:21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</row>
    <row r="147" spans="3:21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</row>
    <row r="148" spans="3:21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</row>
    <row r="149" spans="3:21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</row>
    <row r="150" spans="3:21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</row>
    <row r="151" spans="3:21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</row>
    <row r="152" spans="3:21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</row>
    <row r="153" spans="3:21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</row>
    <row r="154" spans="3:21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</row>
    <row r="155" spans="3:21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</row>
    <row r="156" spans="3:21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</row>
    <row r="157" spans="3:21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</row>
    <row r="158" spans="3:21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</row>
    <row r="159" spans="3:21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</row>
    <row r="160" spans="3:21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</row>
    <row r="161" spans="3:21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</row>
    <row r="162" spans="3:21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</row>
    <row r="163" spans="3:21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</row>
    <row r="164" spans="3:21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</row>
    <row r="165" spans="3:21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</row>
    <row r="166" spans="3:21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</row>
    <row r="167" spans="3:21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</row>
    <row r="168" spans="3:21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</row>
    <row r="169" spans="3:21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</row>
    <row r="170" spans="3:21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</row>
    <row r="171" spans="3:21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</row>
    <row r="172" spans="3:21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</row>
    <row r="173" spans="3:21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</row>
    <row r="174" spans="3:21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</row>
    <row r="175" spans="3:21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</row>
    <row r="176" spans="3:21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</row>
    <row r="177" spans="3:21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</row>
    <row r="178" spans="3:21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</row>
    <row r="179" spans="3:21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</row>
    <row r="180" spans="3:21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</row>
    <row r="181" spans="3:21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</row>
    <row r="182" spans="3:21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</row>
    <row r="183" spans="3:21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</row>
    <row r="184" spans="3:21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</row>
    <row r="185" spans="3:21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</row>
    <row r="186" spans="3:21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</row>
    <row r="187" spans="3:21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</row>
    <row r="188" spans="3:21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</row>
    <row r="189" spans="3:21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</row>
    <row r="190" spans="3:21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</row>
    <row r="191" spans="3:21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</row>
    <row r="192" spans="3:21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</row>
    <row r="193" spans="3:21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</row>
    <row r="194" spans="3:21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</row>
    <row r="195" spans="3:21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</row>
    <row r="196" spans="3:21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</row>
    <row r="197" spans="3:21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</row>
    <row r="198" spans="3:21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</row>
    <row r="199" spans="3:21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</row>
    <row r="200" spans="3:21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</row>
    <row r="201" spans="3:21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</row>
    <row r="202" spans="3:21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</row>
    <row r="203" spans="3:21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</row>
    <row r="204" spans="3:21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</row>
    <row r="205" spans="3:21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</row>
    <row r="206" spans="3:21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</row>
    <row r="207" spans="3:21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</row>
    <row r="208" spans="3:21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</row>
    <row r="209" spans="3:21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</row>
    <row r="210" spans="3:21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</row>
    <row r="211" spans="3:21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</row>
    <row r="212" spans="3:21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</row>
    <row r="213" spans="3:21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</row>
    <row r="214" spans="3:21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</row>
    <row r="215" spans="3:21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</row>
    <row r="216" spans="3:21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</row>
    <row r="217" spans="3:21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</row>
    <row r="218" spans="3:21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</row>
    <row r="219" spans="3:21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</row>
    <row r="220" spans="3:21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</row>
    <row r="221" spans="3:21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</row>
    <row r="222" spans="3:21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</row>
    <row r="223" spans="3:21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</row>
    <row r="224" spans="3:21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</row>
    <row r="225" spans="3:21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</row>
    <row r="226" spans="3:21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</row>
    <row r="227" spans="3:21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</row>
    <row r="228" spans="3:21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</row>
    <row r="229" spans="3:21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</row>
    <row r="230" spans="3:21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</row>
    <row r="231" spans="3:21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</row>
    <row r="232" spans="3:21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</row>
    <row r="233" spans="3:21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</row>
    <row r="234" spans="3:21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</row>
    <row r="235" spans="3:21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</row>
    <row r="236" spans="3:21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</row>
    <row r="237" spans="3:21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</row>
    <row r="238" spans="3:21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</row>
    <row r="239" spans="3:21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</row>
    <row r="240" spans="3:21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</row>
    <row r="241" spans="3:21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</row>
    <row r="242" spans="3:21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</row>
    <row r="243" spans="3:21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</row>
    <row r="244" spans="3:21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</row>
    <row r="245" spans="3:21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</row>
    <row r="246" spans="3:21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</row>
    <row r="247" spans="3:21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</row>
    <row r="248" spans="3:21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</row>
    <row r="249" spans="3:21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</row>
    <row r="250" spans="3:21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</row>
    <row r="251" spans="3:21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</row>
    <row r="252" spans="3:21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</row>
    <row r="253" spans="3:21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</row>
    <row r="254" spans="3:21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</row>
    <row r="255" spans="3:21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</row>
    <row r="256" spans="3:21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</row>
    <row r="257" spans="3:21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</row>
    <row r="258" spans="3:21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</row>
    <row r="259" spans="3:21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</row>
    <row r="260" spans="3:21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</row>
    <row r="261" spans="3:21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</row>
    <row r="262" spans="3:21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</row>
    <row r="263" spans="3:21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</row>
    <row r="264" spans="3:21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</row>
    <row r="265" spans="3:21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</row>
    <row r="266" spans="3:21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</row>
    <row r="267" spans="3:21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</row>
    <row r="268" spans="3:21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</row>
    <row r="269" spans="3:21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</row>
    <row r="270" spans="3:21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</row>
    <row r="271" spans="3:21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</row>
    <row r="272" spans="3:21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</row>
    <row r="273" spans="3:21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</row>
    <row r="274" spans="3:21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</row>
    <row r="275" spans="3:21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</row>
    <row r="276" spans="3:21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</row>
    <row r="277" spans="3:21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</row>
    <row r="278" spans="3:21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</row>
    <row r="279" spans="3:21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</row>
  </sheetData>
  <hyperlinks>
    <hyperlink ref="A1" location="Main!A1" display="Main" xr:uid="{87D1C749-F82F-42E5-BFAC-EA8153E1AA1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2025-03-14T12:24:06Z</dcterms:created>
  <dcterms:modified xsi:type="dcterms:W3CDTF">2025-11-07T15:28:48Z</dcterms:modified>
</cp:coreProperties>
</file>