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79670AD-B9E5-468E-8733-BE09FE8992A3}" xr6:coauthVersionLast="47" xr6:coauthVersionMax="47" xr10:uidLastSave="{00000000-0000-0000-0000-000000000000}"/>
  <bookViews>
    <workbookView xWindow="-120" yWindow="-120" windowWidth="38640" windowHeight="21120" xr2:uid="{8871E1AF-CC88-4971-9D46-707769305EE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2" l="1"/>
  <c r="J35" i="2"/>
  <c r="J34" i="2"/>
  <c r="J33" i="2"/>
  <c r="J32" i="2"/>
  <c r="J31" i="2"/>
  <c r="J30" i="2"/>
  <c r="J29" i="2"/>
  <c r="H36" i="2"/>
  <c r="G36" i="2"/>
  <c r="F36" i="2"/>
  <c r="E36" i="2"/>
  <c r="D36" i="2"/>
  <c r="C36" i="2"/>
  <c r="I36" i="2"/>
  <c r="H35" i="2"/>
  <c r="G35" i="2"/>
  <c r="F35" i="2"/>
  <c r="E35" i="2"/>
  <c r="D35" i="2"/>
  <c r="C35" i="2"/>
  <c r="I35" i="2"/>
  <c r="H34" i="2"/>
  <c r="G34" i="2"/>
  <c r="F34" i="2"/>
  <c r="E34" i="2"/>
  <c r="D34" i="2"/>
  <c r="C34" i="2"/>
  <c r="I34" i="2"/>
  <c r="H33" i="2"/>
  <c r="G33" i="2"/>
  <c r="F33" i="2"/>
  <c r="E33" i="2"/>
  <c r="D33" i="2"/>
  <c r="C33" i="2"/>
  <c r="H32" i="2"/>
  <c r="G32" i="2"/>
  <c r="F32" i="2"/>
  <c r="E32" i="2"/>
  <c r="D32" i="2"/>
  <c r="C32" i="2"/>
  <c r="I33" i="2"/>
  <c r="I32" i="2"/>
  <c r="H31" i="2"/>
  <c r="G31" i="2"/>
  <c r="H30" i="2"/>
  <c r="G30" i="2"/>
  <c r="H29" i="2"/>
  <c r="G29" i="2"/>
  <c r="I31" i="2"/>
  <c r="I30" i="2"/>
  <c r="I29" i="2"/>
  <c r="F27" i="2"/>
  <c r="F23" i="2"/>
  <c r="F21" i="2"/>
  <c r="F20" i="2"/>
  <c r="F18" i="2"/>
  <c r="F17" i="2"/>
  <c r="F15" i="2"/>
  <c r="F14" i="2"/>
  <c r="F12" i="2"/>
  <c r="F11" i="2"/>
  <c r="F9" i="2"/>
  <c r="F8" i="2"/>
  <c r="F10" i="2" s="1"/>
  <c r="F7" i="2"/>
  <c r="F6" i="2"/>
  <c r="F5" i="2"/>
  <c r="F4" i="2"/>
  <c r="F3" i="2"/>
  <c r="C26" i="2"/>
  <c r="D26" i="2"/>
  <c r="I26" i="2"/>
  <c r="E26" i="2"/>
  <c r="E22" i="2"/>
  <c r="E19" i="2"/>
  <c r="E16" i="2"/>
  <c r="H13" i="2"/>
  <c r="H16" i="2" s="1"/>
  <c r="H19" i="2" s="1"/>
  <c r="H22" i="2" s="1"/>
  <c r="H24" i="2" s="1"/>
  <c r="H26" i="2" s="1"/>
  <c r="E13" i="2"/>
  <c r="D13" i="2"/>
  <c r="D16" i="2" s="1"/>
  <c r="D19" i="2" s="1"/>
  <c r="D22" i="2" s="1"/>
  <c r="D24" i="2" s="1"/>
  <c r="H10" i="2"/>
  <c r="G10" i="2"/>
  <c r="G13" i="2" s="1"/>
  <c r="G16" i="2" s="1"/>
  <c r="G19" i="2" s="1"/>
  <c r="G22" i="2" s="1"/>
  <c r="G24" i="2" s="1"/>
  <c r="G26" i="2" s="1"/>
  <c r="E10" i="2"/>
  <c r="D10" i="2"/>
  <c r="C10" i="2"/>
  <c r="C13" i="2" s="1"/>
  <c r="C16" i="2" s="1"/>
  <c r="C19" i="2" s="1"/>
  <c r="C22" i="2" s="1"/>
  <c r="C24" i="2" s="1"/>
  <c r="E24" i="2"/>
  <c r="I13" i="2"/>
  <c r="I16" i="2" s="1"/>
  <c r="I19" i="2" s="1"/>
  <c r="I22" i="2" s="1"/>
  <c r="I24" i="2" s="1"/>
  <c r="I10" i="2"/>
  <c r="I6" i="1"/>
  <c r="N13" i="2"/>
  <c r="N16" i="2" s="1"/>
  <c r="N19" i="2" s="1"/>
  <c r="N22" i="2" s="1"/>
  <c r="N24" i="2" s="1"/>
  <c r="N26" i="2" s="1"/>
  <c r="M13" i="2"/>
  <c r="M16" i="2" s="1"/>
  <c r="M19" i="2" s="1"/>
  <c r="M22" i="2" s="1"/>
  <c r="M24" i="2" s="1"/>
  <c r="M26" i="2" s="1"/>
  <c r="L13" i="2"/>
  <c r="L16" i="2" s="1"/>
  <c r="L19" i="2" s="1"/>
  <c r="L22" i="2" s="1"/>
  <c r="L24" i="2" s="1"/>
  <c r="L26" i="2" s="1"/>
  <c r="P10" i="2"/>
  <c r="P13" i="2" s="1"/>
  <c r="P16" i="2" s="1"/>
  <c r="P19" i="2" s="1"/>
  <c r="P22" i="2" s="1"/>
  <c r="P24" i="2" s="1"/>
  <c r="P26" i="2" s="1"/>
  <c r="O10" i="2"/>
  <c r="O13" i="2" s="1"/>
  <c r="O16" i="2" s="1"/>
  <c r="O19" i="2" s="1"/>
  <c r="O22" i="2" s="1"/>
  <c r="O24" i="2" s="1"/>
  <c r="O26" i="2" s="1"/>
  <c r="Q10" i="2"/>
  <c r="Q13" i="2" s="1"/>
  <c r="Q16" i="2" s="1"/>
  <c r="Q19" i="2" s="1"/>
  <c r="Q22" i="2" s="1"/>
  <c r="Q24" i="2" s="1"/>
  <c r="Q26" i="2" s="1"/>
  <c r="I4" i="1"/>
  <c r="F13" i="2" l="1"/>
  <c r="F16" i="2" s="1"/>
  <c r="F19" i="2" s="1"/>
  <c r="F22" i="2" s="1"/>
  <c r="F24" i="2" s="1"/>
  <c r="F26" i="2" s="1"/>
  <c r="I7" i="1"/>
</calcChain>
</file>

<file path=xl/sharedStrings.xml><?xml version="1.0" encoding="utf-8"?>
<sst xmlns="http://schemas.openxmlformats.org/spreadsheetml/2006/main" count="61" uniqueCount="57">
  <si>
    <t>Fiserv</t>
  </si>
  <si>
    <t>numbers in mio USD</t>
  </si>
  <si>
    <t>Price</t>
  </si>
  <si>
    <t>Shares</t>
  </si>
  <si>
    <t>MC</t>
  </si>
  <si>
    <t>Cash</t>
  </si>
  <si>
    <t>Debt</t>
  </si>
  <si>
    <t>EV</t>
  </si>
  <si>
    <t>Q424</t>
  </si>
  <si>
    <t>Notes</t>
  </si>
  <si>
    <t>payment and financial services technology solution</t>
  </si>
  <si>
    <t>Main</t>
  </si>
  <si>
    <t>Q124</t>
  </si>
  <si>
    <t>Q224</t>
  </si>
  <si>
    <t>Q324</t>
  </si>
  <si>
    <t>Q125</t>
  </si>
  <si>
    <t>Q225</t>
  </si>
  <si>
    <t>Q325</t>
  </si>
  <si>
    <t>Q425</t>
  </si>
  <si>
    <t>FY19</t>
  </si>
  <si>
    <t>FY20</t>
  </si>
  <si>
    <t>FY21</t>
  </si>
  <si>
    <t>FY22</t>
  </si>
  <si>
    <t>FY23</t>
  </si>
  <si>
    <t>FY24</t>
  </si>
  <si>
    <t>Processing &amp; Services</t>
  </si>
  <si>
    <t>Product</t>
  </si>
  <si>
    <t>Revenue</t>
  </si>
  <si>
    <t>Cost of Services</t>
  </si>
  <si>
    <t>Cost of Products</t>
  </si>
  <si>
    <t>Gross Profit</t>
  </si>
  <si>
    <t>SG&amp;A</t>
  </si>
  <si>
    <t>Gain on sale of assets</t>
  </si>
  <si>
    <t>Operating Income</t>
  </si>
  <si>
    <t>Interest Expense</t>
  </si>
  <si>
    <t>Other Expenses</t>
  </si>
  <si>
    <t>Pretax Income</t>
  </si>
  <si>
    <t>Tax Expense</t>
  </si>
  <si>
    <t>Income from subsidaries</t>
  </si>
  <si>
    <t>Net Income</t>
  </si>
  <si>
    <t>Minority Interest</t>
  </si>
  <si>
    <t>Net Income to Company</t>
  </si>
  <si>
    <t>Merchant Segment Revenue</t>
  </si>
  <si>
    <t>Digital Payments</t>
  </si>
  <si>
    <t>Banking</t>
  </si>
  <si>
    <t>Issuing</t>
  </si>
  <si>
    <t>Coporate &amp; other</t>
  </si>
  <si>
    <t>EPS</t>
  </si>
  <si>
    <t>Services Growth</t>
  </si>
  <si>
    <t>Product Growth</t>
  </si>
  <si>
    <t>Services GM</t>
  </si>
  <si>
    <t>Product GM</t>
  </si>
  <si>
    <t>Gross Margin</t>
  </si>
  <si>
    <t>Operating Margin</t>
  </si>
  <si>
    <t>Tax Rate</t>
  </si>
  <si>
    <t>Revenue Growth</t>
  </si>
  <si>
    <t>FISV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</si>
</sst>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-#,##0.0"/>
    <numFmt numFmtId="165" formatCode="#,##0;\(#,##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5" fillId="0" borderId="0" xfId="0" applyFont="1"/>
    <xf numFmtId="0" fontId="3" fillId="0" borderId="0" xfId="0" applyFont="1"/>
    <xf numFmtId="164" fontId="3" fillId="0" borderId="0" xfId="0" applyNumberFormat="1" applyFont="1"/>
    <xf numFmtId="37" fontId="3" fillId="0" borderId="0" xfId="0" applyNumberFormat="1" applyFont="1"/>
    <xf numFmtId="0" fontId="3" fillId="0" borderId="0" xfId="0" applyFont="1" applyAlignment="1">
      <alignment horizontal="right"/>
    </xf>
    <xf numFmtId="0" fontId="6" fillId="0" borderId="0" xfId="0" applyFont="1"/>
    <xf numFmtId="0" fontId="7" fillId="0" borderId="0" xfId="1" applyFont="1"/>
    <xf numFmtId="37" fontId="5" fillId="0" borderId="0" xfId="0" applyNumberFormat="1" applyFont="1"/>
    <xf numFmtId="39" fontId="3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165" fontId="3" fillId="0" borderId="0" xfId="0" applyNumberFormat="1" applyFont="1"/>
    <xf numFmtId="165" fontId="5" fillId="0" borderId="0" xfId="0" applyNumberFormat="1" applyFont="1"/>
    <xf numFmtId="9" fontId="3" fillId="0" borderId="0" xfId="2" applyFont="1"/>
    <xf numFmtId="9" fontId="5" fillId="0" borderId="0" xfId="2" applyFont="1"/>
    <xf numFmtId="0" fontId="1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5816-0707-4292-AC7B-65F6048AB1A0}">
  <dimension ref="A1:J10"/>
  <sheetViews>
    <sheetView tabSelected="1" zoomScale="200" zoomScaleNormal="200" workbookViewId="0">
      <selection activeCell="I3" sqref="I3"/>
    </sheetView>
  </sheetViews>
  <sheetFormatPr defaultRowHeight="12.75" x14ac:dyDescent="0.2"/>
  <cols>
    <col min="1" max="1" width="3.570312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  <c r="H2" s="2" t="s">
        <v>2</v>
      </c>
      <c r="I2" s="3">
        <v>50.7</v>
      </c>
    </row>
    <row r="3" spans="1:10" x14ac:dyDescent="0.2">
      <c r="H3" s="2" t="s">
        <v>3</v>
      </c>
      <c r="I3" s="4">
        <v>537.85188700000003</v>
      </c>
      <c r="J3" s="10" t="s">
        <v>17</v>
      </c>
    </row>
    <row r="4" spans="1:10" x14ac:dyDescent="0.2">
      <c r="B4" s="16" t="s">
        <v>56</v>
      </c>
      <c r="H4" s="2" t="s">
        <v>4</v>
      </c>
      <c r="I4" s="4">
        <f>+I2*I3</f>
        <v>27269.090670900005</v>
      </c>
    </row>
    <row r="5" spans="1:10" x14ac:dyDescent="0.2">
      <c r="H5" s="2" t="s">
        <v>5</v>
      </c>
      <c r="I5" s="4">
        <v>1068</v>
      </c>
      <c r="J5" s="10" t="s">
        <v>17</v>
      </c>
    </row>
    <row r="6" spans="1:10" x14ac:dyDescent="0.2">
      <c r="H6" s="2" t="s">
        <v>6</v>
      </c>
      <c r="I6" s="4">
        <f>1323+28876</f>
        <v>30199</v>
      </c>
      <c r="J6" s="10" t="s">
        <v>17</v>
      </c>
    </row>
    <row r="7" spans="1:10" x14ac:dyDescent="0.2">
      <c r="H7" s="2" t="s">
        <v>7</v>
      </c>
      <c r="I7" s="4">
        <f>+I4-I5+I6</f>
        <v>56400.090670900005</v>
      </c>
    </row>
    <row r="9" spans="1:10" x14ac:dyDescent="0.2">
      <c r="B9" s="6" t="s">
        <v>9</v>
      </c>
    </row>
    <row r="10" spans="1:10" x14ac:dyDescent="0.2">
      <c r="B10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FE3C-6A23-421C-BD95-2A972B5870D4}">
  <dimension ref="A1:AE279"/>
  <sheetViews>
    <sheetView zoomScale="200" zoomScaleNormal="20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A29" sqref="A29"/>
    </sheetView>
  </sheetViews>
  <sheetFormatPr defaultRowHeight="12.75" x14ac:dyDescent="0.2"/>
  <cols>
    <col min="1" max="1" width="5.42578125" style="2" bestFit="1" customWidth="1"/>
    <col min="2" max="2" width="26.5703125" style="2" customWidth="1"/>
    <col min="3" max="16384" width="9.140625" style="2"/>
  </cols>
  <sheetData>
    <row r="1" spans="1:31" x14ac:dyDescent="0.2">
      <c r="A1" s="7" t="s">
        <v>11</v>
      </c>
    </row>
    <row r="2" spans="1:31" x14ac:dyDescent="0.2">
      <c r="C2" s="5" t="s">
        <v>12</v>
      </c>
      <c r="D2" s="5" t="s">
        <v>13</v>
      </c>
      <c r="E2" s="5" t="s">
        <v>14</v>
      </c>
      <c r="F2" s="5" t="s">
        <v>8</v>
      </c>
      <c r="G2" s="5" t="s">
        <v>15</v>
      </c>
      <c r="H2" s="5" t="s">
        <v>16</v>
      </c>
      <c r="I2" s="5" t="s">
        <v>17</v>
      </c>
      <c r="J2" s="5" t="s">
        <v>18</v>
      </c>
      <c r="K2" s="5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</row>
    <row r="3" spans="1:31" x14ac:dyDescent="0.2">
      <c r="B3" s="2" t="s">
        <v>42</v>
      </c>
      <c r="C3" s="12">
        <v>2253</v>
      </c>
      <c r="D3" s="12">
        <v>2410</v>
      </c>
      <c r="E3" s="12">
        <v>2469</v>
      </c>
      <c r="F3" s="12">
        <f>+Q3-SUM(C3:E3)</f>
        <v>2499</v>
      </c>
      <c r="G3" s="12">
        <v>2372</v>
      </c>
      <c r="H3" s="12">
        <v>2644</v>
      </c>
      <c r="I3" s="12">
        <v>2586</v>
      </c>
      <c r="J3" s="12"/>
      <c r="K3" s="12"/>
      <c r="L3" s="12"/>
      <c r="M3" s="12"/>
      <c r="N3" s="12"/>
      <c r="O3" s="12">
        <v>7883</v>
      </c>
      <c r="P3" s="12">
        <v>8722</v>
      </c>
      <c r="Q3" s="12">
        <v>9631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">
      <c r="B4" s="2" t="s">
        <v>43</v>
      </c>
      <c r="C4" s="12">
        <v>920</v>
      </c>
      <c r="D4" s="12">
        <v>987</v>
      </c>
      <c r="E4" s="12">
        <v>987</v>
      </c>
      <c r="F4" s="12">
        <f t="shared" ref="F4:F9" si="0">+Q4-SUM(C4:E4)</f>
        <v>975</v>
      </c>
      <c r="G4" s="12">
        <v>995</v>
      </c>
      <c r="H4" s="12">
        <v>1051</v>
      </c>
      <c r="I4" s="12">
        <v>939</v>
      </c>
      <c r="J4" s="12"/>
      <c r="K4" s="12"/>
      <c r="L4" s="12"/>
      <c r="M4" s="12"/>
      <c r="N4" s="12"/>
      <c r="O4" s="12">
        <v>3370</v>
      </c>
      <c r="P4" s="12">
        <v>3655</v>
      </c>
      <c r="Q4" s="12">
        <v>3869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">
      <c r="B5" s="2" t="s">
        <v>45</v>
      </c>
      <c r="C5" s="12">
        <v>761</v>
      </c>
      <c r="D5" s="12">
        <v>766</v>
      </c>
      <c r="E5" s="12">
        <v>789</v>
      </c>
      <c r="F5" s="12">
        <f t="shared" si="0"/>
        <v>796</v>
      </c>
      <c r="G5" s="12">
        <v>814</v>
      </c>
      <c r="H5" s="12">
        <v>876</v>
      </c>
      <c r="I5" s="12">
        <v>802</v>
      </c>
      <c r="J5" s="12"/>
      <c r="K5" s="12"/>
      <c r="L5" s="12"/>
      <c r="M5" s="12"/>
      <c r="N5" s="12"/>
      <c r="O5" s="12">
        <v>2801</v>
      </c>
      <c r="P5" s="12">
        <v>3011</v>
      </c>
      <c r="Q5" s="12">
        <v>3112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x14ac:dyDescent="0.2">
      <c r="B6" s="2" t="s">
        <v>44</v>
      </c>
      <c r="C6" s="12">
        <v>604</v>
      </c>
      <c r="D6" s="12">
        <v>626</v>
      </c>
      <c r="E6" s="12">
        <v>636</v>
      </c>
      <c r="F6" s="12">
        <f t="shared" si="0"/>
        <v>630</v>
      </c>
      <c r="G6" s="12">
        <v>608</v>
      </c>
      <c r="H6" s="12">
        <v>625</v>
      </c>
      <c r="I6" s="12">
        <v>592</v>
      </c>
      <c r="J6" s="12"/>
      <c r="K6" s="12"/>
      <c r="L6" s="12"/>
      <c r="M6" s="12"/>
      <c r="N6" s="12"/>
      <c r="O6" s="12">
        <v>2510</v>
      </c>
      <c r="P6" s="12">
        <v>2435</v>
      </c>
      <c r="Q6" s="12">
        <v>2496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x14ac:dyDescent="0.2">
      <c r="B7" s="2" t="s">
        <v>46</v>
      </c>
      <c r="C7" s="12">
        <v>345</v>
      </c>
      <c r="D7" s="12">
        <v>318</v>
      </c>
      <c r="E7" s="12">
        <v>334</v>
      </c>
      <c r="F7" s="12">
        <f t="shared" si="0"/>
        <v>351</v>
      </c>
      <c r="G7" s="12">
        <v>341</v>
      </c>
      <c r="H7" s="12">
        <v>320</v>
      </c>
      <c r="I7" s="12">
        <v>344</v>
      </c>
      <c r="J7" s="12"/>
      <c r="K7" s="12"/>
      <c r="L7" s="12"/>
      <c r="M7" s="12"/>
      <c r="N7" s="12"/>
      <c r="O7" s="12">
        <v>1173</v>
      </c>
      <c r="P7" s="12">
        <v>1270</v>
      </c>
      <c r="Q7" s="12">
        <v>1348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x14ac:dyDescent="0.2">
      <c r="B8" s="2" t="s">
        <v>25</v>
      </c>
      <c r="C8" s="12">
        <v>4000</v>
      </c>
      <c r="D8" s="12">
        <v>4140</v>
      </c>
      <c r="E8" s="12">
        <v>4237</v>
      </c>
      <c r="F8" s="12">
        <f t="shared" si="0"/>
        <v>4260</v>
      </c>
      <c r="G8" s="12">
        <v>4045</v>
      </c>
      <c r="H8" s="12">
        <v>4304</v>
      </c>
      <c r="I8" s="12">
        <v>4273</v>
      </c>
      <c r="J8" s="12"/>
      <c r="K8" s="12"/>
      <c r="L8" s="12"/>
      <c r="M8" s="12"/>
      <c r="N8" s="12"/>
      <c r="O8" s="12">
        <v>14460</v>
      </c>
      <c r="P8" s="12">
        <v>15630</v>
      </c>
      <c r="Q8" s="12">
        <v>16637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x14ac:dyDescent="0.2">
      <c r="B9" s="2" t="s">
        <v>26</v>
      </c>
      <c r="C9" s="12">
        <v>883</v>
      </c>
      <c r="D9" s="12">
        <v>967</v>
      </c>
      <c r="E9" s="12">
        <v>978</v>
      </c>
      <c r="F9" s="12">
        <f t="shared" si="0"/>
        <v>991</v>
      </c>
      <c r="G9" s="12">
        <v>1085</v>
      </c>
      <c r="H9" s="12">
        <v>1212</v>
      </c>
      <c r="I9" s="12">
        <v>990</v>
      </c>
      <c r="J9" s="12"/>
      <c r="K9" s="12"/>
      <c r="L9" s="12"/>
      <c r="M9" s="12"/>
      <c r="N9" s="12"/>
      <c r="O9" s="12">
        <v>3277</v>
      </c>
      <c r="P9" s="12">
        <v>3463</v>
      </c>
      <c r="Q9" s="12">
        <v>3819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2">
      <c r="B10" s="1" t="s">
        <v>27</v>
      </c>
      <c r="C10" s="13">
        <f t="shared" ref="C10:H10" si="1">+C8+C9</f>
        <v>4883</v>
      </c>
      <c r="D10" s="13">
        <f t="shared" si="1"/>
        <v>5107</v>
      </c>
      <c r="E10" s="13">
        <f t="shared" si="1"/>
        <v>5215</v>
      </c>
      <c r="F10" s="13">
        <f t="shared" si="1"/>
        <v>5251</v>
      </c>
      <c r="G10" s="13">
        <f t="shared" si="1"/>
        <v>5130</v>
      </c>
      <c r="H10" s="13">
        <f t="shared" si="1"/>
        <v>5516</v>
      </c>
      <c r="I10" s="13">
        <f>+I8+I9</f>
        <v>5263</v>
      </c>
      <c r="J10" s="13"/>
      <c r="K10" s="12"/>
      <c r="L10" s="12"/>
      <c r="M10" s="12"/>
      <c r="N10" s="12"/>
      <c r="O10" s="13">
        <f t="shared" ref="O10:P10" si="2">+O8+O9</f>
        <v>17737</v>
      </c>
      <c r="P10" s="13">
        <f t="shared" si="2"/>
        <v>19093</v>
      </c>
      <c r="Q10" s="13">
        <f>+Q8+Q9</f>
        <v>20456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2">
      <c r="B11" s="2" t="s">
        <v>28</v>
      </c>
      <c r="C11" s="12">
        <v>1354</v>
      </c>
      <c r="D11" s="12">
        <v>1343</v>
      </c>
      <c r="E11" s="12">
        <v>1346</v>
      </c>
      <c r="F11" s="12">
        <f>+Q11-SUM(C11:E11)</f>
        <v>1320</v>
      </c>
      <c r="G11" s="12">
        <v>1389</v>
      </c>
      <c r="H11" s="12">
        <v>1412</v>
      </c>
      <c r="I11" s="12">
        <v>1486</v>
      </c>
      <c r="J11" s="12"/>
      <c r="K11" s="12"/>
      <c r="L11" s="12"/>
      <c r="M11" s="12"/>
      <c r="N11" s="12"/>
      <c r="O11" s="12">
        <v>5771</v>
      </c>
      <c r="P11" s="12">
        <v>5332</v>
      </c>
      <c r="Q11" s="12">
        <v>5363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">
      <c r="B12" s="2" t="s">
        <v>29</v>
      </c>
      <c r="C12" s="12">
        <v>651</v>
      </c>
      <c r="D12" s="12">
        <v>639</v>
      </c>
      <c r="E12" s="12">
        <v>661</v>
      </c>
      <c r="F12" s="12">
        <f>+Q12-SUM(C12:E12)</f>
        <v>699</v>
      </c>
      <c r="G12" s="12">
        <v>684</v>
      </c>
      <c r="H12" s="12">
        <v>694</v>
      </c>
      <c r="I12" s="12">
        <v>679</v>
      </c>
      <c r="J12" s="12"/>
      <c r="K12" s="12"/>
      <c r="L12" s="12"/>
      <c r="M12" s="12"/>
      <c r="N12" s="12"/>
      <c r="O12" s="12">
        <v>2221</v>
      </c>
      <c r="P12" s="12">
        <v>2338</v>
      </c>
      <c r="Q12" s="12">
        <v>2650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">
      <c r="B13" s="2" t="s">
        <v>30</v>
      </c>
      <c r="C13" s="12">
        <f t="shared" ref="C13:H13" si="3">+C10-C11-C12</f>
        <v>2878</v>
      </c>
      <c r="D13" s="12">
        <f t="shared" si="3"/>
        <v>3125</v>
      </c>
      <c r="E13" s="12">
        <f t="shared" si="3"/>
        <v>3208</v>
      </c>
      <c r="F13" s="12">
        <f t="shared" si="3"/>
        <v>3232</v>
      </c>
      <c r="G13" s="12">
        <f t="shared" si="3"/>
        <v>3057</v>
      </c>
      <c r="H13" s="12">
        <f t="shared" si="3"/>
        <v>3410</v>
      </c>
      <c r="I13" s="12">
        <f>+I10-I11-I12</f>
        <v>3098</v>
      </c>
      <c r="J13" s="12"/>
      <c r="K13" s="12"/>
      <c r="L13" s="12">
        <f t="shared" ref="L13:P13" si="4">+L10-SUM(L11:L12)</f>
        <v>0</v>
      </c>
      <c r="M13" s="12">
        <f t="shared" si="4"/>
        <v>0</v>
      </c>
      <c r="N13" s="12">
        <f t="shared" si="4"/>
        <v>0</v>
      </c>
      <c r="O13" s="12">
        <f t="shared" si="4"/>
        <v>9745</v>
      </c>
      <c r="P13" s="12">
        <f t="shared" si="4"/>
        <v>11423</v>
      </c>
      <c r="Q13" s="12">
        <f>+Q10-SUM(Q11:Q12)</f>
        <v>12443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2">
      <c r="B14" s="2" t="s">
        <v>31</v>
      </c>
      <c r="C14" s="12">
        <v>1697</v>
      </c>
      <c r="D14" s="12">
        <v>1697</v>
      </c>
      <c r="E14" s="12">
        <v>1606</v>
      </c>
      <c r="F14" s="12">
        <f>+Q14-SUM(C14:E14)</f>
        <v>1564</v>
      </c>
      <c r="G14" s="12">
        <v>1682</v>
      </c>
      <c r="H14" s="12">
        <v>1711</v>
      </c>
      <c r="I14" s="12">
        <v>1762</v>
      </c>
      <c r="J14" s="12"/>
      <c r="K14" s="12"/>
      <c r="L14" s="12"/>
      <c r="M14" s="12"/>
      <c r="N14" s="12"/>
      <c r="O14" s="12">
        <v>6059</v>
      </c>
      <c r="P14" s="12">
        <v>6576</v>
      </c>
      <c r="Q14" s="12">
        <v>6564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2">
      <c r="B15" s="2" t="s">
        <v>32</v>
      </c>
      <c r="C15" s="12">
        <v>0</v>
      </c>
      <c r="D15" s="12">
        <v>0</v>
      </c>
      <c r="E15" s="12">
        <v>0</v>
      </c>
      <c r="F15" s="12">
        <f>+Q15-SUM(C15:E15)</f>
        <v>0</v>
      </c>
      <c r="G15" s="12">
        <v>20</v>
      </c>
      <c r="H15" s="12">
        <v>-3</v>
      </c>
      <c r="I15" s="12">
        <v>100</v>
      </c>
      <c r="J15" s="12"/>
      <c r="K15" s="12"/>
      <c r="L15" s="12"/>
      <c r="M15" s="12"/>
      <c r="N15" s="12"/>
      <c r="O15" s="12">
        <v>54</v>
      </c>
      <c r="P15" s="12">
        <v>167</v>
      </c>
      <c r="Q15" s="12">
        <v>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">
      <c r="B16" s="2" t="s">
        <v>33</v>
      </c>
      <c r="C16" s="12">
        <f t="shared" ref="C16:H16" si="5">+C13-C14+C15</f>
        <v>1181</v>
      </c>
      <c r="D16" s="12">
        <f t="shared" si="5"/>
        <v>1428</v>
      </c>
      <c r="E16" s="12">
        <f t="shared" si="5"/>
        <v>1602</v>
      </c>
      <c r="F16" s="12">
        <f t="shared" si="5"/>
        <v>1668</v>
      </c>
      <c r="G16" s="12">
        <f t="shared" si="5"/>
        <v>1395</v>
      </c>
      <c r="H16" s="12">
        <f t="shared" si="5"/>
        <v>1696</v>
      </c>
      <c r="I16" s="12">
        <f t="shared" ref="I16" si="6">+I13-I14+I15</f>
        <v>1436</v>
      </c>
      <c r="J16" s="12"/>
      <c r="K16" s="12"/>
      <c r="L16" s="12">
        <f t="shared" ref="L16:P16" si="7">+L13-L14+L15</f>
        <v>0</v>
      </c>
      <c r="M16" s="12">
        <f t="shared" si="7"/>
        <v>0</v>
      </c>
      <c r="N16" s="12">
        <f t="shared" si="7"/>
        <v>0</v>
      </c>
      <c r="O16" s="12">
        <f t="shared" si="7"/>
        <v>3740</v>
      </c>
      <c r="P16" s="12">
        <f t="shared" si="7"/>
        <v>5014</v>
      </c>
      <c r="Q16" s="12">
        <f>+Q13-Q14+Q15</f>
        <v>5879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2:31" x14ac:dyDescent="0.2">
      <c r="B17" s="2" t="s">
        <v>34</v>
      </c>
      <c r="C17" s="12">
        <v>261</v>
      </c>
      <c r="D17" s="12">
        <v>285</v>
      </c>
      <c r="E17" s="12">
        <v>326</v>
      </c>
      <c r="F17" s="12">
        <f>+Q17-SUM(C17:E17)</f>
        <v>323</v>
      </c>
      <c r="G17" s="12">
        <v>331</v>
      </c>
      <c r="H17" s="12">
        <v>365</v>
      </c>
      <c r="I17" s="12">
        <v>422</v>
      </c>
      <c r="J17" s="12"/>
      <c r="K17" s="12"/>
      <c r="L17" s="12"/>
      <c r="M17" s="12"/>
      <c r="N17" s="12"/>
      <c r="O17" s="12">
        <v>733</v>
      </c>
      <c r="P17" s="12">
        <v>976</v>
      </c>
      <c r="Q17" s="12">
        <v>1195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2:31" x14ac:dyDescent="0.2">
      <c r="B18" s="2" t="s">
        <v>35</v>
      </c>
      <c r="C18" s="12">
        <v>7</v>
      </c>
      <c r="D18" s="12">
        <v>5</v>
      </c>
      <c r="E18" s="12">
        <v>5</v>
      </c>
      <c r="F18" s="12">
        <f>+Q18-SUM(C18:E18)</f>
        <v>161</v>
      </c>
      <c r="G18" s="12">
        <v>18</v>
      </c>
      <c r="H18" s="12">
        <v>39</v>
      </c>
      <c r="I18" s="12">
        <v>50</v>
      </c>
      <c r="J18" s="12"/>
      <c r="K18" s="12"/>
      <c r="L18" s="12"/>
      <c r="M18" s="12"/>
      <c r="N18" s="12"/>
      <c r="O18" s="12">
        <v>94</v>
      </c>
      <c r="P18" s="12">
        <v>140</v>
      </c>
      <c r="Q18" s="12">
        <v>178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2:31" x14ac:dyDescent="0.2">
      <c r="B19" s="2" t="s">
        <v>36</v>
      </c>
      <c r="C19" s="12">
        <f t="shared" ref="C19:H19" si="8">+C16-C17-C18</f>
        <v>913</v>
      </c>
      <c r="D19" s="12">
        <f t="shared" si="8"/>
        <v>1138</v>
      </c>
      <c r="E19" s="12">
        <f t="shared" si="8"/>
        <v>1271</v>
      </c>
      <c r="F19" s="12">
        <f t="shared" si="8"/>
        <v>1184</v>
      </c>
      <c r="G19" s="12">
        <f t="shared" si="8"/>
        <v>1046</v>
      </c>
      <c r="H19" s="12">
        <f t="shared" si="8"/>
        <v>1292</v>
      </c>
      <c r="I19" s="12">
        <f t="shared" ref="I19" si="9">+I16-I17-I18</f>
        <v>964</v>
      </c>
      <c r="J19" s="12"/>
      <c r="K19" s="12"/>
      <c r="L19" s="12">
        <f t="shared" ref="L19:P19" si="10">+L16-L17-L18</f>
        <v>0</v>
      </c>
      <c r="M19" s="12">
        <f t="shared" si="10"/>
        <v>0</v>
      </c>
      <c r="N19" s="12">
        <f t="shared" si="10"/>
        <v>0</v>
      </c>
      <c r="O19" s="12">
        <f t="shared" si="10"/>
        <v>2913</v>
      </c>
      <c r="P19" s="12">
        <f t="shared" si="10"/>
        <v>3898</v>
      </c>
      <c r="Q19" s="12">
        <f>+Q16-Q17-Q18</f>
        <v>4506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2:31" x14ac:dyDescent="0.2">
      <c r="B20" s="2" t="s">
        <v>37</v>
      </c>
      <c r="C20" s="12">
        <v>153</v>
      </c>
      <c r="D20" s="12">
        <v>221</v>
      </c>
      <c r="E20" s="12">
        <v>74</v>
      </c>
      <c r="F20" s="12">
        <f>+Q20-SUM(C20:E20)</f>
        <v>193</v>
      </c>
      <c r="G20" s="12">
        <v>190</v>
      </c>
      <c r="H20" s="12">
        <v>246</v>
      </c>
      <c r="I20" s="12">
        <v>173</v>
      </c>
      <c r="J20" s="12"/>
      <c r="K20" s="12"/>
      <c r="L20" s="12"/>
      <c r="M20" s="12"/>
      <c r="N20" s="12"/>
      <c r="O20" s="12">
        <v>551</v>
      </c>
      <c r="P20" s="12">
        <v>754</v>
      </c>
      <c r="Q20" s="12">
        <v>641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2:31" x14ac:dyDescent="0.2">
      <c r="B21" s="2" t="s">
        <v>38</v>
      </c>
      <c r="C21" s="12">
        <v>-8</v>
      </c>
      <c r="D21" s="12">
        <v>-8</v>
      </c>
      <c r="E21" s="12">
        <v>-626</v>
      </c>
      <c r="F21" s="12">
        <f>+Q21-SUM(C21:E21)</f>
        <v>-43</v>
      </c>
      <c r="G21" s="12">
        <v>-8</v>
      </c>
      <c r="H21" s="12">
        <v>-16</v>
      </c>
      <c r="I21" s="12">
        <v>8</v>
      </c>
      <c r="J21" s="12"/>
      <c r="K21" s="12"/>
      <c r="L21" s="12"/>
      <c r="M21" s="12"/>
      <c r="N21" s="12"/>
      <c r="O21" s="12">
        <v>220</v>
      </c>
      <c r="P21" s="12">
        <v>-15</v>
      </c>
      <c r="Q21" s="12">
        <v>-685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2:31" x14ac:dyDescent="0.2">
      <c r="B22" s="2" t="s">
        <v>39</v>
      </c>
      <c r="C22" s="12">
        <f t="shared" ref="C22:H22" si="11">+C19-C20+C21</f>
        <v>752</v>
      </c>
      <c r="D22" s="12">
        <f t="shared" si="11"/>
        <v>909</v>
      </c>
      <c r="E22" s="12">
        <f t="shared" si="11"/>
        <v>571</v>
      </c>
      <c r="F22" s="12">
        <f t="shared" si="11"/>
        <v>948</v>
      </c>
      <c r="G22" s="12">
        <f t="shared" si="11"/>
        <v>848</v>
      </c>
      <c r="H22" s="12">
        <f t="shared" si="11"/>
        <v>1030</v>
      </c>
      <c r="I22" s="12">
        <f t="shared" ref="I22" si="12">+I19-I20+I21</f>
        <v>799</v>
      </c>
      <c r="J22" s="12"/>
      <c r="K22" s="12"/>
      <c r="L22" s="12">
        <f t="shared" ref="L22:P22" si="13">+L19-L20+L21</f>
        <v>0</v>
      </c>
      <c r="M22" s="12">
        <f t="shared" si="13"/>
        <v>0</v>
      </c>
      <c r="N22" s="12">
        <f t="shared" si="13"/>
        <v>0</v>
      </c>
      <c r="O22" s="12">
        <f t="shared" si="13"/>
        <v>2582</v>
      </c>
      <c r="P22" s="12">
        <f t="shared" si="13"/>
        <v>3129</v>
      </c>
      <c r="Q22" s="12">
        <f>+Q19-Q20+Q21</f>
        <v>3180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2:31" x14ac:dyDescent="0.2">
      <c r="B23" s="2" t="s">
        <v>40</v>
      </c>
      <c r="C23" s="12">
        <v>17</v>
      </c>
      <c r="D23" s="12">
        <v>15</v>
      </c>
      <c r="E23" s="12">
        <v>7</v>
      </c>
      <c r="F23" s="12">
        <f>+Q23-SUM(C23:E23)</f>
        <v>10</v>
      </c>
      <c r="G23" s="12">
        <v>-3</v>
      </c>
      <c r="H23" s="12">
        <v>4</v>
      </c>
      <c r="I23" s="12">
        <v>7</v>
      </c>
      <c r="J23" s="12"/>
      <c r="K23" s="12"/>
      <c r="L23" s="12"/>
      <c r="M23" s="12"/>
      <c r="N23" s="12"/>
      <c r="O23" s="12">
        <v>52</v>
      </c>
      <c r="P23" s="12">
        <v>61</v>
      </c>
      <c r="Q23" s="12">
        <v>49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2:31" x14ac:dyDescent="0.2">
      <c r="B24" s="2" t="s">
        <v>41</v>
      </c>
      <c r="C24" s="12">
        <f t="shared" ref="C24:I24" si="14">+C22-C23</f>
        <v>735</v>
      </c>
      <c r="D24" s="12">
        <f t="shared" si="14"/>
        <v>894</v>
      </c>
      <c r="E24" s="12">
        <f t="shared" si="14"/>
        <v>564</v>
      </c>
      <c r="F24" s="12">
        <f t="shared" si="14"/>
        <v>938</v>
      </c>
      <c r="G24" s="12">
        <f t="shared" si="14"/>
        <v>851</v>
      </c>
      <c r="H24" s="12">
        <f t="shared" si="14"/>
        <v>1026</v>
      </c>
      <c r="I24" s="12">
        <f t="shared" si="14"/>
        <v>792</v>
      </c>
      <c r="J24" s="12"/>
      <c r="K24" s="12"/>
      <c r="L24" s="12">
        <f t="shared" ref="L24:P24" si="15">+L22-L23</f>
        <v>0</v>
      </c>
      <c r="M24" s="12">
        <f t="shared" si="15"/>
        <v>0</v>
      </c>
      <c r="N24" s="12">
        <f t="shared" si="15"/>
        <v>0</v>
      </c>
      <c r="O24" s="12">
        <f t="shared" si="15"/>
        <v>2530</v>
      </c>
      <c r="P24" s="12">
        <f t="shared" si="15"/>
        <v>3068</v>
      </c>
      <c r="Q24" s="12">
        <f>+Q22-Q23</f>
        <v>3131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2:31" x14ac:dyDescent="0.2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2:31" x14ac:dyDescent="0.2">
      <c r="B26" s="11" t="s">
        <v>47</v>
      </c>
      <c r="C26" s="3">
        <f>+C24/C27</f>
        <v>1.2438652902352345</v>
      </c>
      <c r="D26" s="3">
        <f>+D24/D27</f>
        <v>1.5342371717865109</v>
      </c>
      <c r="E26" s="3">
        <f>+E24/E27</f>
        <v>0.98309220847132639</v>
      </c>
      <c r="F26" s="3">
        <f t="shared" ref="F26:I26" si="16">+F24/F27</f>
        <v>1.620874373595991</v>
      </c>
      <c r="G26" s="3">
        <f t="shared" si="16"/>
        <v>1.5161232852307145</v>
      </c>
      <c r="H26" s="3">
        <f t="shared" si="16"/>
        <v>1.8627450980392157</v>
      </c>
      <c r="I26" s="3">
        <f t="shared" si="16"/>
        <v>1.4661236579044796</v>
      </c>
      <c r="J26" s="4"/>
      <c r="K26" s="4"/>
      <c r="L26" s="9" t="e">
        <f t="shared" ref="L26:P26" si="17">+L24/L27</f>
        <v>#DIV/0!</v>
      </c>
      <c r="M26" s="9" t="e">
        <f t="shared" si="17"/>
        <v>#DIV/0!</v>
      </c>
      <c r="N26" s="9" t="e">
        <f t="shared" si="17"/>
        <v>#DIV/0!</v>
      </c>
      <c r="O26" s="9">
        <f t="shared" si="17"/>
        <v>3.9389693289739998</v>
      </c>
      <c r="P26" s="9">
        <f t="shared" si="17"/>
        <v>5.0155304888016996</v>
      </c>
      <c r="Q26" s="9">
        <f>+Q24/Q27</f>
        <v>5.4104026265768095</v>
      </c>
      <c r="R26" s="4"/>
      <c r="S26" s="4"/>
      <c r="T26" s="4"/>
      <c r="U26" s="4"/>
    </row>
    <row r="27" spans="2:31" x14ac:dyDescent="0.2">
      <c r="B27" s="11" t="s">
        <v>3</v>
      </c>
      <c r="C27" s="4">
        <v>590.9</v>
      </c>
      <c r="D27" s="4">
        <v>582.70000000000005</v>
      </c>
      <c r="E27" s="4">
        <v>573.70000000000005</v>
      </c>
      <c r="F27" s="4">
        <f>+Q27</f>
        <v>578.70000000000005</v>
      </c>
      <c r="G27" s="4">
        <v>561.29999999999995</v>
      </c>
      <c r="H27" s="4">
        <v>550.79999999999995</v>
      </c>
      <c r="I27" s="4">
        <v>540.20000000000005</v>
      </c>
      <c r="J27" s="4"/>
      <c r="K27" s="4"/>
      <c r="L27" s="4"/>
      <c r="M27" s="4"/>
      <c r="N27" s="4"/>
      <c r="O27" s="3">
        <v>642.29999999999995</v>
      </c>
      <c r="P27" s="3">
        <v>611.70000000000005</v>
      </c>
      <c r="Q27" s="3">
        <v>578.70000000000005</v>
      </c>
      <c r="R27" s="4"/>
      <c r="S27" s="4"/>
      <c r="T27" s="4"/>
      <c r="U27" s="4"/>
    </row>
    <row r="28" spans="2:31" x14ac:dyDescent="0.2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2:31" x14ac:dyDescent="0.2">
      <c r="B29" s="11" t="s">
        <v>48</v>
      </c>
      <c r="C29" s="4"/>
      <c r="D29" s="4"/>
      <c r="E29" s="4"/>
      <c r="F29" s="4"/>
      <c r="G29" s="14">
        <f t="shared" ref="G29:H31" si="18">+G8/C8-1</f>
        <v>1.1249999999999982E-2</v>
      </c>
      <c r="H29" s="14">
        <f t="shared" si="18"/>
        <v>3.9613526570048352E-2</v>
      </c>
      <c r="I29" s="14">
        <f>+I8/E8-1</f>
        <v>8.4965777672880716E-3</v>
      </c>
      <c r="J29" s="14">
        <f>+J8/F8-1</f>
        <v>-1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2:31" x14ac:dyDescent="0.2">
      <c r="B30" s="11" t="s">
        <v>49</v>
      </c>
      <c r="C30" s="4"/>
      <c r="D30" s="4"/>
      <c r="E30" s="4"/>
      <c r="F30" s="4"/>
      <c r="G30" s="14">
        <f t="shared" si="18"/>
        <v>0.22876557191392988</v>
      </c>
      <c r="H30" s="14">
        <f t="shared" si="18"/>
        <v>0.25336091003102368</v>
      </c>
      <c r="I30" s="14">
        <f t="shared" ref="I30:J31" si="19">+I9/E9-1</f>
        <v>1.2269938650306678E-2</v>
      </c>
      <c r="J30" s="14">
        <f t="shared" si="19"/>
        <v>-1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2:31" x14ac:dyDescent="0.2">
      <c r="B31" s="1" t="s">
        <v>55</v>
      </c>
      <c r="C31" s="8"/>
      <c r="D31" s="8"/>
      <c r="E31" s="8"/>
      <c r="F31" s="8"/>
      <c r="G31" s="15">
        <f t="shared" si="18"/>
        <v>5.058365758754868E-2</v>
      </c>
      <c r="H31" s="15">
        <f t="shared" si="18"/>
        <v>8.0086156256119034E-2</v>
      </c>
      <c r="I31" s="15">
        <f t="shared" si="19"/>
        <v>9.2042186001917159E-3</v>
      </c>
      <c r="J31" s="15">
        <f t="shared" si="19"/>
        <v>-1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2:31" x14ac:dyDescent="0.2">
      <c r="B32" s="11" t="s">
        <v>50</v>
      </c>
      <c r="C32" s="14">
        <f t="shared" ref="C32:H32" si="20">+(C8-C11)/C8</f>
        <v>0.66149999999999998</v>
      </c>
      <c r="D32" s="14">
        <f t="shared" si="20"/>
        <v>0.67560386473429956</v>
      </c>
      <c r="E32" s="14">
        <f t="shared" si="20"/>
        <v>0.68232239792305882</v>
      </c>
      <c r="F32" s="14">
        <f t="shared" si="20"/>
        <v>0.6901408450704225</v>
      </c>
      <c r="G32" s="14">
        <f t="shared" si="20"/>
        <v>0.6566131025957973</v>
      </c>
      <c r="H32" s="14">
        <f t="shared" si="20"/>
        <v>0.67193308550185871</v>
      </c>
      <c r="I32" s="14">
        <f>+(I8-I11)/I8</f>
        <v>0.65223496372571965</v>
      </c>
      <c r="J32" s="14" t="e">
        <f>+(J8-J11)/J8</f>
        <v>#DIV/0!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2:21" x14ac:dyDescent="0.2">
      <c r="B33" s="11" t="s">
        <v>51</v>
      </c>
      <c r="C33" s="14">
        <f t="shared" ref="C33:H33" si="21">+(C9-C12)/C9</f>
        <v>0.26274065685164211</v>
      </c>
      <c r="D33" s="14">
        <f t="shared" si="21"/>
        <v>0.3391933815925543</v>
      </c>
      <c r="E33" s="14">
        <f t="shared" si="21"/>
        <v>0.32413087934560325</v>
      </c>
      <c r="F33" s="14">
        <f t="shared" si="21"/>
        <v>0.29465186680121092</v>
      </c>
      <c r="G33" s="14">
        <f t="shared" si="21"/>
        <v>0.36958525345622117</v>
      </c>
      <c r="H33" s="14">
        <f t="shared" si="21"/>
        <v>0.4273927392739274</v>
      </c>
      <c r="I33" s="14">
        <f>+(I9-I12)/I9</f>
        <v>0.31414141414141417</v>
      </c>
      <c r="J33" s="14" t="e">
        <f>+(J9-J12)/J9</f>
        <v>#DIV/0!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2:21" x14ac:dyDescent="0.2">
      <c r="B34" s="11" t="s">
        <v>52</v>
      </c>
      <c r="C34" s="14">
        <f t="shared" ref="C34:H34" si="22">+C13/C10</f>
        <v>0.58939176735613352</v>
      </c>
      <c r="D34" s="14">
        <f t="shared" si="22"/>
        <v>0.61190522811826908</v>
      </c>
      <c r="E34" s="14">
        <f t="shared" si="22"/>
        <v>0.61514860977948227</v>
      </c>
      <c r="F34" s="14">
        <f t="shared" si="22"/>
        <v>0.61550180917920394</v>
      </c>
      <c r="G34" s="14">
        <f t="shared" si="22"/>
        <v>0.59590643274853805</v>
      </c>
      <c r="H34" s="14">
        <f t="shared" si="22"/>
        <v>0.6182015953589558</v>
      </c>
      <c r="I34" s="14">
        <f>+I13/I10</f>
        <v>0.58863765912977384</v>
      </c>
      <c r="J34" s="14" t="e">
        <f>+J13/J10</f>
        <v>#DIV/0!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2:21" x14ac:dyDescent="0.2">
      <c r="B35" s="11" t="s">
        <v>53</v>
      </c>
      <c r="C35" s="14">
        <f t="shared" ref="C35:H35" si="23">+C16/C10</f>
        <v>0.24185951259471636</v>
      </c>
      <c r="D35" s="14">
        <f t="shared" si="23"/>
        <v>0.27961621304092421</v>
      </c>
      <c r="E35" s="14">
        <f t="shared" si="23"/>
        <v>0.30719079578139979</v>
      </c>
      <c r="F35" s="14">
        <f t="shared" si="23"/>
        <v>0.3176537802323367</v>
      </c>
      <c r="G35" s="14">
        <f t="shared" si="23"/>
        <v>0.27192982456140352</v>
      </c>
      <c r="H35" s="14">
        <f t="shared" si="23"/>
        <v>0.30746918056562728</v>
      </c>
      <c r="I35" s="14">
        <f>+I16/I10</f>
        <v>0.27284818544556338</v>
      </c>
      <c r="J35" s="14" t="e">
        <f>+J16/J10</f>
        <v>#DIV/0!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2:21" x14ac:dyDescent="0.2">
      <c r="B36" s="11" t="s">
        <v>54</v>
      </c>
      <c r="C36" s="14">
        <f t="shared" ref="C36:H36" si="24">+C20/C19</f>
        <v>0.16757940854326397</v>
      </c>
      <c r="D36" s="14">
        <f t="shared" si="24"/>
        <v>0.19420035149384884</v>
      </c>
      <c r="E36" s="14">
        <f t="shared" si="24"/>
        <v>5.8221872541306056E-2</v>
      </c>
      <c r="F36" s="14">
        <f t="shared" si="24"/>
        <v>0.16300675675675674</v>
      </c>
      <c r="G36" s="14">
        <f t="shared" si="24"/>
        <v>0.18164435946462715</v>
      </c>
      <c r="H36" s="14">
        <f t="shared" si="24"/>
        <v>0.19040247678018576</v>
      </c>
      <c r="I36" s="14">
        <f>+I20/I19</f>
        <v>0.17946058091286307</v>
      </c>
      <c r="J36" s="14" t="e">
        <f>+J20/J19</f>
        <v>#DIV/0!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2:21" x14ac:dyDescent="0.2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2:21" x14ac:dyDescent="0.2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2:21" x14ac:dyDescent="0.2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2:21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2:21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2:21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2:21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2:21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2:21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2:21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1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2:21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3:21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3:21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3:21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3:21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3:21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3:21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3:21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3:21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3:21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3:21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3:21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3:21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3:21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3:21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3:21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3:21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3:21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3:21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3:21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3:21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3:21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3:21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3:21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3:21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3:21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3:21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3:21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3:21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3:21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3:21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3:21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3:21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3:21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3:21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3:21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3:21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3:21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3:21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3:21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3:21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3:21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3:21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3:21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3:21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3:21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3:21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3:21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3:21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3:21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3:21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3:21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3:21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3:21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3:21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3:21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3:21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3:21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3:21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3:21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3:21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3:21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3:21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3:21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3:21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3:21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3:21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3:21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3:21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3:21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3:21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3:21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3:21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3:21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3:21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3:21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3:21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3:21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3:21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3:21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3:21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3:21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3:21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3:21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3:21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3:21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3:21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3:21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3:21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3:21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3:21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3:21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3:21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3:21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3:21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3:21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3:21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3:21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3:21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3:21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3:21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3:21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3:21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3:21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3:21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3:21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3:21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3:21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3:21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3:21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3:21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3:21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3:21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3:21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3:21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3:21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3:21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3:21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3:21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3:21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3:21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3:21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3:21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3:21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3:21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3:21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3:21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3:21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3:21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3:21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3:21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3:21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3:21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3:21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3:21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3:21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3:21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3:21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3:21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3:21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3:21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3:21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3:21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3:21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3:21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3:21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3:21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3:21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3:21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3:21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3:21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3:21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3:21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3:21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3:21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3:21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3:21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3:21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3:21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3:21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3:21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3:21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3:21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3:21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3:21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3:21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3:21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3:21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3:21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3:21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3:21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3:21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3:21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3:21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3:21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3:21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3:21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3:21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3:21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3:21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3:21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3:21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3:21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3:21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3:21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3:21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3:21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3:21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3:21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3:21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3:21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3:21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3:21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3:21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3:21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3:21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3:21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3:21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3:21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3:21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3:21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3:21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3:21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3:21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3:21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3:21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3:21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3:21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3:21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3:21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3:21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3:21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3:21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3:21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3:21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3:21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3:21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3:21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3:21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3:21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3:21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3:21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3:21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3:21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3:21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3:21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3:21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3:21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3:21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3:21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3:21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3:21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</sheetData>
  <hyperlinks>
    <hyperlink ref="A1" location="Main!A1" display="Main" xr:uid="{87D1C749-F82F-42E5-BFAC-EA8153E1AA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2025-03-14T12:24:06Z</dcterms:created>
  <dcterms:modified xsi:type="dcterms:W3CDTF">2026-07-24T09:17:31Z</dcterms:modified>
</cp:coreProperties>
</file>